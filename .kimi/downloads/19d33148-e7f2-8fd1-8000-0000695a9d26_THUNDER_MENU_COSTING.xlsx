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c6270c9a1a05aa6b/3 THUNDER Espresso/COGS/"/>
    </mc:Choice>
  </mc:AlternateContent>
  <xr:revisionPtr revIDLastSave="12148" documentId="8_{065DB19E-7946-6542-8118-A8EC6607EED4}" xr6:coauthVersionLast="47" xr6:coauthVersionMax="47" xr10:uidLastSave="{C08982EA-8767-8340-9457-1A8ADD31685B}"/>
  <bookViews>
    <workbookView xWindow="0" yWindow="680" windowWidth="34200" windowHeight="21460" activeTab="14" xr2:uid="{00000000-000D-0000-FFFF-FFFF00000000}"/>
  </bookViews>
  <sheets>
    <sheet name="Menu Item Price vs POS Price" sheetId="1" state="hidden" r:id="rId1"/>
    <sheet name="Master Price list" sheetId="2" state="hidden" r:id="rId2"/>
    <sheet name="Item list" sheetId="3" state="hidden" r:id="rId3"/>
    <sheet name="Item list calculator" sheetId="4" state="hidden" r:id="rId4"/>
    <sheet name="Menu Item list" sheetId="5" state="hidden" r:id="rId5"/>
    <sheet name="Menu item calculator" sheetId="6" state="hidden" r:id="rId6"/>
    <sheet name="INGREDIENTS" sheetId="7" r:id="rId7"/>
    <sheet name="Christmas Drinks " sheetId="21" state="hidden" r:id="rId8"/>
    <sheet name="RAVE EVENT " sheetId="20" state="hidden" r:id="rId9"/>
    <sheet name="NEW MENU COSTING " sheetId="14" state="hidden" r:id="rId10"/>
    <sheet name="DRINK Prep Cards" sheetId="38" r:id="rId11"/>
    <sheet name="HOT Drinks " sheetId="12" r:id="rId12"/>
    <sheet name="ICED Drinks " sheetId="19" r:id="rId13"/>
    <sheet name="KITCHEN Prep Cards" sheetId="9" r:id="rId14"/>
    <sheet name="SERVE Cards" sheetId="37" r:id="rId15"/>
    <sheet name="meals 1" sheetId="13" r:id="rId16"/>
    <sheet name="meals 2" sheetId="35" r:id="rId17"/>
    <sheet name="Brownie" sheetId="23" r:id="rId18"/>
    <sheet name="Baked Goods" sheetId="24" r:id="rId19"/>
    <sheet name="Test Items" sheetId="36" r:id="rId20"/>
    <sheet name="Other" sheetId="26" r:id="rId21"/>
    <sheet name="WEEKLY INVENTORY FILE " sheetId="11" state="hidden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37" l="1"/>
  <c r="F83" i="7"/>
  <c r="F139" i="37"/>
  <c r="F138" i="37"/>
  <c r="F137" i="37"/>
  <c r="F136" i="37"/>
  <c r="F135" i="37"/>
  <c r="F134" i="37"/>
  <c r="F133" i="37"/>
  <c r="F132" i="37"/>
  <c r="F196" i="9"/>
  <c r="F195" i="9"/>
  <c r="F194" i="9"/>
  <c r="F193" i="9"/>
  <c r="F192" i="9"/>
  <c r="F191" i="9"/>
  <c r="F190" i="9"/>
  <c r="F189" i="9"/>
  <c r="F188" i="9"/>
  <c r="F197" i="9" s="1"/>
  <c r="C199" i="9" s="1"/>
  <c r="F85" i="37"/>
  <c r="F84" i="37"/>
  <c r="F83" i="37"/>
  <c r="F82" i="37"/>
  <c r="F81" i="37"/>
  <c r="F80" i="37"/>
  <c r="F79" i="37"/>
  <c r="F78" i="37"/>
  <c r="F104" i="37"/>
  <c r="F103" i="37"/>
  <c r="F102" i="37"/>
  <c r="F101" i="37"/>
  <c r="F100" i="37"/>
  <c r="F99" i="37"/>
  <c r="F98" i="37"/>
  <c r="F97" i="37"/>
  <c r="F96" i="37"/>
  <c r="F50" i="37"/>
  <c r="F49" i="37"/>
  <c r="F48" i="37"/>
  <c r="F47" i="37"/>
  <c r="F46" i="37"/>
  <c r="F45" i="37"/>
  <c r="F288" i="7"/>
  <c r="E42" i="37" s="1"/>
  <c r="F42" i="37" s="1"/>
  <c r="F19" i="38"/>
  <c r="C11" i="38"/>
  <c r="F9" i="38"/>
  <c r="E6" i="38"/>
  <c r="F6" i="38" s="1"/>
  <c r="F178" i="9"/>
  <c r="F177" i="9"/>
  <c r="F176" i="9"/>
  <c r="F175" i="9"/>
  <c r="F174" i="9"/>
  <c r="F173" i="9"/>
  <c r="F172" i="9"/>
  <c r="F171" i="9"/>
  <c r="F170" i="9"/>
  <c r="F179" i="9" s="1"/>
  <c r="C181" i="9" s="1"/>
  <c r="F247" i="37"/>
  <c r="F246" i="37"/>
  <c r="F245" i="37"/>
  <c r="F244" i="37"/>
  <c r="F243" i="37"/>
  <c r="F242" i="37"/>
  <c r="F241" i="37"/>
  <c r="F240" i="37"/>
  <c r="F239" i="37"/>
  <c r="F229" i="37"/>
  <c r="F228" i="37"/>
  <c r="F227" i="37"/>
  <c r="F226" i="37"/>
  <c r="F225" i="37"/>
  <c r="F224" i="37"/>
  <c r="F223" i="37"/>
  <c r="F222" i="37"/>
  <c r="F221" i="37"/>
  <c r="F68" i="37"/>
  <c r="F67" i="37"/>
  <c r="F66" i="37"/>
  <c r="F65" i="37"/>
  <c r="F64" i="37"/>
  <c r="F32" i="37"/>
  <c r="F31" i="37"/>
  <c r="F30" i="37"/>
  <c r="F29" i="37"/>
  <c r="F28" i="37"/>
  <c r="F27" i="37"/>
  <c r="D274" i="7"/>
  <c r="F14" i="37"/>
  <c r="F13" i="37"/>
  <c r="F12" i="37"/>
  <c r="F11" i="37"/>
  <c r="F10" i="37"/>
  <c r="F9" i="37"/>
  <c r="F8" i="37"/>
  <c r="F160" i="9"/>
  <c r="F159" i="9"/>
  <c r="F158" i="9"/>
  <c r="F157" i="9"/>
  <c r="F156" i="9"/>
  <c r="F155" i="9"/>
  <c r="F154" i="9"/>
  <c r="F153" i="9"/>
  <c r="F152" i="9"/>
  <c r="F211" i="37"/>
  <c r="F210" i="37"/>
  <c r="F209" i="37"/>
  <c r="F208" i="37"/>
  <c r="F207" i="37"/>
  <c r="F206" i="37"/>
  <c r="F205" i="37"/>
  <c r="F204" i="37"/>
  <c r="F203" i="37"/>
  <c r="F187" i="37"/>
  <c r="F188" i="37"/>
  <c r="F189" i="37"/>
  <c r="F190" i="37"/>
  <c r="F191" i="37"/>
  <c r="F192" i="37"/>
  <c r="F193" i="37"/>
  <c r="F143" i="9"/>
  <c r="C145" i="9" s="1"/>
  <c r="F142" i="9"/>
  <c r="F141" i="9"/>
  <c r="F140" i="9"/>
  <c r="F139" i="9"/>
  <c r="F138" i="9"/>
  <c r="F137" i="9"/>
  <c r="F136" i="9"/>
  <c r="F135" i="9"/>
  <c r="F134" i="9"/>
  <c r="F175" i="37"/>
  <c r="F174" i="37"/>
  <c r="F173" i="37"/>
  <c r="F172" i="37"/>
  <c r="F171" i="37"/>
  <c r="F170" i="37"/>
  <c r="F169" i="37"/>
  <c r="F168" i="37"/>
  <c r="F167" i="37"/>
  <c r="F125" i="9"/>
  <c r="C127" i="9" s="1"/>
  <c r="F124" i="9"/>
  <c r="F123" i="9"/>
  <c r="F122" i="9"/>
  <c r="F121" i="9"/>
  <c r="F120" i="9"/>
  <c r="F119" i="9"/>
  <c r="F118" i="9"/>
  <c r="F117" i="9"/>
  <c r="F116" i="9"/>
  <c r="F157" i="37"/>
  <c r="F156" i="37"/>
  <c r="F155" i="37"/>
  <c r="F154" i="37"/>
  <c r="F153" i="37"/>
  <c r="F152" i="37"/>
  <c r="F151" i="37"/>
  <c r="F150" i="37"/>
  <c r="F149" i="37"/>
  <c r="F106" i="9"/>
  <c r="F105" i="9"/>
  <c r="F104" i="9"/>
  <c r="F103" i="9"/>
  <c r="F102" i="9"/>
  <c r="F101" i="9"/>
  <c r="F100" i="9"/>
  <c r="F99" i="9"/>
  <c r="F98" i="9"/>
  <c r="F107" i="9" s="1"/>
  <c r="C109" i="9" s="1"/>
  <c r="F122" i="37"/>
  <c r="F121" i="37"/>
  <c r="F120" i="37"/>
  <c r="F119" i="37"/>
  <c r="F118" i="37"/>
  <c r="F117" i="37"/>
  <c r="F116" i="37"/>
  <c r="F115" i="37"/>
  <c r="F114" i="37"/>
  <c r="E6" i="37" l="1"/>
  <c r="F6" i="37" s="1"/>
  <c r="E60" i="37"/>
  <c r="F60" i="37" s="1"/>
  <c r="E24" i="37"/>
  <c r="F24" i="37" s="1"/>
  <c r="F140" i="37"/>
  <c r="C142" i="37" s="1"/>
  <c r="C143" i="37" s="1"/>
  <c r="F87" i="37"/>
  <c r="C89" i="37" s="1"/>
  <c r="C90" i="37" s="1"/>
  <c r="C200" i="9"/>
  <c r="D199" i="9"/>
  <c r="F105" i="37"/>
  <c r="C107" i="37" s="1"/>
  <c r="C108" i="37" s="1"/>
  <c r="F158" i="37"/>
  <c r="C160" i="37" s="1"/>
  <c r="C161" i="37" s="1"/>
  <c r="F176" i="37"/>
  <c r="C178" i="37" s="1"/>
  <c r="D178" i="37" s="1"/>
  <c r="F212" i="37"/>
  <c r="C214" i="37" s="1"/>
  <c r="C215" i="37" s="1"/>
  <c r="F123" i="37"/>
  <c r="C125" i="37" s="1"/>
  <c r="D125" i="37" s="1"/>
  <c r="F248" i="37"/>
  <c r="C250" i="37" s="1"/>
  <c r="C251" i="37" s="1"/>
  <c r="C182" i="9"/>
  <c r="D181" i="9"/>
  <c r="F230" i="37"/>
  <c r="C232" i="37" s="1"/>
  <c r="C233" i="37" s="1"/>
  <c r="F161" i="9"/>
  <c r="C163" i="9" s="1"/>
  <c r="C164" i="9"/>
  <c r="D163" i="9"/>
  <c r="C146" i="9"/>
  <c r="D145" i="9"/>
  <c r="C179" i="37"/>
  <c r="C128" i="9"/>
  <c r="D127" i="9"/>
  <c r="C110" i="9"/>
  <c r="D109" i="9"/>
  <c r="F66" i="35"/>
  <c r="F65" i="35"/>
  <c r="F64" i="35"/>
  <c r="F63" i="35"/>
  <c r="F62" i="35"/>
  <c r="F61" i="35"/>
  <c r="F60" i="35"/>
  <c r="F59" i="35"/>
  <c r="F58" i="35"/>
  <c r="F49" i="35"/>
  <c r="F48" i="35"/>
  <c r="F47" i="35"/>
  <c r="F46" i="35"/>
  <c r="F45" i="35"/>
  <c r="F44" i="35"/>
  <c r="F43" i="35"/>
  <c r="F42" i="35"/>
  <c r="F41" i="35"/>
  <c r="E74" i="9"/>
  <c r="F74" i="9" s="1"/>
  <c r="E75" i="9"/>
  <c r="F75" i="9" s="1"/>
  <c r="F80" i="9"/>
  <c r="F81" i="9"/>
  <c r="F82" i="9"/>
  <c r="F83" i="9"/>
  <c r="E84" i="9"/>
  <c r="F84" i="9"/>
  <c r="C86" i="9"/>
  <c r="C90" i="9"/>
  <c r="C91" i="9"/>
  <c r="C92" i="9"/>
  <c r="F32" i="35"/>
  <c r="F31" i="35"/>
  <c r="F30" i="35"/>
  <c r="F29" i="35"/>
  <c r="F28" i="35"/>
  <c r="F27" i="35"/>
  <c r="F26" i="35"/>
  <c r="F25" i="35"/>
  <c r="F24" i="35"/>
  <c r="G58" i="26"/>
  <c r="G59" i="26"/>
  <c r="G63" i="26"/>
  <c r="G64" i="26"/>
  <c r="G65" i="26"/>
  <c r="G68" i="26"/>
  <c r="L104" i="35"/>
  <c r="L105" i="35"/>
  <c r="L106" i="35"/>
  <c r="K107" i="35"/>
  <c r="L107" i="35" s="1"/>
  <c r="L145" i="35"/>
  <c r="L146" i="35"/>
  <c r="J149" i="35"/>
  <c r="I150" i="35"/>
  <c r="F145" i="35"/>
  <c r="F146" i="35"/>
  <c r="F126" i="35"/>
  <c r="F127" i="35"/>
  <c r="F104" i="35"/>
  <c r="F105" i="35"/>
  <c r="F106" i="35"/>
  <c r="E107" i="35"/>
  <c r="F107" i="35" s="1"/>
  <c r="F85" i="35"/>
  <c r="D88" i="35"/>
  <c r="C89" i="35"/>
  <c r="D256" i="23"/>
  <c r="F102" i="7"/>
  <c r="E139" i="35" s="1"/>
  <c r="F139" i="35" s="1"/>
  <c r="F145" i="7"/>
  <c r="E84" i="35" s="1"/>
  <c r="F84" i="35" s="1"/>
  <c r="D101" i="7"/>
  <c r="F101" i="7" s="1"/>
  <c r="E100" i="35" s="1"/>
  <c r="F100" i="35" s="1"/>
  <c r="F144" i="7"/>
  <c r="E97" i="35" s="1"/>
  <c r="F97" i="35" s="1"/>
  <c r="D89" i="37" l="1"/>
  <c r="D142" i="37"/>
  <c r="D107" i="37"/>
  <c r="C126" i="37"/>
  <c r="D160" i="37"/>
  <c r="D214" i="37"/>
  <c r="D250" i="37"/>
  <c r="D232" i="37"/>
  <c r="E122" i="35"/>
  <c r="F122" i="35" s="1"/>
  <c r="F67" i="35"/>
  <c r="C69" i="35" s="1"/>
  <c r="C70" i="35" s="1"/>
  <c r="F50" i="35"/>
  <c r="C52" i="35" s="1"/>
  <c r="C53" i="35" s="1"/>
  <c r="F33" i="35"/>
  <c r="C35" i="35" s="1"/>
  <c r="D35" i="35" s="1"/>
  <c r="F88" i="9"/>
  <c r="C36" i="35" l="1"/>
  <c r="D69" i="35"/>
  <c r="D52" i="35"/>
  <c r="F92" i="9"/>
  <c r="E92" i="9" s="1"/>
  <c r="F90" i="9"/>
  <c r="E90" i="9"/>
  <c r="F91" i="9"/>
  <c r="E91" i="9" s="1"/>
  <c r="D253" i="23"/>
  <c r="G244" i="23"/>
  <c r="G243" i="23"/>
  <c r="G240" i="23"/>
  <c r="G239" i="23"/>
  <c r="G232" i="23"/>
  <c r="G231" i="23"/>
  <c r="G183" i="23"/>
  <c r="G182" i="23"/>
  <c r="G179" i="23"/>
  <c r="G178" i="23"/>
  <c r="G171" i="23"/>
  <c r="G170" i="23"/>
  <c r="L183" i="23"/>
  <c r="L182" i="23"/>
  <c r="L179" i="23"/>
  <c r="L178" i="23"/>
  <c r="L171" i="23"/>
  <c r="L170" i="23"/>
  <c r="F143" i="7"/>
  <c r="F142" i="7"/>
  <c r="K97" i="35" s="1"/>
  <c r="L97" i="35" s="1"/>
  <c r="J86" i="24"/>
  <c r="J81" i="24"/>
  <c r="J73" i="24"/>
  <c r="J72" i="24"/>
  <c r="J70" i="24"/>
  <c r="F30" i="12"/>
  <c r="E102" i="35" l="1"/>
  <c r="F102" i="35" s="1"/>
  <c r="K99" i="35"/>
  <c r="L99" i="35" s="1"/>
  <c r="D248" i="7"/>
  <c r="G62" i="26" s="1"/>
  <c r="D247" i="7"/>
  <c r="D242" i="7"/>
  <c r="F164" i="7"/>
  <c r="D282" i="7"/>
  <c r="F282" i="7" s="1"/>
  <c r="E27" i="12" s="1"/>
  <c r="F27" i="12" s="1"/>
  <c r="F38" i="7"/>
  <c r="E16" i="24" s="1"/>
  <c r="D284" i="7"/>
  <c r="F284" i="7" s="1"/>
  <c r="E25" i="12" s="1"/>
  <c r="F25" i="12" s="1"/>
  <c r="D283" i="7"/>
  <c r="F283" i="7" s="1"/>
  <c r="D211" i="7"/>
  <c r="F211" i="7" s="1"/>
  <c r="E140" i="24"/>
  <c r="C138" i="24"/>
  <c r="E146" i="24"/>
  <c r="D271" i="7"/>
  <c r="E141" i="24" s="1"/>
  <c r="G120" i="23"/>
  <c r="F112" i="7"/>
  <c r="E133" i="24"/>
  <c r="E132" i="24"/>
  <c r="E130" i="24"/>
  <c r="B158" i="23"/>
  <c r="D3" i="7"/>
  <c r="M3" i="7" s="1"/>
  <c r="M4" i="7"/>
  <c r="O8" i="12"/>
  <c r="D230" i="7"/>
  <c r="G145" i="23"/>
  <c r="G146" i="23"/>
  <c r="G91" i="23"/>
  <c r="G151" i="23"/>
  <c r="G152" i="23"/>
  <c r="G98" i="23"/>
  <c r="G154" i="23"/>
  <c r="G155" i="23"/>
  <c r="M7" i="7"/>
  <c r="M8" i="7"/>
  <c r="O24" i="12"/>
  <c r="E42" i="26"/>
  <c r="E32" i="26"/>
  <c r="E37" i="26"/>
  <c r="E38" i="26"/>
  <c r="E8" i="26"/>
  <c r="E9" i="26"/>
  <c r="E13" i="26"/>
  <c r="E14" i="26"/>
  <c r="E164" i="24"/>
  <c r="E162" i="24"/>
  <c r="D278" i="7"/>
  <c r="E161" i="24" s="1"/>
  <c r="E163" i="24"/>
  <c r="D231" i="7"/>
  <c r="E165" i="24" s="1"/>
  <c r="E173" i="24"/>
  <c r="E100" i="24"/>
  <c r="E102" i="24"/>
  <c r="E103" i="24"/>
  <c r="E115" i="24"/>
  <c r="E70" i="24"/>
  <c r="E72" i="24"/>
  <c r="E73" i="24"/>
  <c r="D270" i="7"/>
  <c r="E80" i="24" s="1"/>
  <c r="E81" i="24"/>
  <c r="E86" i="24"/>
  <c r="E8" i="24"/>
  <c r="E10" i="24"/>
  <c r="E11" i="24"/>
  <c r="J80" i="24"/>
  <c r="E24" i="24"/>
  <c r="O42" i="24"/>
  <c r="J42" i="24"/>
  <c r="E42" i="24"/>
  <c r="O40" i="24"/>
  <c r="J40" i="24"/>
  <c r="E40" i="24"/>
  <c r="O10" i="24"/>
  <c r="J10" i="24"/>
  <c r="O38" i="24"/>
  <c r="O41" i="24"/>
  <c r="O49" i="24"/>
  <c r="O50" i="24"/>
  <c r="O55" i="24"/>
  <c r="O8" i="24"/>
  <c r="O11" i="24"/>
  <c r="O24" i="24"/>
  <c r="J38" i="24"/>
  <c r="J41" i="24"/>
  <c r="J49" i="24"/>
  <c r="J50" i="24"/>
  <c r="J55" i="24"/>
  <c r="J8" i="24"/>
  <c r="J11" i="24"/>
  <c r="J24" i="24"/>
  <c r="E49" i="24"/>
  <c r="E41" i="24"/>
  <c r="E38" i="24"/>
  <c r="E50" i="24"/>
  <c r="E55" i="24"/>
  <c r="D254" i="7"/>
  <c r="G216" i="23" s="1"/>
  <c r="D238" i="7"/>
  <c r="G267" i="23"/>
  <c r="G268" i="23"/>
  <c r="G275" i="23"/>
  <c r="G276" i="23"/>
  <c r="G279" i="23"/>
  <c r="G201" i="23"/>
  <c r="G202" i="23"/>
  <c r="G203" i="23"/>
  <c r="G208" i="23"/>
  <c r="G209" i="23"/>
  <c r="G214" i="23"/>
  <c r="G215" i="23"/>
  <c r="O68" i="23"/>
  <c r="Q68" i="23" s="1"/>
  <c r="O69" i="23"/>
  <c r="Q69" i="23" s="1"/>
  <c r="O70" i="23"/>
  <c r="O71" i="23"/>
  <c r="Q71" i="23" s="1"/>
  <c r="O60" i="23"/>
  <c r="O61" i="23"/>
  <c r="G121" i="23"/>
  <c r="G122" i="23"/>
  <c r="G127" i="23"/>
  <c r="G128" i="23"/>
  <c r="G130" i="23"/>
  <c r="G96" i="23"/>
  <c r="G68" i="23"/>
  <c r="L68" i="23"/>
  <c r="G33" i="23"/>
  <c r="G34" i="23"/>
  <c r="G38" i="23"/>
  <c r="G39" i="23"/>
  <c r="G41" i="23"/>
  <c r="G42" i="23"/>
  <c r="G43" i="23"/>
  <c r="G88" i="23"/>
  <c r="G89" i="23"/>
  <c r="G97" i="23"/>
  <c r="G100" i="23"/>
  <c r="F255" i="7"/>
  <c r="G105" i="23" s="1"/>
  <c r="F19" i="7"/>
  <c r="F20" i="7"/>
  <c r="W217" i="12" s="1"/>
  <c r="X217" i="12" s="1"/>
  <c r="C8" i="12"/>
  <c r="C11" i="9"/>
  <c r="F169" i="7"/>
  <c r="F24" i="7"/>
  <c r="F30" i="7"/>
  <c r="E9" i="12"/>
  <c r="F9" i="12" s="1"/>
  <c r="O63" i="23"/>
  <c r="Q63" i="23" s="1"/>
  <c r="L63" i="23"/>
  <c r="G63" i="23"/>
  <c r="D256" i="7"/>
  <c r="O62" i="23"/>
  <c r="Q62" i="23" s="1"/>
  <c r="O66" i="23"/>
  <c r="O67" i="23"/>
  <c r="O65" i="23"/>
  <c r="O64" i="23"/>
  <c r="J64" i="23"/>
  <c r="L60" i="23"/>
  <c r="L71" i="23"/>
  <c r="L62" i="23"/>
  <c r="U43" i="12"/>
  <c r="O43" i="12"/>
  <c r="I43" i="12"/>
  <c r="U24" i="12"/>
  <c r="I24" i="12"/>
  <c r="U8" i="12"/>
  <c r="F232" i="7"/>
  <c r="F218" i="7"/>
  <c r="E102" i="14" s="1"/>
  <c r="F102" i="14" s="1"/>
  <c r="L69" i="23"/>
  <c r="G69" i="23"/>
  <c r="G71" i="23"/>
  <c r="G62" i="23"/>
  <c r="L76" i="19"/>
  <c r="F264" i="7"/>
  <c r="Q185" i="12" s="1"/>
  <c r="R185" i="12" s="1"/>
  <c r="F265" i="7"/>
  <c r="F266" i="7"/>
  <c r="G10" i="23"/>
  <c r="G9" i="23"/>
  <c r="G8" i="23"/>
  <c r="G7" i="23"/>
  <c r="G11" i="23"/>
  <c r="F35" i="7"/>
  <c r="F34" i="7"/>
  <c r="F33" i="7"/>
  <c r="F32" i="7"/>
  <c r="F210" i="7"/>
  <c r="E412" i="19" s="1"/>
  <c r="F412" i="19" s="1"/>
  <c r="F209" i="7"/>
  <c r="F208" i="7"/>
  <c r="F205" i="7"/>
  <c r="K186" i="12" s="1"/>
  <c r="L186" i="12" s="1"/>
  <c r="E26" i="21"/>
  <c r="F26" i="21" s="1"/>
  <c r="E25" i="21"/>
  <c r="F25" i="21" s="1"/>
  <c r="E9" i="21"/>
  <c r="F9" i="21"/>
  <c r="E8" i="21"/>
  <c r="F8" i="21"/>
  <c r="E10" i="21"/>
  <c r="F10" i="21"/>
  <c r="E7" i="21"/>
  <c r="F7" i="21"/>
  <c r="E85" i="20"/>
  <c r="F85" i="20" s="1"/>
  <c r="F203" i="7"/>
  <c r="E81" i="20" s="1"/>
  <c r="F81" i="20" s="1"/>
  <c r="F202" i="7"/>
  <c r="E45" i="20" s="1"/>
  <c r="F45" i="20" s="1"/>
  <c r="F201" i="7"/>
  <c r="E11" i="20" s="1"/>
  <c r="F11" i="20" s="1"/>
  <c r="F200" i="7"/>
  <c r="E66" i="20" s="1"/>
  <c r="F66" i="20" s="1"/>
  <c r="F199" i="7"/>
  <c r="E64" i="20" s="1"/>
  <c r="F64" i="20" s="1"/>
  <c r="F198" i="7"/>
  <c r="E29" i="20" s="1"/>
  <c r="F29" i="20" s="1"/>
  <c r="F197" i="7"/>
  <c r="E50" i="20" s="1"/>
  <c r="F50" i="20" s="1"/>
  <c r="F187" i="7"/>
  <c r="E13" i="20" s="1"/>
  <c r="F13" i="20" s="1"/>
  <c r="E66" i="9"/>
  <c r="F66" i="9" s="1"/>
  <c r="F137" i="14"/>
  <c r="K59" i="12"/>
  <c r="L59" i="12" s="1"/>
  <c r="I59" i="12"/>
  <c r="O59" i="12"/>
  <c r="U59" i="12"/>
  <c r="W61" i="12"/>
  <c r="X61" i="12" s="1"/>
  <c r="F216" i="7"/>
  <c r="E132" i="14" s="1"/>
  <c r="F132" i="14" s="1"/>
  <c r="F217" i="7"/>
  <c r="F214" i="7"/>
  <c r="F215" i="7"/>
  <c r="E88" i="14" s="1"/>
  <c r="F88" i="14" s="1"/>
  <c r="D53" i="7"/>
  <c r="F53" i="7" s="1"/>
  <c r="F95" i="7"/>
  <c r="E48" i="14" s="1"/>
  <c r="F48" i="14" s="1"/>
  <c r="U170" i="12"/>
  <c r="O170" i="12"/>
  <c r="I170" i="12"/>
  <c r="I393" i="19"/>
  <c r="C393" i="19"/>
  <c r="I378" i="19"/>
  <c r="C378" i="19"/>
  <c r="I349" i="19"/>
  <c r="C349" i="19"/>
  <c r="F207" i="7"/>
  <c r="U155" i="12"/>
  <c r="O155" i="12"/>
  <c r="I155" i="12"/>
  <c r="F196" i="7"/>
  <c r="I291" i="19"/>
  <c r="L276" i="19"/>
  <c r="L259" i="19"/>
  <c r="L241" i="19"/>
  <c r="I185" i="19"/>
  <c r="I121" i="19"/>
  <c r="I73" i="19"/>
  <c r="C291" i="19"/>
  <c r="F276" i="19"/>
  <c r="F259" i="19"/>
  <c r="F241" i="19"/>
  <c r="C185" i="19"/>
  <c r="C121" i="19"/>
  <c r="F76" i="19"/>
  <c r="C73" i="19"/>
  <c r="I39" i="19"/>
  <c r="C39" i="19"/>
  <c r="I21" i="19"/>
  <c r="C21" i="19"/>
  <c r="I8" i="19"/>
  <c r="C8" i="19"/>
  <c r="U90" i="12"/>
  <c r="O90" i="12"/>
  <c r="U72" i="12"/>
  <c r="O72" i="12"/>
  <c r="F28" i="7"/>
  <c r="E35" i="20" s="1"/>
  <c r="F35" i="20" s="1"/>
  <c r="F195" i="7"/>
  <c r="E152" i="19" s="1"/>
  <c r="F152" i="19" s="1"/>
  <c r="F190" i="7"/>
  <c r="Q140" i="12" s="1"/>
  <c r="R140" i="12" s="1"/>
  <c r="I90" i="12"/>
  <c r="F185" i="7"/>
  <c r="Q129" i="12" s="1"/>
  <c r="R129" i="12" s="1"/>
  <c r="F52" i="7"/>
  <c r="F100" i="7"/>
  <c r="F82" i="7"/>
  <c r="F160" i="7"/>
  <c r="F27" i="7"/>
  <c r="K351" i="19" s="1"/>
  <c r="L351" i="19" s="1"/>
  <c r="F26" i="7"/>
  <c r="K426" i="19" s="1"/>
  <c r="L426" i="19" s="1"/>
  <c r="F159" i="7"/>
  <c r="E273" i="19" s="1"/>
  <c r="F273" i="19" s="1"/>
  <c r="F39" i="14"/>
  <c r="E31" i="14"/>
  <c r="F31" i="14" s="1"/>
  <c r="F158" i="7"/>
  <c r="E34" i="14" s="1"/>
  <c r="F34" i="14" s="1"/>
  <c r="F166" i="7"/>
  <c r="F99" i="7"/>
  <c r="F98" i="7"/>
  <c r="F97" i="7"/>
  <c r="F96" i="7"/>
  <c r="F96" i="13"/>
  <c r="F78" i="13"/>
  <c r="E76" i="13"/>
  <c r="F76" i="13" s="1"/>
  <c r="F25" i="7"/>
  <c r="E95" i="13" s="1"/>
  <c r="F95" i="13" s="1"/>
  <c r="F141" i="7"/>
  <c r="F74" i="7"/>
  <c r="K274" i="19" s="1"/>
  <c r="L274" i="19" s="1"/>
  <c r="F140" i="7"/>
  <c r="K256" i="19" s="1"/>
  <c r="L256" i="19" s="1"/>
  <c r="D139" i="7"/>
  <c r="F139" i="7" s="1"/>
  <c r="D138" i="7"/>
  <c r="F138" i="7" s="1"/>
  <c r="E31" i="9" s="1"/>
  <c r="F31" i="9" s="1"/>
  <c r="F94" i="7"/>
  <c r="F81" i="7"/>
  <c r="E186" i="37" s="1"/>
  <c r="F186" i="37" s="1"/>
  <c r="F93" i="7"/>
  <c r="E136" i="14" s="1"/>
  <c r="F136" i="14" s="1"/>
  <c r="F136" i="7"/>
  <c r="E44" i="9" s="1"/>
  <c r="F44" i="9" s="1"/>
  <c r="F137" i="7"/>
  <c r="E54" i="14" s="1"/>
  <c r="F54" i="14" s="1"/>
  <c r="F92" i="7"/>
  <c r="E6" i="9"/>
  <c r="F165" i="7"/>
  <c r="E61" i="9" s="1"/>
  <c r="F61" i="9" s="1"/>
  <c r="F135" i="7"/>
  <c r="F73" i="7"/>
  <c r="E105" i="19" s="1"/>
  <c r="F105" i="19" s="1"/>
  <c r="F64" i="7"/>
  <c r="E89" i="19" s="1"/>
  <c r="F89" i="19" s="1"/>
  <c r="F134" i="7"/>
  <c r="K140" i="19" s="1"/>
  <c r="L140" i="19" s="1"/>
  <c r="F91" i="7"/>
  <c r="F90" i="7"/>
  <c r="E61" i="13" s="1"/>
  <c r="F61" i="13" s="1"/>
  <c r="F133" i="7"/>
  <c r="F89" i="7"/>
  <c r="E123" i="14" s="1"/>
  <c r="F123" i="14" s="1"/>
  <c r="F88" i="7"/>
  <c r="E57" i="9" s="1"/>
  <c r="F57" i="9" s="1"/>
  <c r="F132" i="7"/>
  <c r="E76" i="9" s="1"/>
  <c r="F76" i="9" s="1"/>
  <c r="F131" i="7"/>
  <c r="F130" i="7"/>
  <c r="E65" i="9" s="1"/>
  <c r="F65" i="9" s="1"/>
  <c r="F72" i="7"/>
  <c r="E377" i="19" s="1"/>
  <c r="F377" i="19" s="1"/>
  <c r="F129" i="7"/>
  <c r="I61" i="11"/>
  <c r="F128" i="7"/>
  <c r="F127" i="7"/>
  <c r="E28" i="13" s="1"/>
  <c r="F28" i="13" s="1"/>
  <c r="F50" i="7"/>
  <c r="F77" i="7"/>
  <c r="E124" i="14" s="1"/>
  <c r="F124" i="14" s="1"/>
  <c r="I72" i="12"/>
  <c r="E22" i="11"/>
  <c r="E23" i="11"/>
  <c r="E21" i="11"/>
  <c r="E20" i="11"/>
  <c r="E19" i="11"/>
  <c r="H19" i="11"/>
  <c r="F71" i="7"/>
  <c r="F69" i="7"/>
  <c r="K167" i="19" s="1"/>
  <c r="L167" i="19" s="1"/>
  <c r="F70" i="7"/>
  <c r="F75" i="7"/>
  <c r="F67" i="7"/>
  <c r="K394" i="19" s="1"/>
  <c r="L394" i="19" s="1"/>
  <c r="F68" i="7"/>
  <c r="F66" i="7"/>
  <c r="E220" i="19" s="1"/>
  <c r="F220" i="19" s="1"/>
  <c r="F65" i="7"/>
  <c r="F170" i="7"/>
  <c r="K311" i="19" s="1"/>
  <c r="L311" i="19" s="1"/>
  <c r="F121" i="7"/>
  <c r="E117" i="14" s="1"/>
  <c r="F117" i="14" s="1"/>
  <c r="H60" i="11"/>
  <c r="H59" i="11"/>
  <c r="H58" i="11"/>
  <c r="H57" i="11"/>
  <c r="H56" i="11"/>
  <c r="I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I44" i="11"/>
  <c r="H43" i="11"/>
  <c r="H42" i="11"/>
  <c r="H41" i="11"/>
  <c r="H40" i="11"/>
  <c r="I40" i="11"/>
  <c r="H39" i="11"/>
  <c r="H38" i="11"/>
  <c r="H37" i="11"/>
  <c r="H36" i="11"/>
  <c r="H35" i="11"/>
  <c r="H34" i="11"/>
  <c r="H33" i="11"/>
  <c r="H32" i="11"/>
  <c r="I32" i="11"/>
  <c r="H31" i="11"/>
  <c r="H30" i="11"/>
  <c r="H29" i="11"/>
  <c r="I29" i="11"/>
  <c r="H28" i="11"/>
  <c r="H27" i="11"/>
  <c r="H26" i="11"/>
  <c r="H25" i="11"/>
  <c r="H24" i="11"/>
  <c r="I24" i="11"/>
  <c r="H23" i="11"/>
  <c r="H21" i="11"/>
  <c r="H20" i="11"/>
  <c r="H18" i="11"/>
  <c r="H17" i="11"/>
  <c r="H16" i="11"/>
  <c r="I16" i="11"/>
  <c r="H15" i="11"/>
  <c r="H14" i="11"/>
  <c r="H13" i="11"/>
  <c r="H12" i="11"/>
  <c r="H11" i="11"/>
  <c r="H10" i="11"/>
  <c r="H9" i="11"/>
  <c r="H8" i="11"/>
  <c r="H7" i="11"/>
  <c r="I7" i="11"/>
  <c r="F126" i="7"/>
  <c r="F124" i="7"/>
  <c r="E64" i="9" s="1"/>
  <c r="F64" i="9" s="1"/>
  <c r="F125" i="7"/>
  <c r="E116" i="14" s="1"/>
  <c r="F116" i="14" s="1"/>
  <c r="F123" i="7"/>
  <c r="E59" i="9" s="1"/>
  <c r="F59" i="9" s="1"/>
  <c r="F122" i="7"/>
  <c r="E59" i="13" s="1"/>
  <c r="F59" i="13" s="1"/>
  <c r="F22" i="7"/>
  <c r="E427" i="19" s="1"/>
  <c r="F427" i="19" s="1"/>
  <c r="F21" i="7"/>
  <c r="E51" i="20" s="1"/>
  <c r="F51" i="20" s="1"/>
  <c r="F19" i="9"/>
  <c r="F120" i="7"/>
  <c r="E312" i="19" s="1"/>
  <c r="F312" i="19" s="1"/>
  <c r="F119" i="7"/>
  <c r="K123" i="19" s="1"/>
  <c r="L123" i="19" s="1"/>
  <c r="F179" i="7"/>
  <c r="E27" i="21" s="1"/>
  <c r="F27" i="21" s="1"/>
  <c r="F63" i="7"/>
  <c r="K170" i="19" s="1"/>
  <c r="L170" i="19" s="1"/>
  <c r="F61" i="7"/>
  <c r="F62" i="7"/>
  <c r="F80" i="7"/>
  <c r="F118" i="7"/>
  <c r="F79" i="7"/>
  <c r="F114" i="7"/>
  <c r="F115" i="7"/>
  <c r="E30" i="13" s="1"/>
  <c r="F30" i="13" s="1"/>
  <c r="F116" i="7"/>
  <c r="F117" i="7"/>
  <c r="F113" i="7"/>
  <c r="F9" i="9"/>
  <c r="F163" i="7"/>
  <c r="E45" i="13" s="1"/>
  <c r="F45" i="13" s="1"/>
  <c r="F16" i="7"/>
  <c r="F15" i="7"/>
  <c r="F14" i="7"/>
  <c r="K62" i="12" s="1"/>
  <c r="L62" i="12" s="1"/>
  <c r="F13" i="7"/>
  <c r="K61" i="12" s="1"/>
  <c r="L61" i="12" s="1"/>
  <c r="F12" i="7"/>
  <c r="F11" i="7"/>
  <c r="E104" i="14"/>
  <c r="F104" i="14" s="1"/>
  <c r="F6" i="9"/>
  <c r="F59" i="7"/>
  <c r="F60" i="7"/>
  <c r="F58" i="7"/>
  <c r="W214" i="12" s="1"/>
  <c r="X214" i="12" s="1"/>
  <c r="F108" i="7"/>
  <c r="E78" i="9" s="1"/>
  <c r="F78" i="9" s="1"/>
  <c r="F110" i="7"/>
  <c r="E27" i="13" s="1"/>
  <c r="F27" i="13" s="1"/>
  <c r="F111" i="7"/>
  <c r="F109" i="7"/>
  <c r="E30" i="9" s="1"/>
  <c r="F30" i="9" s="1"/>
  <c r="F51" i="7"/>
  <c r="F78" i="7"/>
  <c r="E94" i="13" s="1"/>
  <c r="F94" i="13" s="1"/>
  <c r="F23" i="7"/>
  <c r="K26" i="12" s="1"/>
  <c r="L26" i="12" s="1"/>
  <c r="F39" i="7"/>
  <c r="K217" i="12" s="1"/>
  <c r="L217" i="12" s="1"/>
  <c r="F40" i="7"/>
  <c r="F41" i="7"/>
  <c r="F42" i="7"/>
  <c r="F43" i="7"/>
  <c r="F44" i="7"/>
  <c r="F45" i="7"/>
  <c r="F46" i="7"/>
  <c r="F47" i="7"/>
  <c r="W59" i="12" s="1"/>
  <c r="X59" i="12" s="1"/>
  <c r="F54" i="7"/>
  <c r="F55" i="7"/>
  <c r="F56" i="7"/>
  <c r="F49" i="7"/>
  <c r="K21" i="19" s="1"/>
  <c r="L21" i="19" s="1"/>
  <c r="I8" i="5"/>
  <c r="J7" i="5"/>
  <c r="J6" i="5"/>
  <c r="J5" i="5"/>
  <c r="B105" i="1"/>
  <c r="B104" i="1"/>
  <c r="B103" i="1"/>
  <c r="B102" i="1"/>
  <c r="B101" i="1"/>
  <c r="B99" i="1"/>
  <c r="B98" i="1"/>
  <c r="B97" i="1"/>
  <c r="B96" i="1"/>
  <c r="B95" i="1"/>
  <c r="B93" i="1"/>
  <c r="B92" i="1"/>
  <c r="B91" i="1"/>
  <c r="B90" i="1"/>
  <c r="B89" i="1"/>
  <c r="B87" i="1"/>
  <c r="B86" i="1"/>
  <c r="B85" i="1"/>
  <c r="B84" i="1"/>
  <c r="B83" i="1"/>
  <c r="B82" i="1"/>
  <c r="B80" i="1"/>
  <c r="B79" i="1"/>
  <c r="B78" i="1"/>
  <c r="B76" i="1"/>
  <c r="B75" i="1"/>
  <c r="B53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8" i="1"/>
  <c r="B27" i="1"/>
  <c r="B26" i="1"/>
  <c r="B25" i="1"/>
  <c r="B24" i="1"/>
  <c r="B23" i="1"/>
  <c r="B22" i="1"/>
  <c r="B21" i="1"/>
  <c r="B20" i="1"/>
  <c r="B18" i="1"/>
  <c r="B17" i="1"/>
  <c r="B16" i="1"/>
  <c r="B15" i="1"/>
  <c r="B13" i="1"/>
  <c r="B14" i="1"/>
  <c r="B12" i="1"/>
  <c r="B11" i="1"/>
  <c r="B10" i="1"/>
  <c r="B9" i="1"/>
  <c r="B8" i="1"/>
  <c r="B7" i="1"/>
  <c r="B6" i="1"/>
  <c r="B5" i="1"/>
  <c r="B4" i="1"/>
  <c r="B3" i="1"/>
  <c r="B2" i="1"/>
  <c r="G19" i="2"/>
  <c r="G12" i="2"/>
  <c r="G13" i="2"/>
  <c r="G21" i="2"/>
  <c r="G22" i="2"/>
  <c r="G23" i="2"/>
  <c r="G24" i="2"/>
  <c r="G25" i="2"/>
  <c r="G27" i="2"/>
  <c r="G28" i="2"/>
  <c r="G29" i="2"/>
  <c r="G30" i="2"/>
  <c r="G32" i="2"/>
  <c r="G37" i="2"/>
  <c r="G41" i="2"/>
  <c r="G42" i="2"/>
  <c r="G53" i="2"/>
  <c r="G56" i="2"/>
  <c r="G58" i="2"/>
  <c r="G62" i="2"/>
  <c r="G63" i="2"/>
  <c r="G65" i="2"/>
  <c r="G66" i="2"/>
  <c r="G67" i="2"/>
  <c r="G68" i="2"/>
  <c r="G69" i="2"/>
  <c r="G70" i="2"/>
  <c r="G71" i="2"/>
  <c r="G76" i="2"/>
  <c r="G77" i="2"/>
  <c r="G78" i="2"/>
  <c r="G82" i="2"/>
  <c r="G84" i="2"/>
  <c r="G85" i="2"/>
  <c r="G87" i="2"/>
  <c r="G91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7" i="2"/>
  <c r="G108" i="2"/>
  <c r="G112" i="2"/>
  <c r="G113" i="2"/>
  <c r="G114" i="2"/>
  <c r="G115" i="2"/>
  <c r="G116" i="2"/>
  <c r="G117" i="2"/>
  <c r="G118" i="2"/>
  <c r="G119" i="2"/>
  <c r="G122" i="2"/>
  <c r="G123" i="2"/>
  <c r="G124" i="2"/>
  <c r="G125" i="2"/>
  <c r="G126" i="2"/>
  <c r="G127" i="2"/>
  <c r="G128" i="2"/>
  <c r="G129" i="2"/>
  <c r="G140" i="2"/>
  <c r="G142" i="2"/>
  <c r="G144" i="2"/>
  <c r="G145" i="2"/>
  <c r="G147" i="2"/>
  <c r="G148" i="2"/>
  <c r="G149" i="2"/>
  <c r="G150" i="2"/>
  <c r="G160" i="2"/>
  <c r="G163" i="2"/>
  <c r="G175" i="2"/>
  <c r="G195" i="2"/>
  <c r="G196" i="2"/>
  <c r="G199" i="2"/>
  <c r="G201" i="2"/>
  <c r="G207" i="2"/>
  <c r="G211" i="2"/>
  <c r="E1133" i="6"/>
  <c r="E1197" i="6"/>
  <c r="F1197" i="6"/>
  <c r="E1182" i="6"/>
  <c r="F1182" i="6"/>
  <c r="E1180" i="6"/>
  <c r="F1180" i="6"/>
  <c r="E1179" i="6"/>
  <c r="F1179" i="6"/>
  <c r="E1147" i="6"/>
  <c r="F1133" i="6"/>
  <c r="E1131" i="6"/>
  <c r="F1131" i="6"/>
  <c r="E1195" i="6"/>
  <c r="F1195" i="6"/>
  <c r="E1130" i="6"/>
  <c r="F1130" i="6"/>
  <c r="E1194" i="6"/>
  <c r="F1194" i="6"/>
  <c r="E1118" i="6"/>
  <c r="F1118" i="6"/>
  <c r="E1115" i="6"/>
  <c r="F1115" i="6"/>
  <c r="E1114" i="6"/>
  <c r="E1113" i="6"/>
  <c r="E1101" i="6"/>
  <c r="F1101" i="6"/>
  <c r="E1092" i="6"/>
  <c r="F1092" i="6"/>
  <c r="E1091" i="6"/>
  <c r="F1091" i="6"/>
  <c r="E1080" i="6"/>
  <c r="E1090" i="6"/>
  <c r="F1080" i="6"/>
  <c r="E1068" i="6"/>
  <c r="E1066" i="6"/>
  <c r="F1066" i="6"/>
  <c r="E1052" i="6"/>
  <c r="E1065" i="6"/>
  <c r="F1065" i="6"/>
  <c r="F1052" i="6"/>
  <c r="E1033" i="6"/>
  <c r="F1033" i="6"/>
  <c r="E1032" i="6"/>
  <c r="F1032" i="6"/>
  <c r="E1006" i="6"/>
  <c r="F1006" i="6"/>
  <c r="E1005" i="6"/>
  <c r="F1005" i="6"/>
  <c r="E1004" i="6"/>
  <c r="F1004" i="6"/>
  <c r="E991" i="6"/>
  <c r="F991" i="6"/>
  <c r="E939" i="6"/>
  <c r="E966" i="6"/>
  <c r="E980" i="6"/>
  <c r="F980" i="6"/>
  <c r="E977" i="6"/>
  <c r="F977" i="6"/>
  <c r="E962" i="6"/>
  <c r="E976" i="6"/>
  <c r="F976" i="6"/>
  <c r="F966" i="6"/>
  <c r="E963" i="6"/>
  <c r="F963" i="6"/>
  <c r="F962" i="6"/>
  <c r="E952" i="6"/>
  <c r="F952" i="6"/>
  <c r="E899" i="6"/>
  <c r="E949" i="6"/>
  <c r="E947" i="6"/>
  <c r="F947" i="6"/>
  <c r="E946" i="6"/>
  <c r="F946" i="6"/>
  <c r="F939" i="6"/>
  <c r="E937" i="6"/>
  <c r="F937" i="6"/>
  <c r="E961" i="6"/>
  <c r="E935" i="6"/>
  <c r="F935" i="6"/>
  <c r="E1019" i="6"/>
  <c r="F1019" i="6"/>
  <c r="E934" i="6"/>
  <c r="F934" i="6"/>
  <c r="E913" i="6"/>
  <c r="E927" i="6"/>
  <c r="E926" i="6"/>
  <c r="E923" i="6"/>
  <c r="F923" i="6"/>
  <c r="E922" i="6"/>
  <c r="F922" i="6"/>
  <c r="E921" i="6"/>
  <c r="E908" i="6"/>
  <c r="E920" i="6"/>
  <c r="F920" i="6"/>
  <c r="F913" i="6"/>
  <c r="E911" i="6"/>
  <c r="F911" i="6"/>
  <c r="E910" i="6"/>
  <c r="F910" i="6"/>
  <c r="E909" i="6"/>
  <c r="F909" i="6"/>
  <c r="F908" i="6"/>
  <c r="E901" i="6"/>
  <c r="F901" i="6"/>
  <c r="E900" i="6"/>
  <c r="F900" i="6"/>
  <c r="F899" i="6"/>
  <c r="E898" i="6"/>
  <c r="E896" i="6"/>
  <c r="F896" i="6"/>
  <c r="E894" i="6"/>
  <c r="F894" i="6"/>
  <c r="E893" i="6"/>
  <c r="F893" i="6"/>
  <c r="E892" i="6"/>
  <c r="F892" i="6"/>
  <c r="E891" i="6"/>
  <c r="F891" i="6"/>
  <c r="E883" i="6"/>
  <c r="E1050" i="6"/>
  <c r="E1063" i="6"/>
  <c r="F1063" i="6"/>
  <c r="E882" i="6"/>
  <c r="F882" i="6"/>
  <c r="E865" i="6"/>
  <c r="E874" i="6"/>
  <c r="F874" i="6"/>
  <c r="F865" i="6"/>
  <c r="E864" i="6"/>
  <c r="F864" i="6"/>
  <c r="E863" i="6"/>
  <c r="F863" i="6"/>
  <c r="E860" i="6"/>
  <c r="F860" i="6"/>
  <c r="E859" i="6"/>
  <c r="F859" i="6"/>
  <c r="E852" i="6"/>
  <c r="F852" i="6"/>
  <c r="E842" i="6"/>
  <c r="F842" i="6"/>
  <c r="E832" i="6"/>
  <c r="F832" i="6"/>
  <c r="E821" i="6"/>
  <c r="E831" i="6"/>
  <c r="E822" i="6"/>
  <c r="F822" i="6"/>
  <c r="F821" i="6"/>
  <c r="E794" i="6"/>
  <c r="F794" i="6"/>
  <c r="E783" i="6"/>
  <c r="F783" i="6"/>
  <c r="E781" i="6"/>
  <c r="F781" i="6"/>
  <c r="E779" i="6"/>
  <c r="F779" i="6"/>
  <c r="E767" i="6"/>
  <c r="F767" i="6"/>
  <c r="E756" i="6"/>
  <c r="F756" i="6"/>
  <c r="E743" i="6"/>
  <c r="F743" i="6"/>
  <c r="E742" i="6"/>
  <c r="F742" i="6"/>
  <c r="E726" i="6"/>
  <c r="F726" i="6"/>
  <c r="E712" i="6"/>
  <c r="F712" i="6"/>
  <c r="E709" i="6"/>
  <c r="F709" i="6"/>
  <c r="E700" i="6"/>
  <c r="E694" i="6"/>
  <c r="E667" i="6"/>
  <c r="E684" i="6"/>
  <c r="E668" i="6"/>
  <c r="F668" i="6"/>
  <c r="E685" i="6"/>
  <c r="F685" i="6"/>
  <c r="F667" i="6"/>
  <c r="E666" i="6"/>
  <c r="F666" i="6"/>
  <c r="E683" i="6"/>
  <c r="F683" i="6"/>
  <c r="E652" i="6"/>
  <c r="F652" i="6"/>
  <c r="E642" i="6"/>
  <c r="F642" i="6"/>
  <c r="E633" i="6"/>
  <c r="F633" i="6"/>
  <c r="E622" i="6"/>
  <c r="F622" i="6"/>
  <c r="E596" i="6"/>
  <c r="E571" i="6"/>
  <c r="F571" i="6"/>
  <c r="E534" i="6"/>
  <c r="F534" i="6"/>
  <c r="E507" i="6"/>
  <c r="E532" i="6"/>
  <c r="F532" i="6"/>
  <c r="E518" i="6"/>
  <c r="E531" i="6"/>
  <c r="E529" i="6"/>
  <c r="F529" i="6"/>
  <c r="E520" i="6"/>
  <c r="F520" i="6"/>
  <c r="E549" i="6"/>
  <c r="F549" i="6"/>
  <c r="F518" i="6"/>
  <c r="E547" i="6"/>
  <c r="F547" i="6"/>
  <c r="E509" i="6"/>
  <c r="F509" i="6"/>
  <c r="F507" i="6"/>
  <c r="E505" i="6"/>
  <c r="F505" i="6"/>
  <c r="E503" i="6"/>
  <c r="F503" i="6"/>
  <c r="E502" i="6"/>
  <c r="F502" i="6"/>
  <c r="E501" i="6"/>
  <c r="F501" i="6"/>
  <c r="E500" i="6"/>
  <c r="F500" i="6"/>
  <c r="E493" i="6"/>
  <c r="F493" i="6"/>
  <c r="E490" i="6"/>
  <c r="F490" i="6"/>
  <c r="E468" i="6"/>
  <c r="F468" i="6"/>
  <c r="E455" i="6"/>
  <c r="E467" i="6"/>
  <c r="F467" i="6"/>
  <c r="E458" i="6"/>
  <c r="E457" i="6"/>
  <c r="E469" i="6"/>
  <c r="F469" i="6"/>
  <c r="E456" i="6"/>
  <c r="E479" i="6"/>
  <c r="E443" i="6"/>
  <c r="F443" i="6"/>
  <c r="E442" i="6"/>
  <c r="F442" i="6"/>
  <c r="E440" i="6"/>
  <c r="F440" i="6"/>
  <c r="E438" i="6"/>
  <c r="F438" i="6"/>
  <c r="E437" i="6"/>
  <c r="F437" i="6"/>
  <c r="E427" i="6"/>
  <c r="F427" i="6"/>
  <c r="E426" i="6"/>
  <c r="F426" i="6"/>
  <c r="E413" i="6"/>
  <c r="F413" i="6"/>
  <c r="E401" i="6"/>
  <c r="F401" i="6"/>
  <c r="E387" i="6"/>
  <c r="F387" i="6"/>
  <c r="E386" i="6"/>
  <c r="F386" i="6"/>
  <c r="E377" i="6"/>
  <c r="F377" i="6"/>
  <c r="E397" i="6"/>
  <c r="E376" i="6"/>
  <c r="F376" i="6"/>
  <c r="E369" i="6"/>
  <c r="F369" i="6"/>
  <c r="E368" i="6"/>
  <c r="F368" i="6"/>
  <c r="E367" i="6"/>
  <c r="F367" i="6"/>
  <c r="E366" i="6"/>
  <c r="F366" i="6"/>
  <c r="E359" i="6"/>
  <c r="F359" i="6"/>
  <c r="E357" i="6"/>
  <c r="F357" i="6"/>
  <c r="E355" i="6"/>
  <c r="F355" i="6"/>
  <c r="E354" i="6"/>
  <c r="F354" i="6"/>
  <c r="E353" i="6"/>
  <c r="F353" i="6"/>
  <c r="E344" i="6"/>
  <c r="F344" i="6"/>
  <c r="E340" i="6"/>
  <c r="F340" i="6"/>
  <c r="E328" i="6"/>
  <c r="E339" i="6"/>
  <c r="F339" i="6"/>
  <c r="F328" i="6"/>
  <c r="E318" i="6"/>
  <c r="F318" i="6"/>
  <c r="E308" i="6"/>
  <c r="F308" i="6"/>
  <c r="E289" i="6"/>
  <c r="F289" i="6"/>
  <c r="E288" i="6"/>
  <c r="F288" i="6"/>
  <c r="E252" i="6"/>
  <c r="E265" i="6"/>
  <c r="F265" i="6"/>
  <c r="F264" i="6"/>
  <c r="E242" i="6"/>
  <c r="E263" i="6"/>
  <c r="F263" i="6"/>
  <c r="E261" i="6"/>
  <c r="F261" i="6"/>
  <c r="F252" i="6"/>
  <c r="F242" i="6"/>
  <c r="E241" i="6"/>
  <c r="F241" i="6"/>
  <c r="F230" i="6"/>
  <c r="E230" i="6"/>
  <c r="F229" i="6"/>
  <c r="E229" i="6"/>
  <c r="F228" i="6"/>
  <c r="E228" i="6"/>
  <c r="F227" i="6"/>
  <c r="E227" i="6"/>
  <c r="F226" i="6"/>
  <c r="E226" i="6"/>
  <c r="E190" i="6"/>
  <c r="E204" i="6"/>
  <c r="F204" i="6"/>
  <c r="E196" i="6"/>
  <c r="F196" i="6"/>
  <c r="F190" i="6"/>
  <c r="E233" i="6"/>
  <c r="F233" i="6"/>
  <c r="E180" i="6"/>
  <c r="F180" i="6"/>
  <c r="E167" i="6"/>
  <c r="E210" i="6"/>
  <c r="F210" i="6"/>
  <c r="E131" i="6"/>
  <c r="F131" i="6"/>
  <c r="E129" i="6"/>
  <c r="F129" i="6"/>
  <c r="E120" i="6"/>
  <c r="E11" i="6"/>
  <c r="E67" i="6"/>
  <c r="F67" i="6"/>
  <c r="E53" i="6"/>
  <c r="F53" i="6"/>
  <c r="E109" i="6"/>
  <c r="F109" i="6"/>
  <c r="E39" i="6"/>
  <c r="F39" i="6"/>
  <c r="E7" i="6"/>
  <c r="E21" i="6"/>
  <c r="E35" i="6"/>
  <c r="E25" i="6"/>
  <c r="F25" i="6"/>
  <c r="F21" i="6"/>
  <c r="E19" i="6"/>
  <c r="F11" i="6"/>
  <c r="F7" i="6"/>
  <c r="H840" i="4"/>
  <c r="I840" i="4"/>
  <c r="F840" i="4"/>
  <c r="E837" i="4"/>
  <c r="F837" i="4"/>
  <c r="H837" i="4"/>
  <c r="I837" i="4"/>
  <c r="E836" i="4"/>
  <c r="F836" i="4"/>
  <c r="H836" i="4"/>
  <c r="I836" i="4"/>
  <c r="E828" i="4"/>
  <c r="F828" i="4"/>
  <c r="H828" i="4"/>
  <c r="I828" i="4"/>
  <c r="E827" i="4"/>
  <c r="F827" i="4"/>
  <c r="H827" i="4"/>
  <c r="I827" i="4"/>
  <c r="E826" i="4"/>
  <c r="F826" i="4"/>
  <c r="H826" i="4"/>
  <c r="I826" i="4"/>
  <c r="E825" i="4"/>
  <c r="F825" i="4"/>
  <c r="H825" i="4"/>
  <c r="I825" i="4"/>
  <c r="E824" i="4"/>
  <c r="F824" i="4"/>
  <c r="H824" i="4"/>
  <c r="I824" i="4"/>
  <c r="E823" i="4"/>
  <c r="F823" i="4"/>
  <c r="H823" i="4"/>
  <c r="I823" i="4"/>
  <c r="I829" i="4"/>
  <c r="I830" i="4"/>
  <c r="B60" i="3"/>
  <c r="E439" i="6"/>
  <c r="F439" i="6"/>
  <c r="E814" i="4"/>
  <c r="F814" i="4"/>
  <c r="H814" i="4"/>
  <c r="I814" i="4"/>
  <c r="E806" i="4"/>
  <c r="F806" i="4"/>
  <c r="H806" i="4"/>
  <c r="I806" i="4"/>
  <c r="E805" i="4"/>
  <c r="F805" i="4"/>
  <c r="H805" i="4"/>
  <c r="I805" i="4"/>
  <c r="I807" i="4"/>
  <c r="I808" i="4"/>
  <c r="B58" i="3"/>
  <c r="E276" i="6"/>
  <c r="F276" i="6"/>
  <c r="E796" i="4"/>
  <c r="F796" i="4"/>
  <c r="H796" i="4"/>
  <c r="I796" i="4"/>
  <c r="E794" i="4"/>
  <c r="F794" i="4"/>
  <c r="H794" i="4"/>
  <c r="I794" i="4"/>
  <c r="E784" i="4"/>
  <c r="F784" i="4"/>
  <c r="H784" i="4"/>
  <c r="I784" i="4"/>
  <c r="E780" i="4"/>
  <c r="F780" i="4"/>
  <c r="H780" i="4"/>
  <c r="I780" i="4"/>
  <c r="E778" i="4"/>
  <c r="F778" i="4"/>
  <c r="H778" i="4"/>
  <c r="I778" i="4"/>
  <c r="E777" i="4"/>
  <c r="F777" i="4"/>
  <c r="H777" i="4"/>
  <c r="I777" i="4"/>
  <c r="E768" i="4"/>
  <c r="F768" i="4"/>
  <c r="H768" i="4"/>
  <c r="I768" i="4"/>
  <c r="E767" i="4"/>
  <c r="F767" i="4"/>
  <c r="H767" i="4"/>
  <c r="I767" i="4"/>
  <c r="E766" i="4"/>
  <c r="F766" i="4"/>
  <c r="H766" i="4"/>
  <c r="I766" i="4"/>
  <c r="I769" i="4"/>
  <c r="I770" i="4"/>
  <c r="B55" i="3"/>
  <c r="F758" i="4"/>
  <c r="H758" i="4"/>
  <c r="I758" i="4"/>
  <c r="I757" i="4"/>
  <c r="H757" i="4"/>
  <c r="F757" i="4"/>
  <c r="I756" i="4"/>
  <c r="H756" i="4"/>
  <c r="F756" i="4"/>
  <c r="F755" i="4"/>
  <c r="H755" i="4"/>
  <c r="I755" i="4"/>
  <c r="E747" i="4"/>
  <c r="F747" i="4"/>
  <c r="H747" i="4"/>
  <c r="I747" i="4"/>
  <c r="E746" i="4"/>
  <c r="F746" i="4"/>
  <c r="H746" i="4"/>
  <c r="I746" i="4"/>
  <c r="E704" i="4"/>
  <c r="E736" i="4"/>
  <c r="F736" i="4"/>
  <c r="H736" i="4"/>
  <c r="I736" i="4"/>
  <c r="E735" i="4"/>
  <c r="F735" i="4"/>
  <c r="H735" i="4"/>
  <c r="I735" i="4"/>
  <c r="E732" i="4"/>
  <c r="F732" i="4"/>
  <c r="H732" i="4"/>
  <c r="I732" i="4"/>
  <c r="E731" i="4"/>
  <c r="F731" i="4"/>
  <c r="H731" i="4"/>
  <c r="I731" i="4"/>
  <c r="E730" i="4"/>
  <c r="F730" i="4"/>
  <c r="H730" i="4"/>
  <c r="I730" i="4"/>
  <c r="E721" i="4"/>
  <c r="F721" i="4"/>
  <c r="H721" i="4"/>
  <c r="I721" i="4"/>
  <c r="E712" i="4"/>
  <c r="F712" i="4"/>
  <c r="H712" i="4"/>
  <c r="I712" i="4"/>
  <c r="E706" i="4"/>
  <c r="F706" i="4"/>
  <c r="H706" i="4"/>
  <c r="I706" i="4"/>
  <c r="E705" i="4"/>
  <c r="F704" i="4"/>
  <c r="H704" i="4"/>
  <c r="I704" i="4"/>
  <c r="E703" i="4"/>
  <c r="F703" i="4"/>
  <c r="H703" i="4"/>
  <c r="I703" i="4"/>
  <c r="E695" i="4"/>
  <c r="F695" i="4"/>
  <c r="H695" i="4"/>
  <c r="I695" i="4"/>
  <c r="E694" i="4"/>
  <c r="F694" i="4"/>
  <c r="H694" i="4"/>
  <c r="I694" i="4"/>
  <c r="E693" i="4"/>
  <c r="F693" i="4"/>
  <c r="H693" i="4"/>
  <c r="I693" i="4"/>
  <c r="E691" i="4"/>
  <c r="F691" i="4"/>
  <c r="H691" i="4"/>
  <c r="I691" i="4"/>
  <c r="E690" i="4"/>
  <c r="F690" i="4"/>
  <c r="H690" i="4"/>
  <c r="I690" i="4"/>
  <c r="E689" i="4"/>
  <c r="F689" i="4"/>
  <c r="H689" i="4"/>
  <c r="I689" i="4"/>
  <c r="E687" i="4"/>
  <c r="F687" i="4"/>
  <c r="H687" i="4"/>
  <c r="I687" i="4"/>
  <c r="E686" i="4"/>
  <c r="F686" i="4"/>
  <c r="H686" i="4"/>
  <c r="I686" i="4"/>
  <c r="E684" i="4"/>
  <c r="F684" i="4"/>
  <c r="H684" i="4"/>
  <c r="I684" i="4"/>
  <c r="E683" i="4"/>
  <c r="F683" i="4"/>
  <c r="H683" i="4"/>
  <c r="I683" i="4"/>
  <c r="E682" i="4"/>
  <c r="F682" i="4"/>
  <c r="H682" i="4"/>
  <c r="I682" i="4"/>
  <c r="E681" i="4"/>
  <c r="F681" i="4"/>
  <c r="H681" i="4"/>
  <c r="I681" i="4"/>
  <c r="E680" i="4"/>
  <c r="F680" i="4"/>
  <c r="H680" i="4"/>
  <c r="I680" i="4"/>
  <c r="E679" i="4"/>
  <c r="F679" i="4"/>
  <c r="H679" i="4"/>
  <c r="I679" i="4"/>
  <c r="E678" i="4"/>
  <c r="F678" i="4"/>
  <c r="H678" i="4"/>
  <c r="I678" i="4"/>
  <c r="E677" i="4"/>
  <c r="F677" i="4"/>
  <c r="H677" i="4"/>
  <c r="I677" i="4"/>
  <c r="E676" i="4"/>
  <c r="F676" i="4"/>
  <c r="H676" i="4"/>
  <c r="I676" i="4"/>
  <c r="E668" i="4"/>
  <c r="F668" i="4"/>
  <c r="H668" i="4"/>
  <c r="I668" i="4"/>
  <c r="E667" i="4"/>
  <c r="F667" i="4"/>
  <c r="H667" i="4"/>
  <c r="I667" i="4"/>
  <c r="E665" i="4"/>
  <c r="F665" i="4"/>
  <c r="H665" i="4"/>
  <c r="I665" i="4"/>
  <c r="E663" i="4"/>
  <c r="F663" i="4"/>
  <c r="H663" i="4"/>
  <c r="I663" i="4"/>
  <c r="E662" i="4"/>
  <c r="F662" i="4"/>
  <c r="H662" i="4"/>
  <c r="I662" i="4"/>
  <c r="E661" i="4"/>
  <c r="F661" i="4"/>
  <c r="H661" i="4"/>
  <c r="I661" i="4"/>
  <c r="E660" i="4"/>
  <c r="F660" i="4"/>
  <c r="H660" i="4"/>
  <c r="I660" i="4"/>
  <c r="E652" i="4"/>
  <c r="F652" i="4"/>
  <c r="H652" i="4"/>
  <c r="I652" i="4"/>
  <c r="E651" i="4"/>
  <c r="F651" i="4"/>
  <c r="H651" i="4"/>
  <c r="I651" i="4"/>
  <c r="E650" i="4"/>
  <c r="F650" i="4"/>
  <c r="H650" i="4"/>
  <c r="I650" i="4"/>
  <c r="E642" i="4"/>
  <c r="F642" i="4"/>
  <c r="H642" i="4"/>
  <c r="I642" i="4"/>
  <c r="E640" i="4"/>
  <c r="F640" i="4"/>
  <c r="H640" i="4"/>
  <c r="I640" i="4"/>
  <c r="E630" i="4"/>
  <c r="F630" i="4"/>
  <c r="H630" i="4"/>
  <c r="I630" i="4"/>
  <c r="E622" i="4"/>
  <c r="F622" i="4"/>
  <c r="H622" i="4"/>
  <c r="I622" i="4"/>
  <c r="E621" i="4"/>
  <c r="F621" i="4"/>
  <c r="H621" i="4"/>
  <c r="I621" i="4"/>
  <c r="E610" i="4"/>
  <c r="F610" i="4"/>
  <c r="H610" i="4"/>
  <c r="I610" i="4"/>
  <c r="E609" i="4"/>
  <c r="F609" i="4"/>
  <c r="H609" i="4"/>
  <c r="I609" i="4"/>
  <c r="E607" i="4"/>
  <c r="F607" i="4"/>
  <c r="H607" i="4"/>
  <c r="I607" i="4"/>
  <c r="E599" i="4"/>
  <c r="F599" i="4"/>
  <c r="H599" i="4"/>
  <c r="I599" i="4"/>
  <c r="E598" i="4"/>
  <c r="F598" i="4"/>
  <c r="H598" i="4"/>
  <c r="I598" i="4"/>
  <c r="E588" i="4"/>
  <c r="F588" i="4"/>
  <c r="H588" i="4"/>
  <c r="I588" i="4"/>
  <c r="E586" i="4"/>
  <c r="F586" i="4"/>
  <c r="H586" i="4"/>
  <c r="I586" i="4"/>
  <c r="E584" i="4"/>
  <c r="F584" i="4"/>
  <c r="H584" i="4"/>
  <c r="I584" i="4"/>
  <c r="I576" i="4"/>
  <c r="H576" i="4"/>
  <c r="F576" i="4"/>
  <c r="E575" i="4"/>
  <c r="F575" i="4"/>
  <c r="H575" i="4"/>
  <c r="I575" i="4"/>
  <c r="E574" i="4"/>
  <c r="F574" i="4"/>
  <c r="H574" i="4"/>
  <c r="I574" i="4"/>
  <c r="F573" i="4"/>
  <c r="H573" i="4"/>
  <c r="I573" i="4"/>
  <c r="E562" i="4"/>
  <c r="F562" i="4"/>
  <c r="H562" i="4"/>
  <c r="I562" i="4"/>
  <c r="E561" i="4"/>
  <c r="F561" i="4"/>
  <c r="H561" i="4"/>
  <c r="I561" i="4"/>
  <c r="F552" i="4"/>
  <c r="H552" i="4"/>
  <c r="I552" i="4"/>
  <c r="E551" i="4"/>
  <c r="F551" i="4"/>
  <c r="H551" i="4"/>
  <c r="I551" i="4"/>
  <c r="E548" i="4"/>
  <c r="E492" i="4"/>
  <c r="E547" i="4"/>
  <c r="F547" i="4"/>
  <c r="H547" i="4"/>
  <c r="I547" i="4"/>
  <c r="E538" i="4"/>
  <c r="F538" i="4"/>
  <c r="H538" i="4"/>
  <c r="I538" i="4"/>
  <c r="E535" i="4"/>
  <c r="F535" i="4"/>
  <c r="H535" i="4"/>
  <c r="I535" i="4"/>
  <c r="E533" i="4"/>
  <c r="F533" i="4"/>
  <c r="H533" i="4"/>
  <c r="I533" i="4"/>
  <c r="E524" i="4"/>
  <c r="E523" i="4"/>
  <c r="F523" i="4"/>
  <c r="H523" i="4"/>
  <c r="I523" i="4"/>
  <c r="E511" i="4"/>
  <c r="E522" i="4"/>
  <c r="F522" i="4"/>
  <c r="H522" i="4"/>
  <c r="I522" i="4"/>
  <c r="I519" i="4"/>
  <c r="H519" i="4"/>
  <c r="F519" i="4"/>
  <c r="F511" i="4"/>
  <c r="H511" i="4"/>
  <c r="I511" i="4"/>
  <c r="E481" i="4"/>
  <c r="E508" i="4"/>
  <c r="F508" i="4"/>
  <c r="H508" i="4"/>
  <c r="I508" i="4"/>
  <c r="E506" i="4"/>
  <c r="F506" i="4"/>
  <c r="H506" i="4"/>
  <c r="I506" i="4"/>
  <c r="E497" i="4"/>
  <c r="F497" i="4"/>
  <c r="H497" i="4"/>
  <c r="I497" i="4"/>
  <c r="E496" i="4"/>
  <c r="F496" i="4"/>
  <c r="H496" i="4"/>
  <c r="I496" i="4"/>
  <c r="E495" i="4"/>
  <c r="F495" i="4"/>
  <c r="H495" i="4"/>
  <c r="I495" i="4"/>
  <c r="E494" i="4"/>
  <c r="F494" i="4"/>
  <c r="H494" i="4"/>
  <c r="I494" i="4"/>
  <c r="E493" i="4"/>
  <c r="F493" i="4"/>
  <c r="H493" i="4"/>
  <c r="I493" i="4"/>
  <c r="F492" i="4"/>
  <c r="H492" i="4"/>
  <c r="I492" i="4"/>
  <c r="F483" i="4"/>
  <c r="H483" i="4"/>
  <c r="I483" i="4"/>
  <c r="E453" i="4"/>
  <c r="E482" i="4"/>
  <c r="F481" i="4"/>
  <c r="H481" i="4"/>
  <c r="I481" i="4"/>
  <c r="E480" i="4"/>
  <c r="F480" i="4"/>
  <c r="H480" i="4"/>
  <c r="I480" i="4"/>
  <c r="E479" i="4"/>
  <c r="F479" i="4"/>
  <c r="H479" i="4"/>
  <c r="I479" i="4"/>
  <c r="E478" i="4"/>
  <c r="F478" i="4"/>
  <c r="H478" i="4"/>
  <c r="I478" i="4"/>
  <c r="E470" i="4"/>
  <c r="F470" i="4"/>
  <c r="H470" i="4"/>
  <c r="I470" i="4"/>
  <c r="E468" i="4"/>
  <c r="F468" i="4"/>
  <c r="H468" i="4"/>
  <c r="I468" i="4"/>
  <c r="E465" i="4"/>
  <c r="F465" i="4"/>
  <c r="H465" i="4"/>
  <c r="I465" i="4"/>
  <c r="E464" i="4"/>
  <c r="F464" i="4"/>
  <c r="H464" i="4"/>
  <c r="I464" i="4"/>
  <c r="E463" i="4"/>
  <c r="F463" i="4"/>
  <c r="H463" i="4"/>
  <c r="I463" i="4"/>
  <c r="E462" i="4"/>
  <c r="F462" i="4"/>
  <c r="H462" i="4"/>
  <c r="I462" i="4"/>
  <c r="F453" i="4"/>
  <c r="H453" i="4"/>
  <c r="I453" i="4"/>
  <c r="E452" i="4"/>
  <c r="F452" i="4"/>
  <c r="H452" i="4"/>
  <c r="I452" i="4"/>
  <c r="E451" i="4"/>
  <c r="F451" i="4"/>
  <c r="H451" i="4"/>
  <c r="I451" i="4"/>
  <c r="E450" i="4"/>
  <c r="F450" i="4"/>
  <c r="H450" i="4"/>
  <c r="I450" i="4"/>
  <c r="E438" i="4"/>
  <c r="E449" i="4"/>
  <c r="F449" i="4"/>
  <c r="H449" i="4"/>
  <c r="I449" i="4"/>
  <c r="E437" i="4"/>
  <c r="E448" i="4"/>
  <c r="F448" i="4"/>
  <c r="H448" i="4"/>
  <c r="I448" i="4"/>
  <c r="E440" i="4"/>
  <c r="F440" i="4"/>
  <c r="H440" i="4"/>
  <c r="I440" i="4"/>
  <c r="E439" i="4"/>
  <c r="F439" i="4"/>
  <c r="H439" i="4"/>
  <c r="I439" i="4"/>
  <c r="F438" i="4"/>
  <c r="H438" i="4"/>
  <c r="I438" i="4"/>
  <c r="F437" i="4"/>
  <c r="H437" i="4"/>
  <c r="I437" i="4"/>
  <c r="E436" i="4"/>
  <c r="F436" i="4"/>
  <c r="H436" i="4"/>
  <c r="I436" i="4"/>
  <c r="E424" i="4"/>
  <c r="F424" i="4"/>
  <c r="H424" i="4"/>
  <c r="I424" i="4"/>
  <c r="E423" i="4"/>
  <c r="F423" i="4"/>
  <c r="H423" i="4"/>
  <c r="I423" i="4"/>
  <c r="E406" i="4"/>
  <c r="F406" i="4"/>
  <c r="H406" i="4"/>
  <c r="I406" i="4"/>
  <c r="E350" i="4"/>
  <c r="E404" i="4"/>
  <c r="F404" i="4"/>
  <c r="H404" i="4"/>
  <c r="I404" i="4"/>
  <c r="E402" i="4"/>
  <c r="F402" i="4"/>
  <c r="H402" i="4"/>
  <c r="I402" i="4"/>
  <c r="E401" i="4"/>
  <c r="F401" i="4"/>
  <c r="H401" i="4"/>
  <c r="I401" i="4"/>
  <c r="E400" i="4"/>
  <c r="F400" i="4"/>
  <c r="H400" i="4"/>
  <c r="I400" i="4"/>
  <c r="E392" i="4"/>
  <c r="F392" i="4"/>
  <c r="H392" i="4"/>
  <c r="I392" i="4"/>
  <c r="E391" i="4"/>
  <c r="F391" i="4"/>
  <c r="H391" i="4"/>
  <c r="I391" i="4"/>
  <c r="E389" i="4"/>
  <c r="F389" i="4"/>
  <c r="H389" i="4"/>
  <c r="I389" i="4"/>
  <c r="E363" i="4"/>
  <c r="E379" i="4"/>
  <c r="I378" i="4"/>
  <c r="H378" i="4"/>
  <c r="F378" i="4"/>
  <c r="E373" i="4"/>
  <c r="F373" i="4"/>
  <c r="H373" i="4"/>
  <c r="I373" i="4"/>
  <c r="E372" i="4"/>
  <c r="F372" i="4"/>
  <c r="H372" i="4"/>
  <c r="I372" i="4"/>
  <c r="E364" i="4"/>
  <c r="F364" i="4"/>
  <c r="H364" i="4"/>
  <c r="I364" i="4"/>
  <c r="E381" i="4"/>
  <c r="F381" i="4"/>
  <c r="H381" i="4"/>
  <c r="I381" i="4"/>
  <c r="F363" i="4"/>
  <c r="H363" i="4"/>
  <c r="I363" i="4"/>
  <c r="E362" i="4"/>
  <c r="F362" i="4"/>
  <c r="H362" i="4"/>
  <c r="I362" i="4"/>
  <c r="E360" i="4"/>
  <c r="E374" i="4"/>
  <c r="F374" i="4"/>
  <c r="H374" i="4"/>
  <c r="I374" i="4"/>
  <c r="E358" i="4"/>
  <c r="F358" i="4"/>
  <c r="H358" i="4"/>
  <c r="I358" i="4"/>
  <c r="F350" i="4"/>
  <c r="H350" i="4"/>
  <c r="I350" i="4"/>
  <c r="E348" i="4"/>
  <c r="F348" i="4"/>
  <c r="H348" i="4"/>
  <c r="I348" i="4"/>
  <c r="E346" i="4"/>
  <c r="F346" i="4"/>
  <c r="H346" i="4"/>
  <c r="I346" i="4"/>
  <c r="E345" i="4"/>
  <c r="F345" i="4"/>
  <c r="H345" i="4"/>
  <c r="I345" i="4"/>
  <c r="E344" i="4"/>
  <c r="F344" i="4"/>
  <c r="H344" i="4"/>
  <c r="I344" i="4"/>
  <c r="E289" i="4"/>
  <c r="E331" i="4"/>
  <c r="F331" i="4"/>
  <c r="H331" i="4"/>
  <c r="I331" i="4"/>
  <c r="E321" i="4"/>
  <c r="F321" i="4"/>
  <c r="H321" i="4"/>
  <c r="I321" i="4"/>
  <c r="I320" i="4"/>
  <c r="H320" i="4"/>
  <c r="F320" i="4"/>
  <c r="E319" i="4"/>
  <c r="F319" i="4"/>
  <c r="H319" i="4"/>
  <c r="I319" i="4"/>
  <c r="E308" i="4"/>
  <c r="F308" i="4"/>
  <c r="H308" i="4"/>
  <c r="I308" i="4"/>
  <c r="E307" i="4"/>
  <c r="F307" i="4"/>
  <c r="H307" i="4"/>
  <c r="I307" i="4"/>
  <c r="E296" i="4"/>
  <c r="F296" i="4"/>
  <c r="H296" i="4"/>
  <c r="I296" i="4"/>
  <c r="E294" i="4"/>
  <c r="F294" i="4"/>
  <c r="H294" i="4"/>
  <c r="I294" i="4"/>
  <c r="F289" i="4"/>
  <c r="H289" i="4"/>
  <c r="I289" i="4"/>
  <c r="E280" i="4"/>
  <c r="F280" i="4"/>
  <c r="H280" i="4"/>
  <c r="I280" i="4"/>
  <c r="E278" i="4"/>
  <c r="F278" i="4"/>
  <c r="H278" i="4"/>
  <c r="I278" i="4"/>
  <c r="E277" i="4"/>
  <c r="F277" i="4"/>
  <c r="H277" i="4"/>
  <c r="I277" i="4"/>
  <c r="E274" i="4"/>
  <c r="F274" i="4"/>
  <c r="H274" i="4"/>
  <c r="I274" i="4"/>
  <c r="E254" i="4"/>
  <c r="E273" i="4"/>
  <c r="F273" i="4"/>
  <c r="H273" i="4"/>
  <c r="I273" i="4"/>
  <c r="E272" i="4"/>
  <c r="F272" i="4"/>
  <c r="H272" i="4"/>
  <c r="I272" i="4"/>
  <c r="E269" i="4"/>
  <c r="F269" i="4"/>
  <c r="H269" i="4"/>
  <c r="I269" i="4"/>
  <c r="E257" i="4"/>
  <c r="F257" i="4"/>
  <c r="H257" i="4"/>
  <c r="I257" i="4"/>
  <c r="F254" i="4"/>
  <c r="H254" i="4"/>
  <c r="I254" i="4"/>
  <c r="E241" i="4"/>
  <c r="F241" i="4"/>
  <c r="H241" i="4"/>
  <c r="I241" i="4"/>
  <c r="F222" i="4"/>
  <c r="H222" i="4"/>
  <c r="I222" i="4"/>
  <c r="F221" i="4"/>
  <c r="H221" i="4"/>
  <c r="I221" i="4"/>
  <c r="I220" i="4"/>
  <c r="H220" i="4"/>
  <c r="F220" i="4"/>
  <c r="H219" i="4"/>
  <c r="I219" i="4"/>
  <c r="F219" i="4"/>
  <c r="F218" i="4"/>
  <c r="H218" i="4"/>
  <c r="I218" i="4"/>
  <c r="E210" i="4"/>
  <c r="F210" i="4"/>
  <c r="H210" i="4"/>
  <c r="I210" i="4"/>
  <c r="E209" i="4"/>
  <c r="F209" i="4"/>
  <c r="H209" i="4"/>
  <c r="I209" i="4"/>
  <c r="E208" i="4"/>
  <c r="F208" i="4"/>
  <c r="H208" i="4"/>
  <c r="I208" i="4"/>
  <c r="E204" i="4"/>
  <c r="F204" i="4"/>
  <c r="H204" i="4"/>
  <c r="I204" i="4"/>
  <c r="E205" i="4"/>
  <c r="F205" i="4"/>
  <c r="H205" i="4"/>
  <c r="I205" i="4"/>
  <c r="E191" i="4"/>
  <c r="E203" i="4"/>
  <c r="F203" i="4"/>
  <c r="H203" i="4"/>
  <c r="I203" i="4"/>
  <c r="E199" i="4"/>
  <c r="F199" i="4"/>
  <c r="H199" i="4"/>
  <c r="I199" i="4"/>
  <c r="F191" i="4"/>
  <c r="H191" i="4"/>
  <c r="I191" i="4"/>
  <c r="E190" i="4"/>
  <c r="F190" i="4"/>
  <c r="H190" i="4"/>
  <c r="I190" i="4"/>
  <c r="E189" i="4"/>
  <c r="F189" i="4"/>
  <c r="H189" i="4"/>
  <c r="I189" i="4"/>
  <c r="E188" i="4"/>
  <c r="F188" i="4"/>
  <c r="H188" i="4"/>
  <c r="I188" i="4"/>
  <c r="E187" i="4"/>
  <c r="F187" i="4"/>
  <c r="H187" i="4"/>
  <c r="I187" i="4"/>
  <c r="E186" i="4"/>
  <c r="F186" i="4"/>
  <c r="H186" i="4"/>
  <c r="I186" i="4"/>
  <c r="E184" i="4"/>
  <c r="F184" i="4"/>
  <c r="H184" i="4"/>
  <c r="I184" i="4"/>
  <c r="E182" i="4"/>
  <c r="E200" i="4"/>
  <c r="E242" i="4"/>
  <c r="E181" i="4"/>
  <c r="F181" i="4"/>
  <c r="H181" i="4"/>
  <c r="I181" i="4"/>
  <c r="F173" i="4"/>
  <c r="H173" i="4"/>
  <c r="I173" i="4"/>
  <c r="E172" i="4"/>
  <c r="F172" i="4"/>
  <c r="H172" i="4"/>
  <c r="I172" i="4"/>
  <c r="E169" i="4"/>
  <c r="F169" i="4"/>
  <c r="H169" i="4"/>
  <c r="I169" i="4"/>
  <c r="E168" i="4"/>
  <c r="F168" i="4"/>
  <c r="H168" i="4"/>
  <c r="I168" i="4"/>
  <c r="H167" i="4"/>
  <c r="I167" i="4"/>
  <c r="F167" i="4"/>
  <c r="E152" i="4"/>
  <c r="E166" i="4"/>
  <c r="E165" i="4"/>
  <c r="F165" i="4"/>
  <c r="H165" i="4"/>
  <c r="I165" i="4"/>
  <c r="E164" i="4"/>
  <c r="F164" i="4"/>
  <c r="H164" i="4"/>
  <c r="I164" i="4"/>
  <c r="E154" i="4"/>
  <c r="F154" i="4"/>
  <c r="H154" i="4"/>
  <c r="I154" i="4"/>
  <c r="E153" i="4"/>
  <c r="F153" i="4"/>
  <c r="H153" i="4"/>
  <c r="I153" i="4"/>
  <c r="F152" i="4"/>
  <c r="H152" i="4"/>
  <c r="I152" i="4"/>
  <c r="E151" i="4"/>
  <c r="F151" i="4"/>
  <c r="H151" i="4"/>
  <c r="I151" i="4"/>
  <c r="E150" i="4"/>
  <c r="F150" i="4"/>
  <c r="H150" i="4"/>
  <c r="I150" i="4"/>
  <c r="E142" i="4"/>
  <c r="F142" i="4"/>
  <c r="H142" i="4"/>
  <c r="I142" i="4"/>
  <c r="E141" i="4"/>
  <c r="F141" i="4"/>
  <c r="H141" i="4"/>
  <c r="I141" i="4"/>
  <c r="E140" i="4"/>
  <c r="F140" i="4"/>
  <c r="H140" i="4"/>
  <c r="I140" i="4"/>
  <c r="E139" i="4"/>
  <c r="F139" i="4"/>
  <c r="H139" i="4"/>
  <c r="I139" i="4"/>
  <c r="E138" i="4"/>
  <c r="F138" i="4"/>
  <c r="H138" i="4"/>
  <c r="I138" i="4"/>
  <c r="E126" i="4"/>
  <c r="F126" i="4"/>
  <c r="H126" i="4"/>
  <c r="I126" i="4"/>
  <c r="I125" i="4"/>
  <c r="H125" i="4"/>
  <c r="F125" i="4"/>
  <c r="E122" i="4"/>
  <c r="F122" i="4"/>
  <c r="H122" i="4"/>
  <c r="I122" i="4"/>
  <c r="E111" i="4"/>
  <c r="F111" i="4"/>
  <c r="H111" i="4"/>
  <c r="I111" i="4"/>
  <c r="I110" i="4"/>
  <c r="F110" i="4"/>
  <c r="H110" i="4"/>
  <c r="E83" i="4"/>
  <c r="E109" i="4"/>
  <c r="F109" i="4"/>
  <c r="H109" i="4"/>
  <c r="I109" i="4"/>
  <c r="E81" i="4"/>
  <c r="E108" i="4"/>
  <c r="F108" i="4"/>
  <c r="H108" i="4"/>
  <c r="I108" i="4"/>
  <c r="E99" i="4"/>
  <c r="F99" i="4"/>
  <c r="H99" i="4"/>
  <c r="I99" i="4"/>
  <c r="E98" i="4"/>
  <c r="F98" i="4"/>
  <c r="H98" i="4"/>
  <c r="I98" i="4"/>
  <c r="H86" i="4"/>
  <c r="I86" i="4"/>
  <c r="F86" i="4"/>
  <c r="E72" i="4"/>
  <c r="F72" i="4"/>
  <c r="H72" i="4"/>
  <c r="I72" i="4"/>
  <c r="E71" i="4"/>
  <c r="F71" i="4"/>
  <c r="H71" i="4"/>
  <c r="I71" i="4"/>
  <c r="E70" i="4"/>
  <c r="I69" i="4"/>
  <c r="F69" i="4"/>
  <c r="H69" i="4"/>
  <c r="E68" i="4"/>
  <c r="F68" i="4"/>
  <c r="H68" i="4"/>
  <c r="I68" i="4"/>
  <c r="E56" i="4"/>
  <c r="F56" i="4"/>
  <c r="H56" i="4"/>
  <c r="I56" i="4"/>
  <c r="E54" i="4"/>
  <c r="F54" i="4"/>
  <c r="H54" i="4"/>
  <c r="I54" i="4"/>
  <c r="E53" i="4"/>
  <c r="F53" i="4"/>
  <c r="H53" i="4"/>
  <c r="I53" i="4"/>
  <c r="E52" i="4"/>
  <c r="F52" i="4"/>
  <c r="H52" i="4"/>
  <c r="I52" i="4"/>
  <c r="E51" i="4"/>
  <c r="F51" i="4"/>
  <c r="H51" i="4"/>
  <c r="I51" i="4"/>
  <c r="E50" i="4"/>
  <c r="F50" i="4"/>
  <c r="H50" i="4"/>
  <c r="I50" i="4"/>
  <c r="E49" i="4"/>
  <c r="F49" i="4"/>
  <c r="H49" i="4"/>
  <c r="I49" i="4"/>
  <c r="E48" i="4"/>
  <c r="F48" i="4"/>
  <c r="H48" i="4"/>
  <c r="I48" i="4"/>
  <c r="E47" i="4"/>
  <c r="F47" i="4"/>
  <c r="H47" i="4"/>
  <c r="I47" i="4"/>
  <c r="E46" i="4"/>
  <c r="F46" i="4"/>
  <c r="H46" i="4"/>
  <c r="I46" i="4"/>
  <c r="E37" i="4"/>
  <c r="F37" i="4"/>
  <c r="H37" i="4"/>
  <c r="I37" i="4"/>
  <c r="E36" i="4"/>
  <c r="F36" i="4"/>
  <c r="H36" i="4"/>
  <c r="I36" i="4"/>
  <c r="E35" i="4"/>
  <c r="F35" i="4"/>
  <c r="H35" i="4"/>
  <c r="I35" i="4"/>
  <c r="E33" i="4"/>
  <c r="F33" i="4"/>
  <c r="H33" i="4"/>
  <c r="I33" i="4"/>
  <c r="E32" i="4"/>
  <c r="F32" i="4"/>
  <c r="H32" i="4"/>
  <c r="I32" i="4"/>
  <c r="E31" i="4"/>
  <c r="F31" i="4"/>
  <c r="H31" i="4"/>
  <c r="I31" i="4"/>
  <c r="E30" i="4"/>
  <c r="F30" i="4"/>
  <c r="H30" i="4"/>
  <c r="I30" i="4"/>
  <c r="E29" i="4"/>
  <c r="F29" i="4"/>
  <c r="H29" i="4"/>
  <c r="I29" i="4"/>
  <c r="E21" i="4"/>
  <c r="F21" i="4"/>
  <c r="H21" i="4"/>
  <c r="I21" i="4"/>
  <c r="E20" i="4"/>
  <c r="F20" i="4"/>
  <c r="H20" i="4"/>
  <c r="I20" i="4"/>
  <c r="E19" i="4"/>
  <c r="F19" i="4"/>
  <c r="H19" i="4"/>
  <c r="I19" i="4"/>
  <c r="E18" i="4"/>
  <c r="F18" i="4"/>
  <c r="H18" i="4"/>
  <c r="I18" i="4"/>
  <c r="E16" i="4"/>
  <c r="F16" i="4"/>
  <c r="H16" i="4"/>
  <c r="I16" i="4"/>
  <c r="E5" i="4"/>
  <c r="F5" i="4"/>
  <c r="H5" i="4"/>
  <c r="I5" i="4"/>
  <c r="E436" i="6"/>
  <c r="F436" i="6"/>
  <c r="E793" i="6"/>
  <c r="F793" i="6"/>
  <c r="E1196" i="6"/>
  <c r="F1196" i="6"/>
  <c r="E1183" i="6"/>
  <c r="F1183" i="6"/>
  <c r="E329" i="6"/>
  <c r="F329" i="6"/>
  <c r="E141" i="6"/>
  <c r="F141" i="6"/>
  <c r="E1103" i="6"/>
  <c r="F1103" i="6"/>
  <c r="E608" i="4"/>
  <c r="F608" i="4"/>
  <c r="H608" i="4"/>
  <c r="I608" i="4"/>
  <c r="E371" i="6"/>
  <c r="F371" i="6"/>
  <c r="E563" i="6"/>
  <c r="F563" i="6"/>
  <c r="E521" i="6"/>
  <c r="E317" i="4"/>
  <c r="F317" i="4"/>
  <c r="H317" i="4"/>
  <c r="I317" i="4"/>
  <c r="E297" i="4"/>
  <c r="F297" i="4"/>
  <c r="H297" i="4"/>
  <c r="I297" i="4"/>
  <c r="E1141" i="6"/>
  <c r="E508" i="6"/>
  <c r="F508" i="6"/>
  <c r="E1110" i="6"/>
  <c r="E782" i="4"/>
  <c r="F782" i="4"/>
  <c r="H782" i="4"/>
  <c r="I782" i="4"/>
  <c r="E1126" i="6"/>
  <c r="F1126" i="6"/>
  <c r="E948" i="6"/>
  <c r="F948" i="6"/>
  <c r="E549" i="4"/>
  <c r="F549" i="4"/>
  <c r="H549" i="4"/>
  <c r="I549" i="4"/>
  <c r="E776" i="4"/>
  <c r="F776" i="4"/>
  <c r="H776" i="4"/>
  <c r="I776" i="4"/>
  <c r="E453" i="6"/>
  <c r="E615" i="6"/>
  <c r="E1048" i="6"/>
  <c r="F1048" i="6"/>
  <c r="E469" i="4"/>
  <c r="F469" i="4"/>
  <c r="H469" i="4"/>
  <c r="I469" i="4"/>
  <c r="E244" i="6"/>
  <c r="E766" i="6"/>
  <c r="E542" i="6"/>
  <c r="F542" i="6"/>
  <c r="E617" i="6"/>
  <c r="F617" i="6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I143" i="4"/>
  <c r="I144" i="4"/>
  <c r="B11" i="3"/>
  <c r="F926" i="6"/>
  <c r="E951" i="6"/>
  <c r="F951" i="6"/>
  <c r="F949" i="6"/>
  <c r="E1035" i="6"/>
  <c r="E989" i="6"/>
  <c r="E710" i="6"/>
  <c r="F710" i="6"/>
  <c r="E370" i="6"/>
  <c r="F370" i="6"/>
  <c r="E181" i="6"/>
  <c r="F181" i="6"/>
  <c r="E128" i="4"/>
  <c r="F128" i="4"/>
  <c r="H128" i="4"/>
  <c r="I128" i="4"/>
  <c r="E992" i="6"/>
  <c r="E925" i="6"/>
  <c r="E1119" i="6"/>
  <c r="E873" i="6"/>
  <c r="E388" i="6"/>
  <c r="F388" i="6"/>
  <c r="E745" i="4"/>
  <c r="F745" i="4"/>
  <c r="H745" i="4"/>
  <c r="I745" i="4"/>
  <c r="E356" i="6"/>
  <c r="F356" i="6"/>
  <c r="E632" i="6"/>
  <c r="F632" i="6"/>
  <c r="E938" i="6"/>
  <c r="F938" i="6"/>
  <c r="E1117" i="6"/>
  <c r="E374" i="6"/>
  <c r="F374" i="6"/>
  <c r="E707" i="4"/>
  <c r="E7" i="4"/>
  <c r="F7" i="4"/>
  <c r="H7" i="4"/>
  <c r="I7" i="4"/>
  <c r="E1047" i="6"/>
  <c r="F1047" i="6"/>
  <c r="E429" i="6"/>
  <c r="F429" i="6"/>
  <c r="E693" i="6"/>
  <c r="E315" i="6"/>
  <c r="E1155" i="6"/>
  <c r="F1141" i="6"/>
  <c r="E779" i="4"/>
  <c r="F779" i="4"/>
  <c r="H779" i="4"/>
  <c r="I779" i="4"/>
  <c r="E288" i="4"/>
  <c r="E815" i="4"/>
  <c r="F815" i="4"/>
  <c r="H815" i="4"/>
  <c r="I815" i="4"/>
  <c r="I816" i="4"/>
  <c r="I817" i="4"/>
  <c r="B59" i="3"/>
  <c r="E319" i="6"/>
  <c r="E84" i="4"/>
  <c r="F84" i="4"/>
  <c r="H84" i="4"/>
  <c r="I84" i="4"/>
  <c r="E67" i="4"/>
  <c r="F67" i="4"/>
  <c r="H67" i="4"/>
  <c r="I67" i="4"/>
  <c r="E1116" i="6"/>
  <c r="F1116" i="6"/>
  <c r="E755" i="6"/>
  <c r="F755" i="6"/>
  <c r="E372" i="6"/>
  <c r="F372" i="6"/>
  <c r="E195" i="6"/>
  <c r="E441" i="6"/>
  <c r="F441" i="6"/>
  <c r="E349" i="4"/>
  <c r="F349" i="4"/>
  <c r="H349" i="4"/>
  <c r="I349" i="4"/>
  <c r="E275" i="4"/>
  <c r="F275" i="4"/>
  <c r="H275" i="4"/>
  <c r="I275" i="4"/>
  <c r="E843" i="4"/>
  <c r="F843" i="4"/>
  <c r="H843" i="4"/>
  <c r="I843" i="4"/>
  <c r="E403" i="4"/>
  <c r="F403" i="4"/>
  <c r="H403" i="4"/>
  <c r="I403" i="4"/>
  <c r="E66" i="4"/>
  <c r="E4" i="4"/>
  <c r="F4" i="4"/>
  <c r="H4" i="4"/>
  <c r="I4" i="4"/>
  <c r="E8" i="4"/>
  <c r="F8" i="4"/>
  <c r="H8" i="4"/>
  <c r="I8" i="4"/>
  <c r="E6" i="4"/>
  <c r="F6" i="4"/>
  <c r="H6" i="4"/>
  <c r="I6" i="4"/>
  <c r="I9" i="4"/>
  <c r="I10" i="4"/>
  <c r="E82" i="4"/>
  <c r="F82" i="4"/>
  <c r="H82" i="4"/>
  <c r="I82" i="4"/>
  <c r="F70" i="4"/>
  <c r="H70" i="4"/>
  <c r="I70" i="4"/>
  <c r="F242" i="4"/>
  <c r="H242" i="4"/>
  <c r="I242" i="4"/>
  <c r="E258" i="4"/>
  <c r="E256" i="4"/>
  <c r="F256" i="4"/>
  <c r="H256" i="4"/>
  <c r="I256" i="4"/>
  <c r="I577" i="4"/>
  <c r="I578" i="4"/>
  <c r="B41" i="3"/>
  <c r="E492" i="6"/>
  <c r="F492" i="6"/>
  <c r="E1111" i="6"/>
  <c r="E811" i="6"/>
  <c r="F811" i="6"/>
  <c r="E616" i="6"/>
  <c r="E651" i="6"/>
  <c r="F651" i="6"/>
  <c r="E5" i="6"/>
  <c r="F5" i="6"/>
  <c r="E352" i="6"/>
  <c r="F352" i="6"/>
  <c r="E795" i="4"/>
  <c r="F795" i="4"/>
  <c r="H795" i="4"/>
  <c r="I795" i="4"/>
  <c r="E797" i="4"/>
  <c r="F797" i="4"/>
  <c r="H797" i="4"/>
  <c r="I797" i="4"/>
  <c r="I798" i="4"/>
  <c r="I799" i="4"/>
  <c r="B57" i="3"/>
  <c r="E733" i="4"/>
  <c r="F733" i="4"/>
  <c r="H733" i="4"/>
  <c r="I733" i="4"/>
  <c r="E466" i="4"/>
  <c r="F466" i="4"/>
  <c r="H466" i="4"/>
  <c r="I466" i="4"/>
  <c r="E467" i="4"/>
  <c r="F467" i="4"/>
  <c r="H467" i="4"/>
  <c r="I467" i="4"/>
  <c r="I471" i="4"/>
  <c r="I472" i="4"/>
  <c r="E618" i="4"/>
  <c r="F618" i="4"/>
  <c r="H618" i="4"/>
  <c r="I618" i="4"/>
  <c r="E520" i="4"/>
  <c r="F520" i="4"/>
  <c r="H520" i="4"/>
  <c r="I520" i="4"/>
  <c r="E87" i="4"/>
  <c r="E912" i="6"/>
  <c r="F912" i="6"/>
  <c r="E414" i="6"/>
  <c r="F414" i="6"/>
  <c r="E1134" i="6"/>
  <c r="E373" i="6"/>
  <c r="F373" i="6"/>
  <c r="E839" i="4"/>
  <c r="F839" i="4"/>
  <c r="H839" i="4"/>
  <c r="I839" i="4"/>
  <c r="E708" i="4"/>
  <c r="E664" i="4"/>
  <c r="F664" i="4"/>
  <c r="H664" i="4"/>
  <c r="I664" i="4"/>
  <c r="F615" i="6"/>
  <c r="E659" i="6"/>
  <c r="E465" i="6"/>
  <c r="F453" i="6"/>
  <c r="E727" i="6"/>
  <c r="F727" i="6"/>
  <c r="E532" i="4"/>
  <c r="F532" i="4"/>
  <c r="H532" i="4"/>
  <c r="I532" i="4"/>
  <c r="E129" i="4"/>
  <c r="F129" i="4"/>
  <c r="H129" i="4"/>
  <c r="I129" i="4"/>
  <c r="E838" i="4"/>
  <c r="F838" i="4"/>
  <c r="H838" i="4"/>
  <c r="I838" i="4"/>
  <c r="E123" i="4"/>
  <c r="F123" i="4"/>
  <c r="H123" i="4"/>
  <c r="I123" i="4"/>
  <c r="E546" i="6"/>
  <c r="F521" i="6"/>
  <c r="E965" i="6"/>
  <c r="E358" i="6"/>
  <c r="F358" i="6"/>
  <c r="E535" i="6"/>
  <c r="F535" i="6"/>
  <c r="E662" i="6"/>
  <c r="E519" i="6"/>
  <c r="F519" i="6"/>
  <c r="E428" i="6"/>
  <c r="F428" i="6"/>
  <c r="E454" i="6"/>
  <c r="E744" i="4"/>
  <c r="F744" i="4"/>
  <c r="H744" i="4"/>
  <c r="I744" i="4"/>
  <c r="E722" i="4"/>
  <c r="F722" i="4"/>
  <c r="H722" i="4"/>
  <c r="I722" i="4"/>
  <c r="E509" i="4"/>
  <c r="E936" i="6"/>
  <c r="E399" i="6"/>
  <c r="E534" i="4"/>
  <c r="F534" i="4"/>
  <c r="H534" i="4"/>
  <c r="I534" i="4"/>
  <c r="E295" i="4"/>
  <c r="E127" i="4"/>
  <c r="F127" i="4"/>
  <c r="H127" i="4"/>
  <c r="I127" i="4"/>
  <c r="E34" i="4"/>
  <c r="F34" i="4"/>
  <c r="H34" i="4"/>
  <c r="I34" i="4"/>
  <c r="E17" i="4"/>
  <c r="F17" i="4"/>
  <c r="H17" i="4"/>
  <c r="I17" i="4"/>
  <c r="I22" i="4"/>
  <c r="I23" i="4"/>
  <c r="E55" i="4"/>
  <c r="F55" i="4"/>
  <c r="H55" i="4"/>
  <c r="I55" i="4"/>
  <c r="E57" i="4"/>
  <c r="F57" i="4"/>
  <c r="H57" i="4"/>
  <c r="I57" i="4"/>
  <c r="I58" i="4"/>
  <c r="I59" i="4"/>
  <c r="B5" i="3"/>
  <c r="E251" i="6"/>
  <c r="F251" i="6"/>
  <c r="F81" i="4"/>
  <c r="H81" i="4"/>
  <c r="I81" i="4"/>
  <c r="F83" i="4"/>
  <c r="H83" i="4"/>
  <c r="I83" i="4"/>
  <c r="E207" i="4"/>
  <c r="F166" i="4"/>
  <c r="H166" i="4"/>
  <c r="I166" i="4"/>
  <c r="F182" i="4"/>
  <c r="H182" i="4"/>
  <c r="I182" i="4"/>
  <c r="I234" i="4"/>
  <c r="I235" i="4"/>
  <c r="B17" i="3"/>
  <c r="E489" i="6"/>
  <c r="F489" i="6"/>
  <c r="E306" i="4"/>
  <c r="F306" i="4"/>
  <c r="H306" i="4"/>
  <c r="I306" i="4"/>
  <c r="F360" i="4"/>
  <c r="H360" i="4"/>
  <c r="I360" i="4"/>
  <c r="E427" i="4"/>
  <c r="F427" i="4"/>
  <c r="H427" i="4"/>
  <c r="I427" i="4"/>
  <c r="I441" i="4"/>
  <c r="I442" i="4"/>
  <c r="B31" i="3"/>
  <c r="E498" i="4"/>
  <c r="F482" i="4"/>
  <c r="H482" i="4"/>
  <c r="I482" i="4"/>
  <c r="I653" i="4"/>
  <c r="I654" i="4"/>
  <c r="B48" i="3"/>
  <c r="E669" i="6"/>
  <c r="I759" i="4"/>
  <c r="I760" i="4"/>
  <c r="E470" i="6"/>
  <c r="F458" i="6"/>
  <c r="I38" i="4"/>
  <c r="I39" i="4"/>
  <c r="B4" i="3"/>
  <c r="F379" i="4"/>
  <c r="H379" i="4"/>
  <c r="I379" i="4"/>
  <c r="E405" i="4"/>
  <c r="I611" i="4"/>
  <c r="I612" i="4"/>
  <c r="B44" i="3"/>
  <c r="E720" i="4"/>
  <c r="F720" i="4"/>
  <c r="H720" i="4"/>
  <c r="I720" i="4"/>
  <c r="I723" i="4"/>
  <c r="I724" i="4"/>
  <c r="B52" i="3"/>
  <c r="E623" i="6"/>
  <c r="F623" i="6"/>
  <c r="F705" i="4"/>
  <c r="H705" i="4"/>
  <c r="I705" i="4"/>
  <c r="F19" i="6"/>
  <c r="E33" i="6"/>
  <c r="E666" i="4"/>
  <c r="F666" i="4"/>
  <c r="H666" i="4"/>
  <c r="I666" i="4"/>
  <c r="I669" i="4"/>
  <c r="I670" i="4"/>
  <c r="B49" i="3"/>
  <c r="E445" i="6"/>
  <c r="F445" i="6"/>
  <c r="E781" i="4"/>
  <c r="F781" i="4"/>
  <c r="H781" i="4"/>
  <c r="I781" i="4"/>
  <c r="E100" i="4"/>
  <c r="E112" i="4"/>
  <c r="F200" i="4"/>
  <c r="H200" i="4"/>
  <c r="I200" i="4"/>
  <c r="E253" i="4"/>
  <c r="E812" i="6"/>
  <c r="F812" i="6"/>
  <c r="E219" i="6"/>
  <c r="F219" i="6"/>
  <c r="F766" i="6"/>
  <c r="E778" i="6"/>
  <c r="E267" i="6"/>
  <c r="F267" i="6"/>
  <c r="E262" i="6"/>
  <c r="F262" i="6"/>
  <c r="F244" i="6"/>
  <c r="E990" i="6"/>
  <c r="E695" i="6"/>
  <c r="F695" i="6"/>
  <c r="E711" i="6"/>
  <c r="E895" i="6"/>
  <c r="F895" i="6"/>
  <c r="E897" i="6"/>
  <c r="F897" i="6"/>
  <c r="F898" i="6"/>
  <c r="F902" i="6"/>
  <c r="B98" i="5"/>
  <c r="E506" i="6"/>
  <c r="F506" i="6"/>
  <c r="E819" i="6"/>
  <c r="E1067" i="6"/>
  <c r="F1067" i="6"/>
  <c r="E810" i="6"/>
  <c r="F810" i="6"/>
  <c r="F813" i="6"/>
  <c r="B89" i="5"/>
  <c r="E1034" i="6"/>
  <c r="E780" i="6"/>
  <c r="F780" i="6"/>
  <c r="E398" i="6"/>
  <c r="E924" i="6"/>
  <c r="E425" i="6"/>
  <c r="F425" i="6"/>
  <c r="F1110" i="6"/>
  <c r="E1191" i="6"/>
  <c r="F1191" i="6"/>
  <c r="E1078" i="6"/>
  <c r="E155" i="6"/>
  <c r="E415" i="4"/>
  <c r="F415" i="4"/>
  <c r="H415" i="4"/>
  <c r="I415" i="4"/>
  <c r="E1089" i="6"/>
  <c r="F1089" i="6"/>
  <c r="E842" i="4"/>
  <c r="F842" i="4"/>
  <c r="H842" i="4"/>
  <c r="I842" i="4"/>
  <c r="E65" i="4"/>
  <c r="E243" i="4"/>
  <c r="E334" i="4"/>
  <c r="F334" i="4"/>
  <c r="H334" i="4"/>
  <c r="I334" i="4"/>
  <c r="E537" i="4"/>
  <c r="F537" i="4"/>
  <c r="H537" i="4"/>
  <c r="I537" i="4"/>
  <c r="F524" i="4"/>
  <c r="H524" i="4"/>
  <c r="I524" i="4"/>
  <c r="E709" i="4"/>
  <c r="F709" i="4"/>
  <c r="H709" i="4"/>
  <c r="I709" i="4"/>
  <c r="E734" i="4"/>
  <c r="F734" i="4"/>
  <c r="H734" i="4"/>
  <c r="I734" i="4"/>
  <c r="I737" i="4"/>
  <c r="I738" i="4"/>
  <c r="B53" i="3"/>
  <c r="E580" i="6"/>
  <c r="E741" i="6"/>
  <c r="F684" i="6"/>
  <c r="E253" i="6"/>
  <c r="F253" i="6"/>
  <c r="E795" i="6"/>
  <c r="F795" i="6"/>
  <c r="E119" i="6"/>
  <c r="E641" i="6"/>
  <c r="E18" i="6"/>
  <c r="E4" i="6"/>
  <c r="F4" i="6"/>
  <c r="E711" i="4"/>
  <c r="F711" i="4"/>
  <c r="H711" i="4"/>
  <c r="I711" i="4"/>
  <c r="E641" i="4"/>
  <c r="F641" i="4"/>
  <c r="H641" i="4"/>
  <c r="I641" i="4"/>
  <c r="I643" i="4"/>
  <c r="I644" i="4"/>
  <c r="E504" i="6"/>
  <c r="E342" i="6"/>
  <c r="F342" i="6"/>
  <c r="E206" i="4"/>
  <c r="F206" i="4"/>
  <c r="H206" i="4"/>
  <c r="I206" i="4"/>
  <c r="E783" i="4"/>
  <c r="F783" i="4"/>
  <c r="H783" i="4"/>
  <c r="I783" i="4"/>
  <c r="E563" i="4"/>
  <c r="F563" i="4"/>
  <c r="H563" i="4"/>
  <c r="I563" i="4"/>
  <c r="E121" i="4"/>
  <c r="F121" i="4"/>
  <c r="H121" i="4"/>
  <c r="I121" i="4"/>
  <c r="E279" i="4"/>
  <c r="F279" i="4"/>
  <c r="H279" i="4"/>
  <c r="I279" i="4"/>
  <c r="E316" i="4"/>
  <c r="F316" i="4"/>
  <c r="H316" i="4"/>
  <c r="I316" i="4"/>
  <c r="E507" i="4"/>
  <c r="F507" i="4"/>
  <c r="H507" i="4"/>
  <c r="I507" i="4"/>
  <c r="E565" i="4"/>
  <c r="F565" i="4"/>
  <c r="H565" i="4"/>
  <c r="I565" i="4"/>
  <c r="F548" i="4"/>
  <c r="H548" i="4"/>
  <c r="I548" i="4"/>
  <c r="E550" i="4"/>
  <c r="E587" i="4"/>
  <c r="F587" i="4"/>
  <c r="H587" i="4"/>
  <c r="I587" i="4"/>
  <c r="E589" i="4"/>
  <c r="E688" i="4"/>
  <c r="F688" i="4"/>
  <c r="H688" i="4"/>
  <c r="I688" i="4"/>
  <c r="E692" i="4"/>
  <c r="F692" i="4"/>
  <c r="H692" i="4"/>
  <c r="I692" i="4"/>
  <c r="E710" i="4"/>
  <c r="F710" i="4"/>
  <c r="H710" i="4"/>
  <c r="I710" i="4"/>
  <c r="F167" i="6"/>
  <c r="E49" i="6"/>
  <c r="F35" i="6"/>
  <c r="F397" i="6"/>
  <c r="E410" i="6"/>
  <c r="F410" i="6"/>
  <c r="E530" i="6"/>
  <c r="F530" i="6"/>
  <c r="F479" i="6"/>
  <c r="E81" i="6"/>
  <c r="F81" i="6"/>
  <c r="E480" i="6"/>
  <c r="F480" i="6"/>
  <c r="F456" i="6"/>
  <c r="E545" i="6"/>
  <c r="F531" i="6"/>
  <c r="E95" i="6"/>
  <c r="F95" i="6"/>
  <c r="F234" i="6"/>
  <c r="E724" i="6"/>
  <c r="F724" i="6"/>
  <c r="F694" i="6"/>
  <c r="E132" i="6"/>
  <c r="F120" i="6"/>
  <c r="E608" i="6"/>
  <c r="F608" i="6"/>
  <c r="F596" i="6"/>
  <c r="E1129" i="6"/>
  <c r="F1129" i="6"/>
  <c r="F1113" i="6"/>
  <c r="E715" i="6"/>
  <c r="F700" i="6"/>
  <c r="F455" i="6"/>
  <c r="F457" i="6"/>
  <c r="F914" i="6"/>
  <c r="B99" i="5"/>
  <c r="E841" i="6"/>
  <c r="F831" i="6"/>
  <c r="E1112" i="6"/>
  <c r="F961" i="6"/>
  <c r="E975" i="6"/>
  <c r="F975" i="6"/>
  <c r="E960" i="6"/>
  <c r="F927" i="6"/>
  <c r="E1200" i="6"/>
  <c r="F1200" i="6"/>
  <c r="F1114" i="6"/>
  <c r="F883" i="6"/>
  <c r="F1050" i="6"/>
  <c r="F1147" i="6"/>
  <c r="E1162" i="6"/>
  <c r="F921" i="6"/>
  <c r="E959" i="6"/>
  <c r="E1159" i="6"/>
  <c r="F1068" i="6"/>
  <c r="E1102" i="6"/>
  <c r="F1102" i="6"/>
  <c r="F1090" i="6"/>
  <c r="B3" i="3"/>
  <c r="E8" i="6"/>
  <c r="E631" i="4"/>
  <c r="F631" i="4"/>
  <c r="H631" i="4"/>
  <c r="I631" i="4"/>
  <c r="B47" i="3"/>
  <c r="E621" i="6"/>
  <c r="F621" i="6"/>
  <c r="E330" i="6"/>
  <c r="E307" i="6"/>
  <c r="F307" i="6"/>
  <c r="F319" i="6"/>
  <c r="E118" i="6"/>
  <c r="F118" i="6"/>
  <c r="E317" i="6"/>
  <c r="F317" i="6"/>
  <c r="E390" i="4"/>
  <c r="F390" i="4"/>
  <c r="H390" i="4"/>
  <c r="I390" i="4"/>
  <c r="I393" i="4"/>
  <c r="I394" i="4"/>
  <c r="B27" i="3"/>
  <c r="E243" i="6"/>
  <c r="F243" i="6"/>
  <c r="B33" i="3"/>
  <c r="E454" i="4"/>
  <c r="F454" i="4"/>
  <c r="H454" i="4"/>
  <c r="I454" i="4"/>
  <c r="I455" i="4"/>
  <c r="I456" i="4"/>
  <c r="B32" i="3"/>
  <c r="B100" i="5"/>
  <c r="E1177" i="6"/>
  <c r="F1177" i="6"/>
  <c r="F1162" i="6"/>
  <c r="F580" i="6"/>
  <c r="E592" i="6"/>
  <c r="E581" i="6"/>
  <c r="E491" i="6"/>
  <c r="F491" i="6"/>
  <c r="E517" i="6"/>
  <c r="F517" i="6"/>
  <c r="E290" i="6"/>
  <c r="F290" i="6"/>
  <c r="E20" i="6"/>
  <c r="E6" i="6"/>
  <c r="F6" i="6"/>
  <c r="E544" i="6"/>
  <c r="F544" i="6"/>
  <c r="E375" i="6"/>
  <c r="F375" i="6"/>
  <c r="F378" i="6"/>
  <c r="B31" i="5"/>
  <c r="F708" i="4"/>
  <c r="H708" i="4"/>
  <c r="I708" i="4"/>
  <c r="E785" i="4"/>
  <c r="F785" i="4"/>
  <c r="H785" i="4"/>
  <c r="I785" i="4"/>
  <c r="E786" i="4"/>
  <c r="F786" i="4"/>
  <c r="H786" i="4"/>
  <c r="I786" i="4"/>
  <c r="I787" i="4"/>
  <c r="I788" i="4"/>
  <c r="B56" i="3"/>
  <c r="E411" i="6"/>
  <c r="F398" i="6"/>
  <c r="F207" i="4"/>
  <c r="H207" i="4"/>
  <c r="I207" i="4"/>
  <c r="E293" i="4"/>
  <c r="E1198" i="6"/>
  <c r="F1198" i="6"/>
  <c r="F1117" i="6"/>
  <c r="F1035" i="6"/>
  <c r="E1069" i="6"/>
  <c r="F1069" i="6"/>
  <c r="E32" i="6"/>
  <c r="F18" i="6"/>
  <c r="E1088" i="6"/>
  <c r="F1078" i="6"/>
  <c r="E1051" i="6"/>
  <c r="F924" i="6"/>
  <c r="F659" i="6"/>
  <c r="E676" i="6"/>
  <c r="F676" i="6"/>
  <c r="E660" i="6"/>
  <c r="F616" i="6"/>
  <c r="E276" i="4"/>
  <c r="F276" i="4"/>
  <c r="H276" i="4"/>
  <c r="I276" i="4"/>
  <c r="F258" i="4"/>
  <c r="H258" i="4"/>
  <c r="I258" i="4"/>
  <c r="E290" i="4"/>
  <c r="E730" i="6"/>
  <c r="F730" i="6"/>
  <c r="F715" i="6"/>
  <c r="E143" i="6"/>
  <c r="F143" i="6"/>
  <c r="F132" i="6"/>
  <c r="E63" i="6"/>
  <c r="F49" i="6"/>
  <c r="E650" i="6"/>
  <c r="F650" i="6"/>
  <c r="F641" i="6"/>
  <c r="F243" i="4"/>
  <c r="H243" i="4"/>
  <c r="I243" i="4"/>
  <c r="E255" i="4"/>
  <c r="F255" i="4"/>
  <c r="H255" i="4"/>
  <c r="I255" i="4"/>
  <c r="E725" i="6"/>
  <c r="F711" i="6"/>
  <c r="F405" i="4"/>
  <c r="H405" i="4"/>
  <c r="I405" i="4"/>
  <c r="I407" i="4"/>
  <c r="I408" i="4"/>
  <c r="B28" i="3"/>
  <c r="E425" i="4"/>
  <c r="F425" i="4"/>
  <c r="H425" i="4"/>
  <c r="I425" i="4"/>
  <c r="F494" i="6"/>
  <c r="B40" i="5"/>
  <c r="E333" i="4"/>
  <c r="F333" i="4"/>
  <c r="H333" i="4"/>
  <c r="I333" i="4"/>
  <c r="F295" i="4"/>
  <c r="H295" i="4"/>
  <c r="I295" i="4"/>
  <c r="E1170" i="6"/>
  <c r="F1170" i="6"/>
  <c r="F1155" i="6"/>
  <c r="E964" i="6"/>
  <c r="F925" i="6"/>
  <c r="F928" i="6"/>
  <c r="B101" i="5"/>
  <c r="E1053" i="6"/>
  <c r="F1053" i="6"/>
  <c r="E973" i="6"/>
  <c r="F973" i="6"/>
  <c r="F959" i="6"/>
  <c r="E619" i="4"/>
  <c r="F619" i="4"/>
  <c r="H619" i="4"/>
  <c r="I619" i="4"/>
  <c r="F589" i="4"/>
  <c r="H589" i="4"/>
  <c r="I589" i="4"/>
  <c r="F504" i="6"/>
  <c r="F510" i="6"/>
  <c r="B41" i="5"/>
  <c r="E533" i="6"/>
  <c r="F533" i="6"/>
  <c r="E130" i="6"/>
  <c r="F119" i="6"/>
  <c r="E768" i="6"/>
  <c r="F768" i="6"/>
  <c r="F741" i="6"/>
  <c r="E85" i="4"/>
  <c r="F65" i="4"/>
  <c r="H65" i="4"/>
  <c r="I65" i="4"/>
  <c r="E829" i="6"/>
  <c r="F819" i="6"/>
  <c r="E156" i="4"/>
  <c r="F112" i="4"/>
  <c r="H112" i="4"/>
  <c r="I112" i="4"/>
  <c r="E482" i="6"/>
  <c r="F470" i="6"/>
  <c r="E979" i="6"/>
  <c r="F979" i="6"/>
  <c r="F965" i="6"/>
  <c r="F454" i="6"/>
  <c r="F459" i="6"/>
  <c r="B37" i="5"/>
  <c r="E1127" i="6"/>
  <c r="F1111" i="6"/>
  <c r="F288" i="4"/>
  <c r="H288" i="4"/>
  <c r="I288" i="4"/>
  <c r="E330" i="4"/>
  <c r="F330" i="4"/>
  <c r="H330" i="4"/>
  <c r="I330" i="4"/>
  <c r="E326" i="6"/>
  <c r="F315" i="6"/>
  <c r="E304" i="6"/>
  <c r="F304" i="6"/>
  <c r="E1054" i="6"/>
  <c r="F1054" i="6"/>
  <c r="F992" i="6"/>
  <c r="E564" i="4"/>
  <c r="F550" i="4"/>
  <c r="H550" i="4"/>
  <c r="I550" i="4"/>
  <c r="F936" i="6"/>
  <c r="F940" i="6"/>
  <c r="B102" i="5"/>
  <c r="E950" i="6"/>
  <c r="E466" i="6"/>
  <c r="E556" i="6"/>
  <c r="F546" i="6"/>
  <c r="E414" i="4"/>
  <c r="F414" i="4"/>
  <c r="H414" i="4"/>
  <c r="I414" i="4"/>
  <c r="I416" i="4"/>
  <c r="I417" i="4"/>
  <c r="B29" i="3"/>
  <c r="B2" i="3"/>
  <c r="E1132" i="6"/>
  <c r="F1132" i="6"/>
  <c r="E1199" i="6"/>
  <c r="F1199" i="6"/>
  <c r="F1119" i="6"/>
  <c r="E1174" i="6"/>
  <c r="F1174" i="6"/>
  <c r="F1159" i="6"/>
  <c r="F669" i="6"/>
  <c r="E686" i="6"/>
  <c r="F686" i="6"/>
  <c r="E546" i="4"/>
  <c r="F509" i="4"/>
  <c r="H509" i="4"/>
  <c r="I509" i="4"/>
  <c r="E80" i="4"/>
  <c r="F66" i="4"/>
  <c r="H66" i="4"/>
  <c r="I66" i="4"/>
  <c r="F960" i="6"/>
  <c r="E974" i="6"/>
  <c r="E1128" i="6"/>
  <c r="F1112" i="6"/>
  <c r="F1120" i="6"/>
  <c r="B161" i="5"/>
  <c r="E851" i="6"/>
  <c r="F851" i="6"/>
  <c r="F841" i="6"/>
  <c r="F545" i="6"/>
  <c r="E582" i="6"/>
  <c r="E278" i="6"/>
  <c r="F278" i="6"/>
  <c r="F155" i="6"/>
  <c r="E168" i="6"/>
  <c r="E1049" i="6"/>
  <c r="F1034" i="6"/>
  <c r="E1003" i="6"/>
  <c r="F990" i="6"/>
  <c r="E803" i="6"/>
  <c r="F803" i="6"/>
  <c r="F778" i="6"/>
  <c r="E268" i="4"/>
  <c r="F268" i="4"/>
  <c r="H268" i="4"/>
  <c r="I268" i="4"/>
  <c r="F253" i="4"/>
  <c r="H253" i="4"/>
  <c r="I253" i="4"/>
  <c r="F100" i="4"/>
  <c r="H100" i="4"/>
  <c r="I100" i="4"/>
  <c r="E113" i="4"/>
  <c r="E47" i="6"/>
  <c r="F33" i="6"/>
  <c r="E792" i="6"/>
  <c r="F792" i="6"/>
  <c r="E306" i="6"/>
  <c r="F306" i="6"/>
  <c r="E841" i="4"/>
  <c r="F841" i="4"/>
  <c r="H841" i="4"/>
  <c r="I841" i="4"/>
  <c r="I844" i="4"/>
  <c r="I845" i="4"/>
  <c r="B61" i="3"/>
  <c r="E791" i="6"/>
  <c r="F791" i="6"/>
  <c r="F796" i="6"/>
  <c r="B86" i="5"/>
  <c r="E266" i="6"/>
  <c r="F266" i="6"/>
  <c r="F268" i="6"/>
  <c r="B22" i="5"/>
  <c r="E297" i="6"/>
  <c r="F297" i="6"/>
  <c r="F298" i="6"/>
  <c r="B25" i="5"/>
  <c r="E240" i="6"/>
  <c r="F240" i="6"/>
  <c r="E536" i="4"/>
  <c r="F536" i="4"/>
  <c r="H536" i="4"/>
  <c r="I536" i="4"/>
  <c r="I539" i="4"/>
  <c r="I540" i="4"/>
  <c r="B38" i="3"/>
  <c r="F498" i="4"/>
  <c r="H498" i="4"/>
  <c r="I498" i="4"/>
  <c r="I499" i="4"/>
  <c r="I500" i="4"/>
  <c r="B35" i="3"/>
  <c r="E881" i="6"/>
  <c r="F881" i="6"/>
  <c r="F399" i="6"/>
  <c r="E412" i="6"/>
  <c r="I748" i="4"/>
  <c r="I749" i="4"/>
  <c r="B54" i="3"/>
  <c r="E665" i="6"/>
  <c r="E679" i="6"/>
  <c r="F662" i="6"/>
  <c r="F465" i="6"/>
  <c r="E477" i="6"/>
  <c r="F477" i="6"/>
  <c r="E1148" i="6"/>
  <c r="F1134" i="6"/>
  <c r="F87" i="4"/>
  <c r="H87" i="4"/>
  <c r="I87" i="4"/>
  <c r="E97" i="4"/>
  <c r="F97" i="4"/>
  <c r="H97" i="4"/>
  <c r="I97" i="4"/>
  <c r="E209" i="6"/>
  <c r="F209" i="6"/>
  <c r="F195" i="6"/>
  <c r="F693" i="6"/>
  <c r="E708" i="6"/>
  <c r="F707" i="4"/>
  <c r="H707" i="4"/>
  <c r="I707" i="4"/>
  <c r="I713" i="4"/>
  <c r="E884" i="6"/>
  <c r="F884" i="6"/>
  <c r="F873" i="6"/>
  <c r="E1002" i="6"/>
  <c r="F989" i="6"/>
  <c r="E1181" i="6"/>
  <c r="F1181" i="6"/>
  <c r="E1008" i="6"/>
  <c r="F1008" i="6"/>
  <c r="E746" i="6"/>
  <c r="F746" i="6"/>
  <c r="E400" i="6"/>
  <c r="F400" i="6"/>
  <c r="E80" i="6"/>
  <c r="E66" i="6"/>
  <c r="F66" i="6"/>
  <c r="E583" i="6"/>
  <c r="F556" i="6"/>
  <c r="F557" i="6"/>
  <c r="B45" i="5"/>
  <c r="F245" i="6"/>
  <c r="B20" i="5"/>
  <c r="E124" i="4"/>
  <c r="F113" i="4"/>
  <c r="H113" i="4"/>
  <c r="I113" i="4"/>
  <c r="E820" i="6"/>
  <c r="E446" i="6"/>
  <c r="F446" i="6"/>
  <c r="E385" i="6"/>
  <c r="F385" i="6"/>
  <c r="E9" i="6"/>
  <c r="E1145" i="6"/>
  <c r="F1145" i="6"/>
  <c r="E696" i="6"/>
  <c r="F696" i="6"/>
  <c r="E1100" i="6"/>
  <c r="F1100" i="6"/>
  <c r="F1088" i="6"/>
  <c r="I714" i="4"/>
  <c r="B51" i="3"/>
  <c r="E1062" i="6"/>
  <c r="F1062" i="6"/>
  <c r="F1049" i="6"/>
  <c r="F974" i="6"/>
  <c r="E1146" i="6"/>
  <c r="E478" i="6"/>
  <c r="F478" i="6"/>
  <c r="F466" i="6"/>
  <c r="F564" i="4"/>
  <c r="H564" i="4"/>
  <c r="I564" i="4"/>
  <c r="I566" i="4"/>
  <c r="I567" i="4"/>
  <c r="B40" i="3"/>
  <c r="E584" i="6"/>
  <c r="F584" i="6"/>
  <c r="E585" i="4"/>
  <c r="F585" i="4"/>
  <c r="H585" i="4"/>
  <c r="I585" i="4"/>
  <c r="I590" i="4"/>
  <c r="I591" i="4"/>
  <c r="B42" i="3"/>
  <c r="E862" i="6"/>
  <c r="F862" i="6"/>
  <c r="E171" i="4"/>
  <c r="F156" i="4"/>
  <c r="H156" i="4"/>
  <c r="I156" i="4"/>
  <c r="I73" i="4"/>
  <c r="I74" i="4"/>
  <c r="B6" i="3"/>
  <c r="E316" i="6"/>
  <c r="E978" i="6"/>
  <c r="F978" i="6"/>
  <c r="F981" i="6"/>
  <c r="B105" i="5"/>
  <c r="E77" i="6"/>
  <c r="F63" i="6"/>
  <c r="E64" i="6"/>
  <c r="F64" i="6"/>
  <c r="E343" i="6"/>
  <c r="F343" i="6"/>
  <c r="E341" i="6"/>
  <c r="F341" i="6"/>
  <c r="F330" i="6"/>
  <c r="F708" i="6"/>
  <c r="E723" i="6"/>
  <c r="F723" i="6"/>
  <c r="F665" i="6"/>
  <c r="E682" i="6"/>
  <c r="F682" i="6"/>
  <c r="E61" i="6"/>
  <c r="F47" i="6"/>
  <c r="E1018" i="6"/>
  <c r="F1003" i="6"/>
  <c r="E594" i="6"/>
  <c r="F582" i="6"/>
  <c r="E597" i="4"/>
  <c r="F546" i="4"/>
  <c r="H546" i="4"/>
  <c r="I546" i="4"/>
  <c r="F482" i="6"/>
  <c r="E548" i="6"/>
  <c r="F548" i="6"/>
  <c r="E839" i="6"/>
  <c r="F829" i="6"/>
  <c r="F411" i="6"/>
  <c r="E423" i="6"/>
  <c r="F423" i="6"/>
  <c r="E604" i="6"/>
  <c r="F604" i="6"/>
  <c r="F592" i="6"/>
  <c r="F471" i="6"/>
  <c r="B38" i="5"/>
  <c r="E424" i="6"/>
  <c r="F424" i="6"/>
  <c r="F412" i="6"/>
  <c r="E1143" i="6"/>
  <c r="F1128" i="6"/>
  <c r="F80" i="4"/>
  <c r="H80" i="4"/>
  <c r="I80" i="4"/>
  <c r="E95" i="4"/>
  <c r="I114" i="4"/>
  <c r="I115" i="4"/>
  <c r="B9" i="3"/>
  <c r="E543" i="6"/>
  <c r="F543" i="6"/>
  <c r="F550" i="6"/>
  <c r="B44" i="5"/>
  <c r="F964" i="6"/>
  <c r="F967" i="6"/>
  <c r="B104" i="5"/>
  <c r="E305" i="4"/>
  <c r="F293" i="4"/>
  <c r="H293" i="4"/>
  <c r="I293" i="4"/>
  <c r="F1002" i="6"/>
  <c r="E1017" i="6"/>
  <c r="E1163" i="6"/>
  <c r="F1148" i="6"/>
  <c r="E754" i="6"/>
  <c r="F754" i="6"/>
  <c r="F679" i="6"/>
  <c r="F885" i="6"/>
  <c r="B97" i="5"/>
  <c r="E182" i="6"/>
  <c r="F182" i="6"/>
  <c r="F168" i="6"/>
  <c r="E1020" i="6"/>
  <c r="F1020" i="6"/>
  <c r="F950" i="6"/>
  <c r="F953" i="6"/>
  <c r="B103" i="5"/>
  <c r="E337" i="6"/>
  <c r="F337" i="6"/>
  <c r="F326" i="6"/>
  <c r="E1142" i="6"/>
  <c r="F1127" i="6"/>
  <c r="F1135" i="6"/>
  <c r="B162" i="5"/>
  <c r="E96" i="4"/>
  <c r="F96" i="4"/>
  <c r="H96" i="4"/>
  <c r="I96" i="4"/>
  <c r="F85" i="4"/>
  <c r="H85" i="4"/>
  <c r="I85" i="4"/>
  <c r="E142" i="6"/>
  <c r="F142" i="6"/>
  <c r="F130" i="6"/>
  <c r="F725" i="6"/>
  <c r="E740" i="6"/>
  <c r="F740" i="6"/>
  <c r="F290" i="4"/>
  <c r="H290" i="4"/>
  <c r="I290" i="4"/>
  <c r="E332" i="4"/>
  <c r="E677" i="6"/>
  <c r="F660" i="6"/>
  <c r="E1161" i="6"/>
  <c r="E1064" i="6"/>
  <c r="F1064" i="6"/>
  <c r="F1051" i="6"/>
  <c r="E46" i="6"/>
  <c r="F32" i="6"/>
  <c r="E34" i="6"/>
  <c r="F20" i="6"/>
  <c r="E593" i="6"/>
  <c r="F581" i="6"/>
  <c r="E22" i="6"/>
  <c r="F8" i="6"/>
  <c r="E48" i="6"/>
  <c r="F34" i="6"/>
  <c r="E1157" i="6"/>
  <c r="F1143" i="6"/>
  <c r="E130" i="4"/>
  <c r="F130" i="4"/>
  <c r="H130" i="4"/>
  <c r="I130" i="4"/>
  <c r="F95" i="4"/>
  <c r="H95" i="4"/>
  <c r="I95" i="4"/>
  <c r="I101" i="4"/>
  <c r="I102" i="4"/>
  <c r="B8" i="3"/>
  <c r="E116" i="6"/>
  <c r="E75" i="6"/>
  <c r="F61" i="6"/>
  <c r="E78" i="6"/>
  <c r="F78" i="6"/>
  <c r="E91" i="6"/>
  <c r="F77" i="6"/>
  <c r="F316" i="6"/>
  <c r="F320" i="6"/>
  <c r="B27" i="5"/>
  <c r="E305" i="6"/>
  <c r="F305" i="6"/>
  <c r="F309" i="6"/>
  <c r="B26" i="5"/>
  <c r="E327" i="6"/>
  <c r="E1160" i="6"/>
  <c r="F1146" i="6"/>
  <c r="E23" i="6"/>
  <c r="F9" i="6"/>
  <c r="E606" i="6"/>
  <c r="F594" i="6"/>
  <c r="E830" i="6"/>
  <c r="F820" i="6"/>
  <c r="F823" i="6"/>
  <c r="B90" i="5"/>
  <c r="E595" i="6"/>
  <c r="F583" i="6"/>
  <c r="F1161" i="6"/>
  <c r="E1176" i="6"/>
  <c r="F1176" i="6"/>
  <c r="F593" i="6"/>
  <c r="E605" i="6"/>
  <c r="I88" i="4"/>
  <c r="I89" i="4"/>
  <c r="B7" i="3"/>
  <c r="E1077" i="6"/>
  <c r="E849" i="6"/>
  <c r="F849" i="6"/>
  <c r="F839" i="6"/>
  <c r="F597" i="4"/>
  <c r="H597" i="4"/>
  <c r="I597" i="4"/>
  <c r="I600" i="4"/>
  <c r="I601" i="4"/>
  <c r="B43" i="3"/>
  <c r="E632" i="4"/>
  <c r="F632" i="4"/>
  <c r="H632" i="4"/>
  <c r="I632" i="4"/>
  <c r="I633" i="4"/>
  <c r="I634" i="4"/>
  <c r="B46" i="3"/>
  <c r="E993" i="6"/>
  <c r="F1018" i="6"/>
  <c r="E1031" i="6"/>
  <c r="E155" i="4"/>
  <c r="F124" i="4"/>
  <c r="H124" i="4"/>
  <c r="I124" i="4"/>
  <c r="F80" i="6"/>
  <c r="E94" i="6"/>
  <c r="E36" i="6"/>
  <c r="F22" i="6"/>
  <c r="E359" i="4"/>
  <c r="F332" i="4"/>
  <c r="H332" i="4"/>
  <c r="I332" i="4"/>
  <c r="E1030" i="6"/>
  <c r="F1017" i="6"/>
  <c r="E60" i="6"/>
  <c r="F46" i="6"/>
  <c r="E701" i="6"/>
  <c r="F677" i="6"/>
  <c r="E1156" i="6"/>
  <c r="F1142" i="6"/>
  <c r="E1178" i="6"/>
  <c r="F1178" i="6"/>
  <c r="F1163" i="6"/>
  <c r="E1184" i="6"/>
  <c r="E322" i="4"/>
  <c r="F305" i="4"/>
  <c r="H305" i="4"/>
  <c r="I305" i="4"/>
  <c r="I309" i="4"/>
  <c r="I310" i="4"/>
  <c r="B21" i="3"/>
  <c r="E183" i="4"/>
  <c r="F171" i="4"/>
  <c r="H171" i="4"/>
  <c r="I171" i="4"/>
  <c r="E1007" i="6"/>
  <c r="F993" i="6"/>
  <c r="F327" i="6"/>
  <c r="F331" i="6"/>
  <c r="B28" i="5"/>
  <c r="E338" i="6"/>
  <c r="F338" i="6"/>
  <c r="F345" i="6"/>
  <c r="B29" i="5"/>
  <c r="E620" i="6"/>
  <c r="F605" i="6"/>
  <c r="E37" i="6"/>
  <c r="F23" i="6"/>
  <c r="F1077" i="6"/>
  <c r="E1087" i="6"/>
  <c r="E105" i="6"/>
  <c r="F91" i="6"/>
  <c r="E92" i="6"/>
  <c r="F92" i="6"/>
  <c r="E840" i="6"/>
  <c r="F830" i="6"/>
  <c r="F833" i="6"/>
  <c r="B91" i="5"/>
  <c r="E380" i="4"/>
  <c r="F380" i="4"/>
  <c r="H380" i="4"/>
  <c r="I380" i="4"/>
  <c r="F322" i="4"/>
  <c r="H322" i="4"/>
  <c r="I322" i="4"/>
  <c r="E375" i="4"/>
  <c r="F375" i="4"/>
  <c r="H375" i="4"/>
  <c r="I375" i="4"/>
  <c r="F359" i="4"/>
  <c r="H359" i="4"/>
  <c r="I359" i="4"/>
  <c r="F1031" i="6"/>
  <c r="E1046" i="6"/>
  <c r="F1046" i="6"/>
  <c r="E202" i="4"/>
  <c r="F183" i="4"/>
  <c r="H183" i="4"/>
  <c r="I183" i="4"/>
  <c r="E74" i="6"/>
  <c r="F60" i="6"/>
  <c r="E50" i="6"/>
  <c r="F50" i="6"/>
  <c r="F36" i="6"/>
  <c r="F155" i="4"/>
  <c r="H155" i="4"/>
  <c r="I155" i="4"/>
  <c r="I157" i="4"/>
  <c r="I158" i="4"/>
  <c r="B12" i="3"/>
  <c r="E649" i="6"/>
  <c r="F649" i="6"/>
  <c r="F653" i="6"/>
  <c r="B54" i="5"/>
  <c r="E170" i="4"/>
  <c r="F75" i="6"/>
  <c r="E89" i="6"/>
  <c r="F701" i="6"/>
  <c r="E716" i="6"/>
  <c r="E108" i="6"/>
  <c r="F108" i="6"/>
  <c r="F94" i="6"/>
  <c r="E62" i="6"/>
  <c r="F48" i="6"/>
  <c r="F1184" i="6"/>
  <c r="E1201" i="6"/>
  <c r="F1201" i="6"/>
  <c r="E1171" i="6"/>
  <c r="F1156" i="6"/>
  <c r="E1045" i="6"/>
  <c r="F1045" i="6"/>
  <c r="F1030" i="6"/>
  <c r="I131" i="4"/>
  <c r="I132" i="4"/>
  <c r="B10" i="3"/>
  <c r="E739" i="6"/>
  <c r="E607" i="6"/>
  <c r="F595" i="6"/>
  <c r="E618" i="6"/>
  <c r="F606" i="6"/>
  <c r="E1175" i="6"/>
  <c r="F1175" i="6"/>
  <c r="F1160" i="6"/>
  <c r="F116" i="6"/>
  <c r="E127" i="6"/>
  <c r="F1157" i="6"/>
  <c r="E1172" i="6"/>
  <c r="E699" i="6"/>
  <c r="F618" i="6"/>
  <c r="F716" i="6"/>
  <c r="E731" i="6"/>
  <c r="F731" i="6"/>
  <c r="E88" i="6"/>
  <c r="F74" i="6"/>
  <c r="F840" i="6"/>
  <c r="F843" i="6"/>
  <c r="B92" i="5"/>
  <c r="E850" i="6"/>
  <c r="F850" i="6"/>
  <c r="F853" i="6"/>
  <c r="B93" i="5"/>
  <c r="E106" i="6"/>
  <c r="F105" i="6"/>
  <c r="E51" i="6"/>
  <c r="F37" i="6"/>
  <c r="E753" i="6"/>
  <c r="F739" i="6"/>
  <c r="E185" i="4"/>
  <c r="F170" i="4"/>
  <c r="H170" i="4"/>
  <c r="I170" i="4"/>
  <c r="I174" i="4"/>
  <c r="I175" i="4"/>
  <c r="B13" i="3"/>
  <c r="E640" i="6"/>
  <c r="F640" i="6"/>
  <c r="F643" i="6"/>
  <c r="B53" i="5"/>
  <c r="F1172" i="6"/>
  <c r="E1193" i="6"/>
  <c r="F1193" i="6"/>
  <c r="E1192" i="6"/>
  <c r="F1192" i="6"/>
  <c r="F1202" i="6"/>
  <c r="B166" i="5"/>
  <c r="F1171" i="6"/>
  <c r="E76" i="6"/>
  <c r="F62" i="6"/>
  <c r="F607" i="6"/>
  <c r="E619" i="6"/>
  <c r="E103" i="6"/>
  <c r="F89" i="6"/>
  <c r="E1099" i="6"/>
  <c r="F1099" i="6"/>
  <c r="F1104" i="6"/>
  <c r="B149" i="5"/>
  <c r="F1087" i="6"/>
  <c r="F1093" i="6"/>
  <c r="B148" i="5"/>
  <c r="E139" i="6"/>
  <c r="F139" i="6"/>
  <c r="F127" i="6"/>
  <c r="F202" i="4"/>
  <c r="H202" i="4"/>
  <c r="I202" i="4"/>
  <c r="E245" i="4"/>
  <c r="E664" i="6"/>
  <c r="F620" i="6"/>
  <c r="E1021" i="6"/>
  <c r="F1007" i="6"/>
  <c r="E65" i="6"/>
  <c r="F51" i="6"/>
  <c r="E201" i="4"/>
  <c r="F185" i="4"/>
  <c r="H185" i="4"/>
  <c r="I185" i="4"/>
  <c r="I192" i="4"/>
  <c r="I193" i="4"/>
  <c r="B14" i="3"/>
  <c r="E603" i="6"/>
  <c r="F603" i="6"/>
  <c r="F609" i="6"/>
  <c r="B50" i="5"/>
  <c r="E714" i="6"/>
  <c r="F699" i="6"/>
  <c r="F245" i="4"/>
  <c r="H245" i="4"/>
  <c r="I245" i="4"/>
  <c r="E260" i="4"/>
  <c r="E681" i="6"/>
  <c r="F664" i="6"/>
  <c r="E153" i="6"/>
  <c r="E117" i="6"/>
  <c r="F103" i="6"/>
  <c r="E90" i="6"/>
  <c r="F76" i="6"/>
  <c r="E765" i="6"/>
  <c r="F753" i="6"/>
  <c r="F106" i="6"/>
  <c r="E152" i="6"/>
  <c r="E102" i="6"/>
  <c r="F88" i="6"/>
  <c r="E1036" i="6"/>
  <c r="F1021" i="6"/>
  <c r="F619" i="6"/>
  <c r="E663" i="6"/>
  <c r="F624" i="6"/>
  <c r="B51" i="5"/>
  <c r="E271" i="4"/>
  <c r="F260" i="4"/>
  <c r="H260" i="4"/>
  <c r="I260" i="4"/>
  <c r="F152" i="6"/>
  <c r="E164" i="6"/>
  <c r="E165" i="6"/>
  <c r="F153" i="6"/>
  <c r="F663" i="6"/>
  <c r="E680" i="6"/>
  <c r="F680" i="6"/>
  <c r="E79" i="6"/>
  <c r="F65" i="6"/>
  <c r="F68" i="6"/>
  <c r="B6" i="5"/>
  <c r="E150" i="6"/>
  <c r="F102" i="6"/>
  <c r="E777" i="6"/>
  <c r="F765" i="6"/>
  <c r="E128" i="6"/>
  <c r="F117" i="6"/>
  <c r="F121" i="6"/>
  <c r="B10" i="5"/>
  <c r="F201" i="4"/>
  <c r="H201" i="4"/>
  <c r="I201" i="4"/>
  <c r="I211" i="4"/>
  <c r="I212" i="4"/>
  <c r="B15" i="3"/>
  <c r="E591" i="6"/>
  <c r="F591" i="6"/>
  <c r="F597" i="6"/>
  <c r="B49" i="5"/>
  <c r="E244" i="4"/>
  <c r="E1055" i="6"/>
  <c r="F1036" i="6"/>
  <c r="E104" i="6"/>
  <c r="F90" i="6"/>
  <c r="F681" i="6"/>
  <c r="E698" i="6"/>
  <c r="F714" i="6"/>
  <c r="E729" i="6"/>
  <c r="E151" i="6"/>
  <c r="F104" i="6"/>
  <c r="E178" i="6"/>
  <c r="F165" i="6"/>
  <c r="F271" i="4"/>
  <c r="H271" i="4"/>
  <c r="I271" i="4"/>
  <c r="E292" i="4"/>
  <c r="F698" i="6"/>
  <c r="E713" i="6"/>
  <c r="F244" i="4"/>
  <c r="H244" i="4"/>
  <c r="I244" i="4"/>
  <c r="I246" i="4"/>
  <c r="I247" i="4"/>
  <c r="B16" i="3"/>
  <c r="E259" i="4"/>
  <c r="E802" i="6"/>
  <c r="F802" i="6"/>
  <c r="F804" i="6"/>
  <c r="B87" i="5"/>
  <c r="F777" i="6"/>
  <c r="E93" i="6"/>
  <c r="F79" i="6"/>
  <c r="F82" i="6"/>
  <c r="B7" i="5"/>
  <c r="E745" i="6"/>
  <c r="F729" i="6"/>
  <c r="F164" i="6"/>
  <c r="E177" i="6"/>
  <c r="F177" i="6"/>
  <c r="E191" i="6"/>
  <c r="E1070" i="6"/>
  <c r="F1070" i="6"/>
  <c r="F1071" i="6"/>
  <c r="F1055" i="6"/>
  <c r="F128" i="6"/>
  <c r="F133" i="6"/>
  <c r="B11" i="5"/>
  <c r="E140" i="6"/>
  <c r="F140" i="6"/>
  <c r="F144" i="6"/>
  <c r="B12" i="5"/>
  <c r="E162" i="6"/>
  <c r="F150" i="6"/>
  <c r="E192" i="6"/>
  <c r="F178" i="6"/>
  <c r="F162" i="6"/>
  <c r="E175" i="6"/>
  <c r="E107" i="6"/>
  <c r="F93" i="6"/>
  <c r="F96" i="6"/>
  <c r="B8" i="5"/>
  <c r="F259" i="4"/>
  <c r="H259" i="4"/>
  <c r="I259" i="4"/>
  <c r="I261" i="4"/>
  <c r="I262" i="4"/>
  <c r="B18" i="3"/>
  <c r="E630" i="6"/>
  <c r="F630" i="6"/>
  <c r="E270" i="4"/>
  <c r="F292" i="4"/>
  <c r="H292" i="4"/>
  <c r="I292" i="4"/>
  <c r="E335" i="4"/>
  <c r="E205" i="6"/>
  <c r="F205" i="6"/>
  <c r="F191" i="6"/>
  <c r="E861" i="6"/>
  <c r="F861" i="6"/>
  <c r="F866" i="6"/>
  <c r="B95" i="5"/>
  <c r="E528" i="6"/>
  <c r="F528" i="6"/>
  <c r="F536" i="6"/>
  <c r="B43" i="5"/>
  <c r="E481" i="6"/>
  <c r="F481" i="6"/>
  <c r="F483" i="6"/>
  <c r="B39" i="5"/>
  <c r="E163" i="6"/>
  <c r="F151" i="6"/>
  <c r="E758" i="6"/>
  <c r="F745" i="6"/>
  <c r="E728" i="6"/>
  <c r="F713" i="6"/>
  <c r="F717" i="6"/>
  <c r="B79" i="5"/>
  <c r="E744" i="6"/>
  <c r="F728" i="6"/>
  <c r="F732" i="6"/>
  <c r="B80" i="5"/>
  <c r="E176" i="6"/>
  <c r="F163" i="6"/>
  <c r="E154" i="6"/>
  <c r="F107" i="6"/>
  <c r="F110" i="6"/>
  <c r="B9" i="5"/>
  <c r="E206" i="6"/>
  <c r="F192" i="6"/>
  <c r="E770" i="6"/>
  <c r="F758" i="6"/>
  <c r="E376" i="4"/>
  <c r="F335" i="4"/>
  <c r="H335" i="4"/>
  <c r="I335" i="4"/>
  <c r="F270" i="4"/>
  <c r="H270" i="4"/>
  <c r="I270" i="4"/>
  <c r="I281" i="4"/>
  <c r="I282" i="4"/>
  <c r="B19" i="3"/>
  <c r="E579" i="6"/>
  <c r="F579" i="6"/>
  <c r="F585" i="6"/>
  <c r="B48" i="5"/>
  <c r="E291" i="4"/>
  <c r="E189" i="6"/>
  <c r="F175" i="6"/>
  <c r="F770" i="6"/>
  <c r="E784" i="6"/>
  <c r="F784" i="6"/>
  <c r="E166" i="6"/>
  <c r="F154" i="6"/>
  <c r="F156" i="6"/>
  <c r="B13" i="5"/>
  <c r="F744" i="6"/>
  <c r="F747" i="6"/>
  <c r="B82" i="5"/>
  <c r="E757" i="6"/>
  <c r="F376" i="4"/>
  <c r="H376" i="4"/>
  <c r="I376" i="4"/>
  <c r="E428" i="4"/>
  <c r="E203" i="6"/>
  <c r="F189" i="6"/>
  <c r="E336" i="4"/>
  <c r="E318" i="4"/>
  <c r="F318" i="4"/>
  <c r="H318" i="4"/>
  <c r="I318" i="4"/>
  <c r="I323" i="4"/>
  <c r="I324" i="4"/>
  <c r="B22" i="3"/>
  <c r="E987" i="6"/>
  <c r="F291" i="4"/>
  <c r="H291" i="4"/>
  <c r="I291" i="4"/>
  <c r="I298" i="4"/>
  <c r="I299" i="4"/>
  <c r="B20" i="3"/>
  <c r="E988" i="6"/>
  <c r="F206" i="6"/>
  <c r="E218" i="6"/>
  <c r="F176" i="6"/>
  <c r="E193" i="6"/>
  <c r="E207" i="6"/>
  <c r="F207" i="6"/>
  <c r="F193" i="6"/>
  <c r="E274" i="6"/>
  <c r="E217" i="6"/>
  <c r="F203" i="6"/>
  <c r="E1001" i="6"/>
  <c r="F988" i="6"/>
  <c r="F987" i="6"/>
  <c r="F994" i="6"/>
  <c r="B151" i="5"/>
  <c r="E1000" i="6"/>
  <c r="F428" i="4"/>
  <c r="H428" i="4"/>
  <c r="I428" i="4"/>
  <c r="E510" i="4"/>
  <c r="E232" i="6"/>
  <c r="F232" i="6"/>
  <c r="F218" i="6"/>
  <c r="E277" i="6"/>
  <c r="E347" i="4"/>
  <c r="F336" i="4"/>
  <c r="H336" i="4"/>
  <c r="I336" i="4"/>
  <c r="I337" i="4"/>
  <c r="I338" i="4"/>
  <c r="B23" i="3"/>
  <c r="F166" i="6"/>
  <c r="F169" i="6"/>
  <c r="B14" i="5"/>
  <c r="E179" i="6"/>
  <c r="F757" i="6"/>
  <c r="F759" i="6"/>
  <c r="B83" i="5"/>
  <c r="E769" i="6"/>
  <c r="E275" i="6"/>
  <c r="F179" i="6"/>
  <c r="F183" i="6"/>
  <c r="B15" i="5"/>
  <c r="E286" i="6"/>
  <c r="F286" i="6"/>
  <c r="F277" i="6"/>
  <c r="E1016" i="6"/>
  <c r="F1001" i="6"/>
  <c r="F1000" i="6"/>
  <c r="F1009" i="6"/>
  <c r="B152" i="5"/>
  <c r="E1015" i="6"/>
  <c r="E1144" i="6"/>
  <c r="E697" i="6"/>
  <c r="F697" i="6"/>
  <c r="F702" i="6"/>
  <c r="B78" i="5"/>
  <c r="F274" i="6"/>
  <c r="E285" i="6"/>
  <c r="F285" i="6"/>
  <c r="F769" i="6"/>
  <c r="F771" i="6"/>
  <c r="B84" i="5"/>
  <c r="E782" i="6"/>
  <c r="F782" i="6"/>
  <c r="F785" i="6"/>
  <c r="B85" i="5"/>
  <c r="F347" i="4"/>
  <c r="H347" i="4"/>
  <c r="I347" i="4"/>
  <c r="I351" i="4"/>
  <c r="I352" i="4"/>
  <c r="B24" i="3"/>
  <c r="E516" i="6"/>
  <c r="F516" i="6"/>
  <c r="F522" i="6"/>
  <c r="B42" i="5"/>
  <c r="E361" i="4"/>
  <c r="E685" i="4"/>
  <c r="F685" i="4"/>
  <c r="H685" i="4"/>
  <c r="I685" i="4"/>
  <c r="I696" i="4"/>
  <c r="I697" i="4"/>
  <c r="B50" i="3"/>
  <c r="E444" i="6"/>
  <c r="F444" i="6"/>
  <c r="F447" i="6"/>
  <c r="B36" i="5"/>
  <c r="F510" i="4"/>
  <c r="H510" i="4"/>
  <c r="I510" i="4"/>
  <c r="I512" i="4"/>
  <c r="I513" i="4"/>
  <c r="B36" i="3"/>
  <c r="E351" i="6"/>
  <c r="E231" i="6"/>
  <c r="F231" i="6"/>
  <c r="F217" i="6"/>
  <c r="F220" i="6"/>
  <c r="B18" i="5"/>
  <c r="E384" i="6"/>
  <c r="F351" i="6"/>
  <c r="F360" i="6"/>
  <c r="B30" i="5"/>
  <c r="E564" i="6"/>
  <c r="E396" i="6"/>
  <c r="F1015" i="6"/>
  <c r="F1016" i="6"/>
  <c r="F1022" i="6"/>
  <c r="B154" i="5"/>
  <c r="E1028" i="6"/>
  <c r="E377" i="4"/>
  <c r="F361" i="4"/>
  <c r="H361" i="4"/>
  <c r="I361" i="4"/>
  <c r="I365" i="4"/>
  <c r="I366" i="4"/>
  <c r="B25" i="3"/>
  <c r="E661" i="6"/>
  <c r="F661" i="6"/>
  <c r="F670" i="6"/>
  <c r="B75" i="5"/>
  <c r="E287" i="6"/>
  <c r="F287" i="6"/>
  <c r="F291" i="6"/>
  <c r="B24" i="5"/>
  <c r="E1158" i="6"/>
  <c r="F1144" i="6"/>
  <c r="F1149" i="6"/>
  <c r="B163" i="5"/>
  <c r="E1029" i="6"/>
  <c r="F275" i="6"/>
  <c r="F279" i="6"/>
  <c r="B23" i="5"/>
  <c r="F1029" i="6"/>
  <c r="E1044" i="6"/>
  <c r="F1044" i="6"/>
  <c r="F377" i="4"/>
  <c r="H377" i="4"/>
  <c r="I377" i="4"/>
  <c r="I382" i="4"/>
  <c r="I383" i="4"/>
  <c r="B26" i="3"/>
  <c r="E678" i="6"/>
  <c r="F678" i="6"/>
  <c r="F687" i="6"/>
  <c r="B76" i="5"/>
  <c r="E426" i="4"/>
  <c r="E409" i="6"/>
  <c r="F396" i="6"/>
  <c r="E1173" i="6"/>
  <c r="F1173" i="6"/>
  <c r="F1185" i="6"/>
  <c r="B165" i="5"/>
  <c r="F1158" i="6"/>
  <c r="F1164" i="6"/>
  <c r="B164" i="5"/>
  <c r="E1043" i="6"/>
  <c r="F1043" i="6"/>
  <c r="F1028" i="6"/>
  <c r="F1037" i="6"/>
  <c r="B155" i="5"/>
  <c r="E572" i="6"/>
  <c r="F572" i="6"/>
  <c r="F573" i="6"/>
  <c r="B47" i="5"/>
  <c r="F564" i="6"/>
  <c r="F565" i="6"/>
  <c r="B46" i="5"/>
  <c r="E395" i="6"/>
  <c r="F384" i="6"/>
  <c r="F389" i="6"/>
  <c r="B32" i="5"/>
  <c r="F426" i="4"/>
  <c r="H426" i="4"/>
  <c r="I426" i="4"/>
  <c r="I429" i="4"/>
  <c r="I430" i="4"/>
  <c r="B30" i="3"/>
  <c r="E10" i="6"/>
  <c r="E484" i="4"/>
  <c r="F395" i="6"/>
  <c r="F402" i="6"/>
  <c r="B33" i="5"/>
  <c r="E408" i="6"/>
  <c r="F1056" i="6"/>
  <c r="B158" i="5"/>
  <c r="E422" i="6"/>
  <c r="F422" i="6"/>
  <c r="F409" i="6"/>
  <c r="F408" i="6"/>
  <c r="F415" i="6"/>
  <c r="B34" i="5"/>
  <c r="E421" i="6"/>
  <c r="F421" i="6"/>
  <c r="F430" i="6"/>
  <c r="B35" i="5"/>
  <c r="E521" i="4"/>
  <c r="F484" i="4"/>
  <c r="H484" i="4"/>
  <c r="I484" i="4"/>
  <c r="I485" i="4"/>
  <c r="I486" i="4"/>
  <c r="B34" i="3"/>
  <c r="E24" i="6"/>
  <c r="F10" i="6"/>
  <c r="F12" i="6"/>
  <c r="B2" i="5"/>
  <c r="F521" i="4"/>
  <c r="H521" i="4"/>
  <c r="I521" i="4"/>
  <c r="I525" i="4"/>
  <c r="I526" i="4"/>
  <c r="B37" i="3"/>
  <c r="E194" i="6"/>
  <c r="E553" i="4"/>
  <c r="E872" i="6"/>
  <c r="F872" i="6"/>
  <c r="F875" i="6"/>
  <c r="B96" i="5"/>
  <c r="E631" i="6"/>
  <c r="F631" i="6"/>
  <c r="F634" i="6"/>
  <c r="B52" i="5"/>
  <c r="F24" i="6"/>
  <c r="F26" i="6"/>
  <c r="B3" i="5"/>
  <c r="E38" i="6"/>
  <c r="E620" i="4"/>
  <c r="F620" i="4"/>
  <c r="H620" i="4"/>
  <c r="I620" i="4"/>
  <c r="I623" i="4"/>
  <c r="I624" i="4"/>
  <c r="B45" i="3"/>
  <c r="F553" i="4"/>
  <c r="H553" i="4"/>
  <c r="I553" i="4"/>
  <c r="I554" i="4"/>
  <c r="I555" i="4"/>
  <c r="B39" i="3"/>
  <c r="E52" i="6"/>
  <c r="F52" i="6"/>
  <c r="F54" i="6"/>
  <c r="B5" i="5"/>
  <c r="F38" i="6"/>
  <c r="F40" i="6"/>
  <c r="B4" i="5"/>
  <c r="E208" i="6"/>
  <c r="F208" i="6"/>
  <c r="F211" i="6"/>
  <c r="B17" i="5"/>
  <c r="F194" i="6"/>
  <c r="F197" i="6"/>
  <c r="B16" i="5"/>
  <c r="E1079" i="6"/>
  <c r="F1079" i="6"/>
  <c r="F1081" i="6"/>
  <c r="B147" i="5"/>
  <c r="E254" i="6"/>
  <c r="F254" i="6"/>
  <c r="F255" i="6"/>
  <c r="B21" i="5"/>
  <c r="E440" i="19"/>
  <c r="F440" i="19" s="1"/>
  <c r="W215" i="12"/>
  <c r="X215" i="12" s="1"/>
  <c r="K215" i="12"/>
  <c r="L215" i="12" s="1"/>
  <c r="Q215" i="12"/>
  <c r="R215" i="12" s="1"/>
  <c r="K425" i="19"/>
  <c r="L425" i="19" s="1"/>
  <c r="W200" i="12"/>
  <c r="X200" i="12" s="1"/>
  <c r="K440" i="19"/>
  <c r="L440" i="19" s="1"/>
  <c r="K200" i="12"/>
  <c r="L200" i="12" s="1"/>
  <c r="E425" i="19"/>
  <c r="F425" i="19" s="1"/>
  <c r="K216" i="12"/>
  <c r="L216" i="12" s="1"/>
  <c r="Q200" i="12"/>
  <c r="R200" i="12" s="1"/>
  <c r="Q187" i="12"/>
  <c r="R187" i="12" s="1"/>
  <c r="W187" i="12"/>
  <c r="X187" i="12" s="1"/>
  <c r="Q217" i="12"/>
  <c r="R217" i="12" s="1"/>
  <c r="W202" i="12"/>
  <c r="X202" i="12" s="1"/>
  <c r="Q216" i="12"/>
  <c r="R216" i="12" s="1"/>
  <c r="Q201" i="12"/>
  <c r="R201" i="12" s="1"/>
  <c r="Q186" i="12"/>
  <c r="R186" i="12" s="1"/>
  <c r="Q26" i="12"/>
  <c r="R26" i="12" s="1"/>
  <c r="Q27" i="12"/>
  <c r="R27" i="12" s="1"/>
  <c r="K25" i="12"/>
  <c r="L25" i="12" s="1"/>
  <c r="W25" i="12"/>
  <c r="X25" i="12" s="1"/>
  <c r="Q25" i="12"/>
  <c r="R25" i="12" s="1"/>
  <c r="E29" i="21"/>
  <c r="F29" i="21" s="1"/>
  <c r="W9" i="12"/>
  <c r="X9" i="12" s="1"/>
  <c r="Q9" i="12"/>
  <c r="R9" i="12" s="1"/>
  <c r="Q61" i="12"/>
  <c r="R61" i="12" s="1"/>
  <c r="Q10" i="12"/>
  <c r="R10" i="12" s="1"/>
  <c r="K60" i="12"/>
  <c r="L60" i="12" s="1"/>
  <c r="Q60" i="12"/>
  <c r="R60" i="12" s="1"/>
  <c r="W60" i="12"/>
  <c r="X60" i="12" s="1"/>
  <c r="Q62" i="12"/>
  <c r="R62" i="12" s="1"/>
  <c r="W62" i="12"/>
  <c r="X62" i="12" s="1"/>
  <c r="W157" i="12"/>
  <c r="X157" i="12" s="1"/>
  <c r="K379" i="19"/>
  <c r="L379" i="19" s="1"/>
  <c r="E379" i="19"/>
  <c r="F379" i="19" s="1"/>
  <c r="E330" i="19"/>
  <c r="F330" i="19" s="1"/>
  <c r="W171" i="12"/>
  <c r="X171" i="12" s="1"/>
  <c r="Q171" i="12"/>
  <c r="R171" i="12" s="1"/>
  <c r="K330" i="19"/>
  <c r="L330" i="19" s="1"/>
  <c r="K171" i="12"/>
  <c r="L171" i="12" s="1"/>
  <c r="Q156" i="12"/>
  <c r="R156" i="12" s="1"/>
  <c r="Q172" i="12"/>
  <c r="R172" i="12" s="1"/>
  <c r="Q92" i="12"/>
  <c r="R92" i="12" s="1"/>
  <c r="Q142" i="12"/>
  <c r="R142" i="12" s="1"/>
  <c r="Q109" i="12"/>
  <c r="R109" i="12" s="1"/>
  <c r="Q74" i="12"/>
  <c r="R74" i="12" s="1"/>
  <c r="Q125" i="12"/>
  <c r="R125" i="12" s="1"/>
  <c r="Q45" i="12"/>
  <c r="R45" i="12" s="1"/>
  <c r="W46" i="12"/>
  <c r="X46" i="12" s="1"/>
  <c r="Q93" i="12"/>
  <c r="R93" i="12" s="1"/>
  <c r="Q143" i="12"/>
  <c r="R143" i="12" s="1"/>
  <c r="Q110" i="12"/>
  <c r="R110" i="12" s="1"/>
  <c r="W110" i="12"/>
  <c r="X110" i="12" s="1"/>
  <c r="Q46" i="12"/>
  <c r="R46" i="12" s="1"/>
  <c r="W143" i="12"/>
  <c r="X143" i="12" s="1"/>
  <c r="E184" i="19"/>
  <c r="F184" i="19" s="1"/>
  <c r="K184" i="19"/>
  <c r="L184" i="19" s="1"/>
  <c r="E154" i="19"/>
  <c r="F154" i="19" s="1"/>
  <c r="E221" i="19"/>
  <c r="F221" i="19" s="1"/>
  <c r="K221" i="19"/>
  <c r="L221" i="19" s="1"/>
  <c r="E203" i="19"/>
  <c r="F203" i="19" s="1"/>
  <c r="K203" i="19"/>
  <c r="L203" i="19" s="1"/>
  <c r="K154" i="19"/>
  <c r="L154" i="19" s="1"/>
  <c r="E124" i="19"/>
  <c r="F124" i="19" s="1"/>
  <c r="E40" i="19"/>
  <c r="F40" i="19" s="1"/>
  <c r="W141" i="12"/>
  <c r="X141" i="12" s="1"/>
  <c r="K141" i="12"/>
  <c r="L141" i="12" s="1"/>
  <c r="E293" i="19"/>
  <c r="F293" i="19" s="1"/>
  <c r="W108" i="12"/>
  <c r="X108" i="12" s="1"/>
  <c r="W44" i="12"/>
  <c r="X44" i="12" s="1"/>
  <c r="K124" i="19"/>
  <c r="L124" i="19" s="1"/>
  <c r="K9" i="19"/>
  <c r="L9" i="19" s="1"/>
  <c r="E57" i="19"/>
  <c r="F57" i="19" s="1"/>
  <c r="Q73" i="12"/>
  <c r="R73" i="12" s="1"/>
  <c r="K73" i="12"/>
  <c r="L73" i="12" s="1"/>
  <c r="K57" i="19"/>
  <c r="L57" i="19" s="1"/>
  <c r="E9" i="19"/>
  <c r="F9" i="19" s="1"/>
  <c r="K40" i="19"/>
  <c r="L40" i="19" s="1"/>
  <c r="K22" i="19"/>
  <c r="L22" i="19" s="1"/>
  <c r="Q141" i="12"/>
  <c r="R141" i="12" s="1"/>
  <c r="Q108" i="12"/>
  <c r="R108" i="12" s="1"/>
  <c r="E22" i="19"/>
  <c r="F22" i="19" s="1"/>
  <c r="Q91" i="12"/>
  <c r="R91" i="12" s="1"/>
  <c r="W73" i="12"/>
  <c r="X73" i="12" s="1"/>
  <c r="W91" i="12"/>
  <c r="X91" i="12" s="1"/>
  <c r="Q44" i="12"/>
  <c r="R44" i="12" s="1"/>
  <c r="E42" i="13"/>
  <c r="F42" i="13" s="1"/>
  <c r="E62" i="13"/>
  <c r="F62" i="13" s="1"/>
  <c r="K109" i="12"/>
  <c r="L109" i="12" s="1"/>
  <c r="E8" i="13"/>
  <c r="F8" i="13" s="1"/>
  <c r="K108" i="12"/>
  <c r="L108" i="12" s="1"/>
  <c r="K91" i="12"/>
  <c r="L91" i="12" s="1"/>
  <c r="E24" i="13"/>
  <c r="F24" i="13" s="1"/>
  <c r="E7" i="13"/>
  <c r="F7" i="13" s="1"/>
  <c r="K44" i="12"/>
  <c r="L44" i="12" s="1"/>
  <c r="J9" i="5"/>
  <c r="E78" i="35" l="1"/>
  <c r="F78" i="35" s="1"/>
  <c r="E44" i="37"/>
  <c r="F44" i="37" s="1"/>
  <c r="E63" i="37"/>
  <c r="F63" i="37" s="1"/>
  <c r="E77" i="9"/>
  <c r="F77" i="9" s="1"/>
  <c r="E8" i="38"/>
  <c r="F8" i="38" s="1"/>
  <c r="Q75" i="12"/>
  <c r="R75" i="12" s="1"/>
  <c r="W126" i="12"/>
  <c r="X126" i="12" s="1"/>
  <c r="Q173" i="12"/>
  <c r="R173" i="12" s="1"/>
  <c r="E43" i="37"/>
  <c r="F43" i="37" s="1"/>
  <c r="F51" i="37" s="1"/>
  <c r="C53" i="37" s="1"/>
  <c r="E25" i="37"/>
  <c r="F25" i="37" s="1"/>
  <c r="E7" i="37"/>
  <c r="F7" i="37" s="1"/>
  <c r="F15" i="37" s="1"/>
  <c r="C17" i="37" s="1"/>
  <c r="E61" i="37"/>
  <c r="F61" i="37" s="1"/>
  <c r="E7" i="9"/>
  <c r="F7" i="9" s="1"/>
  <c r="E7" i="38"/>
  <c r="F7" i="38" s="1"/>
  <c r="K170" i="12"/>
  <c r="L170" i="12" s="1"/>
  <c r="E18" i="38"/>
  <c r="F18" i="38" s="1"/>
  <c r="F23" i="38" s="1"/>
  <c r="C24" i="38" s="1"/>
  <c r="E26" i="37"/>
  <c r="F26" i="37" s="1"/>
  <c r="E62" i="37"/>
  <c r="F62" i="37" s="1"/>
  <c r="E77" i="24"/>
  <c r="K42" i="19"/>
  <c r="L42" i="19" s="1"/>
  <c r="W173" i="12"/>
  <c r="X173" i="12" s="1"/>
  <c r="E144" i="35"/>
  <c r="F144" i="35" s="1"/>
  <c r="E125" i="35"/>
  <c r="F125" i="35" s="1"/>
  <c r="E103" i="35"/>
  <c r="F103" i="35" s="1"/>
  <c r="K144" i="35"/>
  <c r="L144" i="35" s="1"/>
  <c r="E83" i="35"/>
  <c r="F83" i="35" s="1"/>
  <c r="K140" i="35"/>
  <c r="L140" i="35" s="1"/>
  <c r="E79" i="35"/>
  <c r="F79" i="35" s="1"/>
  <c r="E140" i="35"/>
  <c r="F140" i="35" s="1"/>
  <c r="E60" i="13"/>
  <c r="F60" i="13" s="1"/>
  <c r="K139" i="35"/>
  <c r="L139" i="35" s="1"/>
  <c r="E46" i="9"/>
  <c r="F46" i="9" s="1"/>
  <c r="E143" i="35"/>
  <c r="F143" i="35" s="1"/>
  <c r="E124" i="35"/>
  <c r="F124" i="35" s="1"/>
  <c r="E101" i="35"/>
  <c r="F101" i="35" s="1"/>
  <c r="K143" i="35"/>
  <c r="L143" i="35" s="1"/>
  <c r="E79" i="9"/>
  <c r="F79" i="9" s="1"/>
  <c r="E82" i="35"/>
  <c r="F82" i="35" s="1"/>
  <c r="K100" i="35"/>
  <c r="L100" i="35" s="1"/>
  <c r="K141" i="35"/>
  <c r="L141" i="35" s="1"/>
  <c r="E80" i="35"/>
  <c r="F80" i="35" s="1"/>
  <c r="E141" i="35"/>
  <c r="F141" i="35" s="1"/>
  <c r="E65" i="13"/>
  <c r="F65" i="13" s="1"/>
  <c r="K101" i="35"/>
  <c r="L101" i="35" s="1"/>
  <c r="K142" i="35"/>
  <c r="L142" i="35" s="1"/>
  <c r="K98" i="35"/>
  <c r="L98" i="35" s="1"/>
  <c r="E81" i="35"/>
  <c r="F81" i="35" s="1"/>
  <c r="E123" i="35"/>
  <c r="F123" i="35" s="1"/>
  <c r="E142" i="35"/>
  <c r="F142" i="35" s="1"/>
  <c r="K103" i="35"/>
  <c r="L103" i="35" s="1"/>
  <c r="E99" i="35"/>
  <c r="F99" i="35" s="1"/>
  <c r="E185" i="37"/>
  <c r="F185" i="37" s="1"/>
  <c r="E77" i="35"/>
  <c r="F77" i="35" s="1"/>
  <c r="E138" i="35"/>
  <c r="F138" i="35" s="1"/>
  <c r="E121" i="35"/>
  <c r="F121" i="35" s="1"/>
  <c r="K138" i="35"/>
  <c r="L138" i="35" s="1"/>
  <c r="E46" i="24"/>
  <c r="K102" i="35"/>
  <c r="L102" i="35" s="1"/>
  <c r="E98" i="35"/>
  <c r="F98" i="35" s="1"/>
  <c r="E42" i="9"/>
  <c r="F42" i="9" s="1"/>
  <c r="K110" i="12"/>
  <c r="L110" i="12" s="1"/>
  <c r="Q126" i="12"/>
  <c r="R126" i="12" s="1"/>
  <c r="Q157" i="12"/>
  <c r="R157" i="12" s="1"/>
  <c r="Q11" i="12"/>
  <c r="R11" i="12" s="1"/>
  <c r="W27" i="12"/>
  <c r="X27" i="12" s="1"/>
  <c r="Q202" i="12"/>
  <c r="R202" i="12" s="1"/>
  <c r="E260" i="19"/>
  <c r="F260" i="19" s="1"/>
  <c r="K27" i="12"/>
  <c r="L27" i="12" s="1"/>
  <c r="E13" i="14"/>
  <c r="F13" i="14" s="1"/>
  <c r="K255" i="19"/>
  <c r="L255" i="19" s="1"/>
  <c r="E10" i="13"/>
  <c r="F10" i="13" s="1"/>
  <c r="E47" i="13"/>
  <c r="F47" i="13" s="1"/>
  <c r="E314" i="19"/>
  <c r="F314" i="19" s="1"/>
  <c r="E398" i="19"/>
  <c r="F398" i="19" s="1"/>
  <c r="E43" i="9"/>
  <c r="F43" i="9" s="1"/>
  <c r="K75" i="12"/>
  <c r="L75" i="12" s="1"/>
  <c r="E183" i="19"/>
  <c r="F183" i="19" s="1"/>
  <c r="K238" i="19"/>
  <c r="L238" i="19" s="1"/>
  <c r="E77" i="13"/>
  <c r="F77" i="13" s="1"/>
  <c r="K24" i="19"/>
  <c r="L24" i="19" s="1"/>
  <c r="E72" i="14"/>
  <c r="F72" i="14" s="1"/>
  <c r="E223" i="19"/>
  <c r="F223" i="19" s="1"/>
  <c r="E44" i="13"/>
  <c r="F44" i="13" s="1"/>
  <c r="E73" i="14"/>
  <c r="F73" i="14" s="1"/>
  <c r="E141" i="19"/>
  <c r="F141" i="19" s="1"/>
  <c r="K219" i="19"/>
  <c r="L219" i="19" s="1"/>
  <c r="E92" i="19"/>
  <c r="F92" i="19" s="1"/>
  <c r="E155" i="19"/>
  <c r="F155" i="19" s="1"/>
  <c r="E64" i="13"/>
  <c r="F64" i="13" s="1"/>
  <c r="E29" i="13"/>
  <c r="F29" i="13" s="1"/>
  <c r="K273" i="19"/>
  <c r="L273" i="19" s="1"/>
  <c r="K72" i="12"/>
  <c r="L72" i="12" s="1"/>
  <c r="E122" i="14"/>
  <c r="F122" i="14" s="1"/>
  <c r="E107" i="24"/>
  <c r="Q43" i="12"/>
  <c r="R43" i="12" s="1"/>
  <c r="K378" i="19"/>
  <c r="L378" i="19" s="1"/>
  <c r="E11" i="14"/>
  <c r="F11" i="14" s="1"/>
  <c r="E93" i="19"/>
  <c r="F93" i="19" s="1"/>
  <c r="E399" i="19"/>
  <c r="F399" i="19" s="1"/>
  <c r="E106" i="14"/>
  <c r="F106" i="14" s="1"/>
  <c r="E120" i="14"/>
  <c r="F120" i="14" s="1"/>
  <c r="E41" i="13"/>
  <c r="F41" i="13" s="1"/>
  <c r="K43" i="12"/>
  <c r="L43" i="12" s="1"/>
  <c r="E89" i="14"/>
  <c r="F89" i="14" s="1"/>
  <c r="E133" i="14"/>
  <c r="F133" i="14" s="1"/>
  <c r="J76" i="24"/>
  <c r="E187" i="19"/>
  <c r="F187" i="19" s="1"/>
  <c r="E222" i="19"/>
  <c r="F222" i="19" s="1"/>
  <c r="E394" i="19"/>
  <c r="F394" i="19" s="1"/>
  <c r="E9" i="14"/>
  <c r="F9" i="14" s="1"/>
  <c r="E349" i="19"/>
  <c r="F349" i="19" s="1"/>
  <c r="K169" i="12"/>
  <c r="L169" i="12" s="1"/>
  <c r="K105" i="19"/>
  <c r="L105" i="19" s="1"/>
  <c r="E8" i="19"/>
  <c r="F8" i="19" s="1"/>
  <c r="W75" i="12"/>
  <c r="X75" i="12" s="1"/>
  <c r="E365" i="19"/>
  <c r="F365" i="19" s="1"/>
  <c r="E135" i="14"/>
  <c r="F135" i="14" s="1"/>
  <c r="J46" i="24"/>
  <c r="E126" i="19"/>
  <c r="F126" i="19" s="1"/>
  <c r="E242" i="19"/>
  <c r="F242" i="19" s="1"/>
  <c r="E90" i="14"/>
  <c r="F90" i="14" s="1"/>
  <c r="E52" i="20"/>
  <c r="F52" i="20" s="1"/>
  <c r="K258" i="19"/>
  <c r="L258" i="19" s="1"/>
  <c r="E55" i="14"/>
  <c r="F55" i="14" s="1"/>
  <c r="E27" i="14"/>
  <c r="F27" i="14" s="1"/>
  <c r="K93" i="12"/>
  <c r="L93" i="12" s="1"/>
  <c r="Q90" i="12"/>
  <c r="R90" i="12" s="1"/>
  <c r="E125" i="19"/>
  <c r="F125" i="19" s="1"/>
  <c r="E291" i="19"/>
  <c r="F291" i="19" s="1"/>
  <c r="E351" i="19"/>
  <c r="F351" i="19" s="1"/>
  <c r="K157" i="12"/>
  <c r="L157" i="12" s="1"/>
  <c r="E49" i="20"/>
  <c r="F49" i="20" s="1"/>
  <c r="K187" i="12"/>
  <c r="L187" i="12" s="1"/>
  <c r="K143" i="12"/>
  <c r="L143" i="12" s="1"/>
  <c r="E42" i="19"/>
  <c r="F42" i="19" s="1"/>
  <c r="K291" i="19"/>
  <c r="L291" i="19" s="1"/>
  <c r="K292" i="19"/>
  <c r="L292" i="19" s="1"/>
  <c r="K46" i="12"/>
  <c r="L46" i="12" s="1"/>
  <c r="K202" i="12"/>
  <c r="L202" i="12" s="1"/>
  <c r="E138" i="14"/>
  <c r="F138" i="14" s="1"/>
  <c r="E63" i="13"/>
  <c r="F63" i="13" s="1"/>
  <c r="F67" i="13" s="1"/>
  <c r="C69" i="13" s="1"/>
  <c r="C70" i="13" s="1"/>
  <c r="W72" i="12"/>
  <c r="X72" i="12" s="1"/>
  <c r="E59" i="19"/>
  <c r="F59" i="19" s="1"/>
  <c r="E296" i="19"/>
  <c r="F296" i="19" s="1"/>
  <c r="L66" i="23"/>
  <c r="L67" i="23"/>
  <c r="Q72" i="12"/>
  <c r="R72" i="12" s="1"/>
  <c r="E380" i="19"/>
  <c r="F380" i="19" s="1"/>
  <c r="K173" i="12"/>
  <c r="L173" i="12" s="1"/>
  <c r="E23" i="21"/>
  <c r="F23" i="21" s="1"/>
  <c r="E123" i="19"/>
  <c r="F123" i="19" s="1"/>
  <c r="W43" i="12"/>
  <c r="X43" i="12" s="1"/>
  <c r="K185" i="19"/>
  <c r="L185" i="19" s="1"/>
  <c r="E261" i="19"/>
  <c r="F261" i="19" s="1"/>
  <c r="K294" i="19"/>
  <c r="L294" i="19" s="1"/>
  <c r="E442" i="19"/>
  <c r="F442" i="19" s="1"/>
  <c r="E32" i="9"/>
  <c r="F32" i="9" s="1"/>
  <c r="K75" i="19"/>
  <c r="L75" i="19" s="1"/>
  <c r="E8" i="14"/>
  <c r="F8" i="14" s="1"/>
  <c r="E79" i="19"/>
  <c r="F79" i="19" s="1"/>
  <c r="E9" i="13"/>
  <c r="F9" i="13" s="1"/>
  <c r="E185" i="19"/>
  <c r="F185" i="19" s="1"/>
  <c r="E278" i="19"/>
  <c r="F278" i="19" s="1"/>
  <c r="W155" i="12"/>
  <c r="X155" i="12" s="1"/>
  <c r="E105" i="14"/>
  <c r="F105" i="14" s="1"/>
  <c r="G124" i="23"/>
  <c r="E258" i="19"/>
  <c r="F258" i="19" s="1"/>
  <c r="E107" i="14"/>
  <c r="F107" i="14" s="1"/>
  <c r="E45" i="24"/>
  <c r="E18" i="9"/>
  <c r="F18" i="9" s="1"/>
  <c r="F23" i="9" s="1"/>
  <c r="C24" i="9" s="1"/>
  <c r="K137" i="19" s="1"/>
  <c r="L137" i="19" s="1"/>
  <c r="K240" i="19"/>
  <c r="L240" i="19" s="1"/>
  <c r="E256" i="19"/>
  <c r="F256" i="19" s="1"/>
  <c r="E21" i="19"/>
  <c r="F21" i="19" s="1"/>
  <c r="E11" i="19"/>
  <c r="F11" i="19" s="1"/>
  <c r="E172" i="19"/>
  <c r="F172" i="19" s="1"/>
  <c r="W170" i="12"/>
  <c r="X170" i="12" s="1"/>
  <c r="E315" i="19"/>
  <c r="F315" i="19" s="1"/>
  <c r="E295" i="19"/>
  <c r="F295" i="19" s="1"/>
  <c r="G36" i="23"/>
  <c r="K138" i="19"/>
  <c r="L138" i="19" s="1"/>
  <c r="E30" i="20"/>
  <c r="F30" i="20" s="1"/>
  <c r="E106" i="19"/>
  <c r="F106" i="19" s="1"/>
  <c r="E46" i="20"/>
  <c r="F46" i="20" s="1"/>
  <c r="E46" i="13"/>
  <c r="F46" i="13" s="1"/>
  <c r="E51" i="14"/>
  <c r="F51" i="14" s="1"/>
  <c r="E30" i="14"/>
  <c r="F30" i="14" s="1"/>
  <c r="K202" i="19"/>
  <c r="L202" i="19" s="1"/>
  <c r="E121" i="19"/>
  <c r="F121" i="19" s="1"/>
  <c r="E110" i="19"/>
  <c r="F110" i="19" s="1"/>
  <c r="E156" i="19"/>
  <c r="F156" i="19" s="1"/>
  <c r="E17" i="20"/>
  <c r="F17" i="20" s="1"/>
  <c r="E74" i="14"/>
  <c r="F74" i="14" s="1"/>
  <c r="E70" i="14"/>
  <c r="F70" i="14" s="1"/>
  <c r="G67" i="23"/>
  <c r="Q67" i="23"/>
  <c r="E7" i="26"/>
  <c r="G229" i="23"/>
  <c r="L168" i="23"/>
  <c r="G168" i="23"/>
  <c r="E71" i="14"/>
  <c r="F71" i="14" s="1"/>
  <c r="K257" i="19"/>
  <c r="L257" i="19" s="1"/>
  <c r="E67" i="14"/>
  <c r="F67" i="14" s="1"/>
  <c r="E87" i="20"/>
  <c r="F87" i="20" s="1"/>
  <c r="E63" i="9"/>
  <c r="F63" i="9" s="1"/>
  <c r="K223" i="19"/>
  <c r="L223" i="19" s="1"/>
  <c r="G66" i="23"/>
  <c r="Q66" i="23"/>
  <c r="G60" i="26"/>
  <c r="G69" i="26" s="1"/>
  <c r="G71" i="26" s="1"/>
  <c r="G169" i="23"/>
  <c r="L169" i="23"/>
  <c r="G230" i="23"/>
  <c r="J77" i="24"/>
  <c r="E329" i="19"/>
  <c r="F329" i="19" s="1"/>
  <c r="G277" i="23"/>
  <c r="G241" i="23"/>
  <c r="G180" i="23"/>
  <c r="L180" i="23"/>
  <c r="E86" i="14"/>
  <c r="F86" i="14" s="1"/>
  <c r="G92" i="23"/>
  <c r="G206" i="23"/>
  <c r="E58" i="9"/>
  <c r="F58" i="9" s="1"/>
  <c r="E50" i="14"/>
  <c r="F50" i="14" s="1"/>
  <c r="E53" i="14"/>
  <c r="F53" i="14" s="1"/>
  <c r="E12" i="13"/>
  <c r="F12" i="13" s="1"/>
  <c r="E47" i="9"/>
  <c r="F47" i="9" s="1"/>
  <c r="G205" i="23"/>
  <c r="L176" i="23"/>
  <c r="G237" i="23"/>
  <c r="L175" i="23"/>
  <c r="G236" i="23"/>
  <c r="G176" i="23"/>
  <c r="G175" i="23"/>
  <c r="E49" i="14"/>
  <c r="F49" i="14" s="1"/>
  <c r="E202" i="19"/>
  <c r="F202" i="19" s="1"/>
  <c r="G12" i="23"/>
  <c r="G13" i="23"/>
  <c r="G200" i="23"/>
  <c r="M9" i="7"/>
  <c r="F9" i="7" s="1"/>
  <c r="K24" i="12" s="1"/>
  <c r="L24" i="12" s="1"/>
  <c r="K45" i="12"/>
  <c r="L45" i="12" s="1"/>
  <c r="K74" i="19"/>
  <c r="L74" i="19" s="1"/>
  <c r="E170" i="19"/>
  <c r="F170" i="19" s="1"/>
  <c r="E274" i="19"/>
  <c r="F274" i="19" s="1"/>
  <c r="K224" i="19"/>
  <c r="L224" i="19" s="1"/>
  <c r="G60" i="23"/>
  <c r="E167" i="24"/>
  <c r="E297" i="19"/>
  <c r="F297" i="19" s="1"/>
  <c r="L61" i="23"/>
  <c r="G266" i="23"/>
  <c r="K92" i="12"/>
  <c r="L92" i="12" s="1"/>
  <c r="K125" i="12"/>
  <c r="L125" i="12" s="1"/>
  <c r="K156" i="12"/>
  <c r="L156" i="12" s="1"/>
  <c r="E45" i="9"/>
  <c r="F45" i="9" s="1"/>
  <c r="K74" i="12"/>
  <c r="L74" i="12" s="1"/>
  <c r="E74" i="19"/>
  <c r="F74" i="19" s="1"/>
  <c r="K172" i="12"/>
  <c r="L172" i="12" s="1"/>
  <c r="E167" i="19"/>
  <c r="F167" i="19" s="1"/>
  <c r="E142" i="19"/>
  <c r="F142" i="19" s="1"/>
  <c r="E381" i="19"/>
  <c r="F381" i="19" s="1"/>
  <c r="E397" i="19"/>
  <c r="F397" i="19" s="1"/>
  <c r="E69" i="20"/>
  <c r="F69" i="20" s="1"/>
  <c r="E65" i="20"/>
  <c r="F65" i="20" s="1"/>
  <c r="G70" i="23"/>
  <c r="G210" i="23"/>
  <c r="K169" i="19"/>
  <c r="L169" i="19" s="1"/>
  <c r="K293" i="19"/>
  <c r="L293" i="19" s="1"/>
  <c r="Q70" i="23"/>
  <c r="G61" i="23"/>
  <c r="G87" i="23"/>
  <c r="G32" i="23"/>
  <c r="O16" i="24"/>
  <c r="G150" i="23"/>
  <c r="K90" i="19"/>
  <c r="L90" i="19" s="1"/>
  <c r="E90" i="19"/>
  <c r="F90" i="19" s="1"/>
  <c r="E169" i="19"/>
  <c r="F169" i="19" s="1"/>
  <c r="K395" i="19"/>
  <c r="L395" i="19" s="1"/>
  <c r="E52" i="14"/>
  <c r="F52" i="14" s="1"/>
  <c r="E240" i="19"/>
  <c r="F240" i="19" s="1"/>
  <c r="E255" i="19"/>
  <c r="F255" i="19" s="1"/>
  <c r="K126" i="12"/>
  <c r="L126" i="12" s="1"/>
  <c r="K73" i="19"/>
  <c r="L73" i="19" s="1"/>
  <c r="E78" i="19"/>
  <c r="F78" i="19" s="1"/>
  <c r="E205" i="19"/>
  <c r="F205" i="19" s="1"/>
  <c r="E77" i="19"/>
  <c r="F77" i="19" s="1"/>
  <c r="E91" i="19"/>
  <c r="F91" i="19" s="1"/>
  <c r="E393" i="19"/>
  <c r="F393" i="19" s="1"/>
  <c r="E364" i="19"/>
  <c r="F364" i="19" s="1"/>
  <c r="E331" i="19"/>
  <c r="F331" i="19" s="1"/>
  <c r="E32" i="20"/>
  <c r="F32" i="20" s="1"/>
  <c r="K143" i="19"/>
  <c r="L143" i="19" s="1"/>
  <c r="L70" i="23"/>
  <c r="Q61" i="23"/>
  <c r="G125" i="23"/>
  <c r="E174" i="24"/>
  <c r="K26" i="19"/>
  <c r="L26" i="19" s="1"/>
  <c r="E136" i="24"/>
  <c r="E25" i="13"/>
  <c r="F25" i="13" s="1"/>
  <c r="E43" i="13"/>
  <c r="F43" i="13" s="1"/>
  <c r="E68" i="14"/>
  <c r="F68" i="14" s="1"/>
  <c r="E31" i="13"/>
  <c r="F31" i="13" s="1"/>
  <c r="E32" i="14"/>
  <c r="F32" i="14" s="1"/>
  <c r="E153" i="19"/>
  <c r="F153" i="19" s="1"/>
  <c r="E39" i="19"/>
  <c r="F39" i="19" s="1"/>
  <c r="E24" i="19"/>
  <c r="F24" i="19" s="1"/>
  <c r="E243" i="19"/>
  <c r="F243" i="19" s="1"/>
  <c r="E58" i="19"/>
  <c r="F58" i="19" s="1"/>
  <c r="K108" i="19"/>
  <c r="L108" i="19" s="1"/>
  <c r="E378" i="19"/>
  <c r="F378" i="19" s="1"/>
  <c r="E332" i="19"/>
  <c r="F332" i="19" s="1"/>
  <c r="W169" i="12"/>
  <c r="X169" i="12" s="1"/>
  <c r="K397" i="19"/>
  <c r="L397" i="19" s="1"/>
  <c r="E100" i="14"/>
  <c r="F100" i="14" s="1"/>
  <c r="E121" i="14"/>
  <c r="F121" i="14" s="1"/>
  <c r="E14" i="20"/>
  <c r="F14" i="20" s="1"/>
  <c r="E26" i="19"/>
  <c r="F26" i="19" s="1"/>
  <c r="K399" i="19"/>
  <c r="L399" i="19" s="1"/>
  <c r="E33" i="9"/>
  <c r="F33" i="9" s="1"/>
  <c r="E28" i="14"/>
  <c r="F28" i="14" s="1"/>
  <c r="E108" i="19"/>
  <c r="F108" i="19" s="1"/>
  <c r="Q169" i="12"/>
  <c r="R169" i="12" s="1"/>
  <c r="K188" i="19"/>
  <c r="L188" i="19" s="1"/>
  <c r="E53" i="20"/>
  <c r="F53" i="20" s="1"/>
  <c r="E439" i="19"/>
  <c r="F439" i="19" s="1"/>
  <c r="E11" i="13"/>
  <c r="F11" i="13" s="1"/>
  <c r="E69" i="14"/>
  <c r="F69" i="14" s="1"/>
  <c r="E10" i="14"/>
  <c r="F10" i="14" s="1"/>
  <c r="Q127" i="12"/>
  <c r="R127" i="12" s="1"/>
  <c r="K91" i="19"/>
  <c r="L91" i="19" s="1"/>
  <c r="Q170" i="12"/>
  <c r="R170" i="12" s="1"/>
  <c r="K377" i="19"/>
  <c r="L377" i="19" s="1"/>
  <c r="E292" i="19"/>
  <c r="F292" i="19" s="1"/>
  <c r="K262" i="19"/>
  <c r="L262" i="19" s="1"/>
  <c r="E88" i="20"/>
  <c r="F88" i="20" s="1"/>
  <c r="E173" i="19"/>
  <c r="F173" i="19" s="1"/>
  <c r="E6" i="14"/>
  <c r="F6" i="14" s="1"/>
  <c r="E101" i="14"/>
  <c r="F101" i="14" s="1"/>
  <c r="E56" i="9"/>
  <c r="F56" i="9" s="1"/>
  <c r="E94" i="19"/>
  <c r="F94" i="19" s="1"/>
  <c r="K400" i="19"/>
  <c r="L400" i="19" s="1"/>
  <c r="O45" i="24"/>
  <c r="G144" i="23"/>
  <c r="W127" i="12"/>
  <c r="X127" i="12" s="1"/>
  <c r="K239" i="19"/>
  <c r="L239" i="19" s="1"/>
  <c r="K220" i="19"/>
  <c r="L220" i="19" s="1"/>
  <c r="E31" i="20"/>
  <c r="F31" i="20" s="1"/>
  <c r="K94" i="19"/>
  <c r="L94" i="19" s="1"/>
  <c r="K333" i="19"/>
  <c r="L333" i="19" s="1"/>
  <c r="K59" i="19"/>
  <c r="L59" i="19" s="1"/>
  <c r="W185" i="12"/>
  <c r="X185" i="12" s="1"/>
  <c r="Q60" i="23"/>
  <c r="G129" i="23"/>
  <c r="E110" i="24"/>
  <c r="E48" i="13"/>
  <c r="F48" i="13" s="1"/>
  <c r="E238" i="19"/>
  <c r="F238" i="19" s="1"/>
  <c r="K275" i="19"/>
  <c r="L275" i="19" s="1"/>
  <c r="E28" i="21"/>
  <c r="F28" i="21" s="1"/>
  <c r="E49" i="13"/>
  <c r="F49" i="13" s="1"/>
  <c r="K127" i="12"/>
  <c r="L127" i="12" s="1"/>
  <c r="K89" i="19"/>
  <c r="L89" i="19" s="1"/>
  <c r="K122" i="19"/>
  <c r="L122" i="19" s="1"/>
  <c r="E15" i="20"/>
  <c r="F15" i="20" s="1"/>
  <c r="K92" i="19"/>
  <c r="L92" i="19" s="1"/>
  <c r="K410" i="19"/>
  <c r="L410" i="19" s="1"/>
  <c r="W92" i="12"/>
  <c r="X92" i="12" s="1"/>
  <c r="G153" i="23"/>
  <c r="K201" i="12"/>
  <c r="L201" i="12" s="1"/>
  <c r="E107" i="19"/>
  <c r="F107" i="19" s="1"/>
  <c r="K187" i="19"/>
  <c r="L187" i="19" s="1"/>
  <c r="K442" i="19"/>
  <c r="L442" i="19" s="1"/>
  <c r="E139" i="19"/>
  <c r="F139" i="19" s="1"/>
  <c r="J16" i="24"/>
  <c r="O46" i="24"/>
  <c r="K107" i="19"/>
  <c r="L107" i="19" s="1"/>
  <c r="E410" i="19"/>
  <c r="F410" i="19" s="1"/>
  <c r="E239" i="19"/>
  <c r="F239" i="19" s="1"/>
  <c r="E311" i="19"/>
  <c r="F311" i="19" s="1"/>
  <c r="E62" i="9"/>
  <c r="F62" i="9" s="1"/>
  <c r="K205" i="19"/>
  <c r="L205" i="19" s="1"/>
  <c r="K315" i="19"/>
  <c r="L315" i="19" s="1"/>
  <c r="E7" i="14"/>
  <c r="F7" i="14" s="1"/>
  <c r="K381" i="19"/>
  <c r="L381" i="19" s="1"/>
  <c r="G149" i="23"/>
  <c r="E25" i="19"/>
  <c r="F25" i="19" s="1"/>
  <c r="E122" i="19"/>
  <c r="F122" i="19" s="1"/>
  <c r="K312" i="19"/>
  <c r="L312" i="19" s="1"/>
  <c r="E12" i="19"/>
  <c r="F12" i="19" s="1"/>
  <c r="K79" i="19"/>
  <c r="L79" i="19" s="1"/>
  <c r="K12" i="19"/>
  <c r="L12" i="19" s="1"/>
  <c r="E279" i="19"/>
  <c r="F279" i="19" s="1"/>
  <c r="K244" i="19"/>
  <c r="L244" i="19" s="1"/>
  <c r="K316" i="19"/>
  <c r="L316" i="19" s="1"/>
  <c r="E127" i="19"/>
  <c r="F127" i="19" s="1"/>
  <c r="E39" i="21"/>
  <c r="F39" i="21" s="1"/>
  <c r="G273" i="23"/>
  <c r="J45" i="24"/>
  <c r="O19" i="24"/>
  <c r="E6" i="13"/>
  <c r="F6" i="13" s="1"/>
  <c r="E23" i="13"/>
  <c r="F23" i="13" s="1"/>
  <c r="E5" i="13"/>
  <c r="F5" i="13" s="1"/>
  <c r="E219" i="19"/>
  <c r="F219" i="19" s="1"/>
  <c r="K128" i="12"/>
  <c r="L128" i="12" s="1"/>
  <c r="K8" i="19"/>
  <c r="L8" i="19" s="1"/>
  <c r="E75" i="19"/>
  <c r="F75" i="19" s="1"/>
  <c r="E10" i="19"/>
  <c r="F10" i="19" s="1"/>
  <c r="E171" i="19"/>
  <c r="F171" i="19" s="1"/>
  <c r="K393" i="19"/>
  <c r="L393" i="19" s="1"/>
  <c r="K349" i="19"/>
  <c r="L349" i="19" s="1"/>
  <c r="E84" i="14"/>
  <c r="F84" i="14" s="1"/>
  <c r="K152" i="19"/>
  <c r="L152" i="19" s="1"/>
  <c r="K260" i="19"/>
  <c r="L260" i="19" s="1"/>
  <c r="E262" i="19"/>
  <c r="F262" i="19" s="1"/>
  <c r="K44" i="19"/>
  <c r="L44" i="19" s="1"/>
  <c r="E366" i="19"/>
  <c r="F366" i="19" s="1"/>
  <c r="K110" i="19"/>
  <c r="L110" i="19" s="1"/>
  <c r="E70" i="20"/>
  <c r="F70" i="20" s="1"/>
  <c r="K427" i="19"/>
  <c r="L427" i="19" s="1"/>
  <c r="W216" i="12"/>
  <c r="X216" i="12" s="1"/>
  <c r="X220" i="12" s="1"/>
  <c r="U222" i="12" s="1"/>
  <c r="U223" i="12" s="1"/>
  <c r="E8" i="9"/>
  <c r="F8" i="9" s="1"/>
  <c r="G272" i="23"/>
  <c r="J15" i="24"/>
  <c r="E26" i="13"/>
  <c r="F26" i="13" s="1"/>
  <c r="E56" i="14"/>
  <c r="F56" i="14" s="1"/>
  <c r="E257" i="19"/>
  <c r="F257" i="19" s="1"/>
  <c r="K237" i="19"/>
  <c r="L237" i="19" s="1"/>
  <c r="Q128" i="12"/>
  <c r="R128" i="12" s="1"/>
  <c r="W90" i="12"/>
  <c r="X90" i="12" s="1"/>
  <c r="K39" i="19"/>
  <c r="L39" i="19" s="1"/>
  <c r="E140" i="19"/>
  <c r="F140" i="19" s="1"/>
  <c r="E109" i="19"/>
  <c r="F109" i="19" s="1"/>
  <c r="E186" i="19"/>
  <c r="F186" i="19" s="1"/>
  <c r="K155" i="12"/>
  <c r="L155" i="12" s="1"/>
  <c r="E201" i="19"/>
  <c r="F201" i="19" s="1"/>
  <c r="E60" i="9"/>
  <c r="F60" i="9" s="1"/>
  <c r="E34" i="20"/>
  <c r="F34" i="20" s="1"/>
  <c r="E47" i="20"/>
  <c r="F47" i="20" s="1"/>
  <c r="E111" i="19"/>
  <c r="F111" i="19" s="1"/>
  <c r="E61" i="19"/>
  <c r="F61" i="19" s="1"/>
  <c r="E206" i="19"/>
  <c r="F206" i="19" s="1"/>
  <c r="K157" i="19"/>
  <c r="L157" i="19" s="1"/>
  <c r="E224" i="19"/>
  <c r="F224" i="19" s="1"/>
  <c r="E44" i="19"/>
  <c r="F44" i="19" s="1"/>
  <c r="E382" i="19"/>
  <c r="F382" i="19" s="1"/>
  <c r="E18" i="20"/>
  <c r="F18" i="20" s="1"/>
  <c r="E19" i="24"/>
  <c r="G143" i="23"/>
  <c r="Q59" i="12"/>
  <c r="R59" i="12" s="1"/>
  <c r="R64" i="12" s="1"/>
  <c r="O66" i="12" s="1"/>
  <c r="P66" i="12" s="1"/>
  <c r="K439" i="19"/>
  <c r="L439" i="19" s="1"/>
  <c r="E35" i="14"/>
  <c r="F35" i="14" s="1"/>
  <c r="K153" i="19"/>
  <c r="L153" i="19" s="1"/>
  <c r="E294" i="19"/>
  <c r="F294" i="19" s="1"/>
  <c r="K201" i="19"/>
  <c r="L201" i="19" s="1"/>
  <c r="E119" i="14"/>
  <c r="F119" i="14" s="1"/>
  <c r="K61" i="19"/>
  <c r="L61" i="19" s="1"/>
  <c r="E188" i="19"/>
  <c r="F188" i="19" s="1"/>
  <c r="K279" i="19"/>
  <c r="L279" i="19" s="1"/>
  <c r="K277" i="19"/>
  <c r="L277" i="19" s="1"/>
  <c r="E400" i="19"/>
  <c r="F400" i="19" s="1"/>
  <c r="Q214" i="12"/>
  <c r="R214" i="12" s="1"/>
  <c r="R220" i="12" s="1"/>
  <c r="O222" i="12" s="1"/>
  <c r="O223" i="12" s="1"/>
  <c r="K141" i="19"/>
  <c r="L141" i="19" s="1"/>
  <c r="G265" i="23"/>
  <c r="O15" i="24"/>
  <c r="E15" i="24"/>
  <c r="W128" i="12"/>
  <c r="X128" i="12" s="1"/>
  <c r="K125" i="19"/>
  <c r="L125" i="19" s="1"/>
  <c r="K171" i="19"/>
  <c r="L171" i="19" s="1"/>
  <c r="K10" i="19"/>
  <c r="L10" i="19" s="1"/>
  <c r="E41" i="19"/>
  <c r="F41" i="19" s="1"/>
  <c r="E157" i="19"/>
  <c r="F157" i="19" s="1"/>
  <c r="E244" i="19"/>
  <c r="F244" i="19" s="1"/>
  <c r="E333" i="19"/>
  <c r="F333" i="19" s="1"/>
  <c r="K58" i="19"/>
  <c r="L58" i="19" s="1"/>
  <c r="E24" i="21"/>
  <c r="F24" i="21" s="1"/>
  <c r="M5" i="7"/>
  <c r="F5" i="7" s="1"/>
  <c r="W8" i="12" s="1"/>
  <c r="X8" i="12" s="1"/>
  <c r="K25" i="19"/>
  <c r="L25" i="19" s="1"/>
  <c r="K77" i="19"/>
  <c r="L77" i="19" s="1"/>
  <c r="K222" i="19"/>
  <c r="L222" i="19" s="1"/>
  <c r="K127" i="19"/>
  <c r="L127" i="19" s="1"/>
  <c r="K206" i="19"/>
  <c r="L206" i="19" s="1"/>
  <c r="E316" i="19"/>
  <c r="F316" i="19" s="1"/>
  <c r="K382" i="19"/>
  <c r="L382" i="19" s="1"/>
  <c r="J19" i="24"/>
  <c r="E76" i="24"/>
  <c r="E106" i="24"/>
  <c r="E24" i="12"/>
  <c r="F24" i="12" s="1"/>
  <c r="F103" i="13"/>
  <c r="C105" i="13" s="1"/>
  <c r="E33" i="20"/>
  <c r="F33" i="20" s="1"/>
  <c r="K396" i="19"/>
  <c r="L396" i="19" s="1"/>
  <c r="K139" i="19"/>
  <c r="L139" i="19" s="1"/>
  <c r="E441" i="19"/>
  <c r="F441" i="19" s="1"/>
  <c r="K295" i="19"/>
  <c r="L295" i="19" s="1"/>
  <c r="K398" i="19"/>
  <c r="L398" i="19" s="1"/>
  <c r="K350" i="19"/>
  <c r="L350" i="19" s="1"/>
  <c r="K186" i="19"/>
  <c r="L186" i="19" s="1"/>
  <c r="K441" i="19"/>
  <c r="L441" i="19" s="1"/>
  <c r="K364" i="19"/>
  <c r="L364" i="19" s="1"/>
  <c r="K109" i="19"/>
  <c r="L109" i="19" s="1"/>
  <c r="K204" i="19"/>
  <c r="L204" i="19" s="1"/>
  <c r="K411" i="19"/>
  <c r="L411" i="19" s="1"/>
  <c r="W172" i="12"/>
  <c r="X172" i="12" s="1"/>
  <c r="K314" i="19"/>
  <c r="L314" i="19" s="1"/>
  <c r="K155" i="19"/>
  <c r="L155" i="19" s="1"/>
  <c r="W10" i="12"/>
  <c r="X10" i="12" s="1"/>
  <c r="K23" i="19"/>
  <c r="L23" i="19" s="1"/>
  <c r="K242" i="19"/>
  <c r="L242" i="19" s="1"/>
  <c r="K140" i="12"/>
  <c r="L140" i="12" s="1"/>
  <c r="W140" i="12"/>
  <c r="X140" i="12" s="1"/>
  <c r="K329" i="19"/>
  <c r="L329" i="19" s="1"/>
  <c r="E350" i="19"/>
  <c r="F350" i="19" s="1"/>
  <c r="F354" i="19" s="1"/>
  <c r="C356" i="19" s="1"/>
  <c r="E396" i="19"/>
  <c r="F396" i="19" s="1"/>
  <c r="E92" i="14"/>
  <c r="F92" i="14" s="1"/>
  <c r="E67" i="20"/>
  <c r="F67" i="20" s="1"/>
  <c r="E86" i="20"/>
  <c r="F86" i="20" s="1"/>
  <c r="E47" i="14"/>
  <c r="F47" i="14" s="1"/>
  <c r="E66" i="14"/>
  <c r="F66" i="14" s="1"/>
  <c r="K331" i="19"/>
  <c r="L331" i="19" s="1"/>
  <c r="W142" i="12"/>
  <c r="X142" i="12" s="1"/>
  <c r="W93" i="12"/>
  <c r="X93" i="12" s="1"/>
  <c r="W125" i="12"/>
  <c r="X125" i="12" s="1"/>
  <c r="W26" i="12"/>
  <c r="X26" i="12" s="1"/>
  <c r="W45" i="12"/>
  <c r="X45" i="12" s="1"/>
  <c r="X48" i="12" s="1"/>
  <c r="U50" i="12" s="1"/>
  <c r="W109" i="12"/>
  <c r="X109" i="12" s="1"/>
  <c r="W186" i="12"/>
  <c r="X186" i="12" s="1"/>
  <c r="W74" i="12"/>
  <c r="X74" i="12" s="1"/>
  <c r="W156" i="12"/>
  <c r="X156" i="12" s="1"/>
  <c r="Q76" i="12"/>
  <c r="R76" i="12" s="1"/>
  <c r="E138" i="19"/>
  <c r="F138" i="19" s="1"/>
  <c r="E275" i="19"/>
  <c r="F275" i="19" s="1"/>
  <c r="E395" i="19"/>
  <c r="F395" i="19" s="1"/>
  <c r="E12" i="20"/>
  <c r="F12" i="20" s="1"/>
  <c r="K214" i="12"/>
  <c r="L214" i="12" s="1"/>
  <c r="L220" i="12" s="1"/>
  <c r="I222" i="12" s="1"/>
  <c r="I223" i="12" s="1"/>
  <c r="Q155" i="12"/>
  <c r="R155" i="12" s="1"/>
  <c r="R160" i="12" s="1"/>
  <c r="O162" i="12" s="1"/>
  <c r="O163" i="12" s="1"/>
  <c r="E73" i="19"/>
  <c r="F73" i="19" s="1"/>
  <c r="K90" i="12"/>
  <c r="L90" i="12" s="1"/>
  <c r="K121" i="19"/>
  <c r="L121" i="19" s="1"/>
  <c r="E38" i="21"/>
  <c r="F38" i="21" s="1"/>
  <c r="E424" i="19"/>
  <c r="F424" i="19" s="1"/>
  <c r="Q199" i="12"/>
  <c r="R199" i="12" s="1"/>
  <c r="R205" i="12" s="1"/>
  <c r="O207" i="12" s="1"/>
  <c r="P207" i="12" s="1"/>
  <c r="K199" i="12"/>
  <c r="L199" i="12" s="1"/>
  <c r="E426" i="19"/>
  <c r="F426" i="19" s="1"/>
  <c r="E68" i="20"/>
  <c r="F68" i="20" s="1"/>
  <c r="E204" i="19"/>
  <c r="F204" i="19" s="1"/>
  <c r="E277" i="19"/>
  <c r="F277" i="19" s="1"/>
  <c r="E23" i="19"/>
  <c r="F23" i="19" s="1"/>
  <c r="E37" i="21"/>
  <c r="F37" i="21" s="1"/>
  <c r="K183" i="19"/>
  <c r="L183" i="19" s="1"/>
  <c r="E237" i="19"/>
  <c r="F237" i="19" s="1"/>
  <c r="K380" i="19"/>
  <c r="L380" i="19" s="1"/>
  <c r="K168" i="19"/>
  <c r="L168" i="19" s="1"/>
  <c r="E6" i="21"/>
  <c r="F6" i="21" s="1"/>
  <c r="F14" i="21" s="1"/>
  <c r="C16" i="21" s="1"/>
  <c r="E40" i="21" s="1"/>
  <c r="F40" i="21" s="1"/>
  <c r="E168" i="19"/>
  <c r="F168" i="19" s="1"/>
  <c r="E85" i="14"/>
  <c r="F85" i="14" s="1"/>
  <c r="E118" i="14"/>
  <c r="F118" i="14" s="1"/>
  <c r="E103" i="14"/>
  <c r="F103" i="14" s="1"/>
  <c r="E31" i="12"/>
  <c r="F31" i="12" s="1"/>
  <c r="E10" i="12"/>
  <c r="F10" i="12" s="1"/>
  <c r="L64" i="12"/>
  <c r="I66" i="12" s="1"/>
  <c r="J66" i="12" s="1"/>
  <c r="E22" i="21"/>
  <c r="F22" i="21" s="1"/>
  <c r="K424" i="19"/>
  <c r="L424" i="19" s="1"/>
  <c r="K76" i="12"/>
  <c r="L76" i="12" s="1"/>
  <c r="E48" i="9"/>
  <c r="F48" i="9" s="1"/>
  <c r="K142" i="12"/>
  <c r="L142" i="12" s="1"/>
  <c r="W76" i="12"/>
  <c r="X76" i="12" s="1"/>
  <c r="K106" i="19"/>
  <c r="L106" i="19" s="1"/>
  <c r="E82" i="20"/>
  <c r="F82" i="20" s="1"/>
  <c r="E83" i="20"/>
  <c r="F83" i="20" s="1"/>
  <c r="E16" i="20"/>
  <c r="F16" i="20" s="1"/>
  <c r="W199" i="12"/>
  <c r="X199" i="12" s="1"/>
  <c r="E411" i="19"/>
  <c r="F411" i="19" s="1"/>
  <c r="E87" i="14"/>
  <c r="F87" i="14" s="1"/>
  <c r="E29" i="14"/>
  <c r="F29" i="14" s="1"/>
  <c r="K78" i="19"/>
  <c r="L78" i="19" s="1"/>
  <c r="E84" i="20"/>
  <c r="F84" i="20" s="1"/>
  <c r="E48" i="20"/>
  <c r="F48" i="20" s="1"/>
  <c r="K185" i="12"/>
  <c r="L185" i="12" s="1"/>
  <c r="L190" i="12" s="1"/>
  <c r="I192" i="12" s="1"/>
  <c r="I193" i="12" s="1"/>
  <c r="J47" i="24"/>
  <c r="E17" i="24"/>
  <c r="E47" i="24"/>
  <c r="E56" i="24" s="1"/>
  <c r="E58" i="24" s="1"/>
  <c r="E61" i="24" s="1"/>
  <c r="B61" i="24" s="1"/>
  <c r="E168" i="24"/>
  <c r="E11" i="26"/>
  <c r="K172" i="19"/>
  <c r="L172" i="19" s="1"/>
  <c r="K129" i="12"/>
  <c r="L129" i="12" s="1"/>
  <c r="K41" i="19"/>
  <c r="L41" i="19" s="1"/>
  <c r="K126" i="19"/>
  <c r="L126" i="19" s="1"/>
  <c r="K142" i="19"/>
  <c r="L142" i="19" s="1"/>
  <c r="K412" i="19"/>
  <c r="L412" i="19" s="1"/>
  <c r="E137" i="24"/>
  <c r="W129" i="12"/>
  <c r="X129" i="12" s="1"/>
  <c r="W201" i="12"/>
  <c r="X201" i="12" s="1"/>
  <c r="K243" i="19"/>
  <c r="L243" i="19" s="1"/>
  <c r="K11" i="19"/>
  <c r="L11" i="19" s="1"/>
  <c r="K93" i="19"/>
  <c r="L93" i="19" s="1"/>
  <c r="K278" i="19"/>
  <c r="L278" i="19" s="1"/>
  <c r="K365" i="19"/>
  <c r="L365" i="19" s="1"/>
  <c r="K313" i="19"/>
  <c r="L313" i="19" s="1"/>
  <c r="G86" i="23"/>
  <c r="G119" i="23"/>
  <c r="E10" i="26"/>
  <c r="E29" i="12"/>
  <c r="F29" i="12" s="1"/>
  <c r="E28" i="12"/>
  <c r="F28" i="12" s="1"/>
  <c r="E26" i="12"/>
  <c r="F26" i="12" s="1"/>
  <c r="K156" i="19"/>
  <c r="L156" i="19" s="1"/>
  <c r="E143" i="19"/>
  <c r="F143" i="19" s="1"/>
  <c r="K173" i="19"/>
  <c r="L173" i="19" s="1"/>
  <c r="K297" i="19"/>
  <c r="L297" i="19" s="1"/>
  <c r="K111" i="19"/>
  <c r="L111" i="19" s="1"/>
  <c r="K366" i="19"/>
  <c r="L366" i="19" s="1"/>
  <c r="K296" i="19"/>
  <c r="L296" i="19" s="1"/>
  <c r="K332" i="19"/>
  <c r="L332" i="19" s="1"/>
  <c r="E313" i="19"/>
  <c r="F313" i="19" s="1"/>
  <c r="W11" i="12"/>
  <c r="X11" i="12" s="1"/>
  <c r="G31" i="23"/>
  <c r="O17" i="24"/>
  <c r="O47" i="24"/>
  <c r="E31" i="26"/>
  <c r="K261" i="19"/>
  <c r="L261" i="19" s="1"/>
  <c r="E28" i="20"/>
  <c r="F28" i="20" s="1"/>
  <c r="E363" i="19"/>
  <c r="F363" i="19" s="1"/>
  <c r="K363" i="19"/>
  <c r="L363" i="19" s="1"/>
  <c r="E137" i="19"/>
  <c r="F137" i="19" s="1"/>
  <c r="F85" i="13"/>
  <c r="C87" i="13" s="1"/>
  <c r="R146" i="12"/>
  <c r="O148" i="12" s="1"/>
  <c r="O149" i="12" s="1"/>
  <c r="R48" i="12"/>
  <c r="O50" i="12" s="1"/>
  <c r="P50" i="12" s="1"/>
  <c r="X64" i="12"/>
  <c r="U66" i="12" s="1"/>
  <c r="U67" i="12" s="1"/>
  <c r="R190" i="12"/>
  <c r="O192" i="12" s="1"/>
  <c r="P192" i="12" s="1"/>
  <c r="F69" i="37" l="1"/>
  <c r="C71" i="37" s="1"/>
  <c r="F11" i="9"/>
  <c r="C12" i="9" s="1"/>
  <c r="F11" i="38"/>
  <c r="C12" i="38" s="1"/>
  <c r="C72" i="37"/>
  <c r="D71" i="37"/>
  <c r="C18" i="37"/>
  <c r="D17" i="37"/>
  <c r="F33" i="37"/>
  <c r="C35" i="37" s="1"/>
  <c r="D53" i="37"/>
  <c r="C54" i="37"/>
  <c r="F194" i="37"/>
  <c r="C196" i="37" s="1"/>
  <c r="F111" i="35"/>
  <c r="F115" i="35" s="1"/>
  <c r="E115" i="35" s="1"/>
  <c r="F86" i="35"/>
  <c r="F114" i="35"/>
  <c r="E114" i="35" s="1"/>
  <c r="F113" i="35"/>
  <c r="E113" i="35" s="1"/>
  <c r="F73" i="26"/>
  <c r="G74" i="26"/>
  <c r="B74" i="26" s="1"/>
  <c r="F74" i="26"/>
  <c r="G73" i="26"/>
  <c r="B73" i="26" s="1"/>
  <c r="L147" i="35"/>
  <c r="F128" i="35"/>
  <c r="C130" i="35" s="1"/>
  <c r="L30" i="12"/>
  <c r="I34" i="12" s="1"/>
  <c r="J34" i="12" s="1"/>
  <c r="F147" i="35"/>
  <c r="C149" i="35" s="1"/>
  <c r="L111" i="35"/>
  <c r="F35" i="9"/>
  <c r="C36" i="9" s="1"/>
  <c r="J56" i="24"/>
  <c r="J58" i="24" s="1"/>
  <c r="I60" i="24" s="1"/>
  <c r="L81" i="19"/>
  <c r="I83" i="19" s="1"/>
  <c r="I84" i="19" s="1"/>
  <c r="R132" i="12"/>
  <c r="O134" i="12" s="1"/>
  <c r="P134" i="12" s="1"/>
  <c r="E33" i="26"/>
  <c r="O56" i="24"/>
  <c r="O58" i="24" s="1"/>
  <c r="O61" i="24" s="1"/>
  <c r="L61" i="24" s="1"/>
  <c r="F302" i="19"/>
  <c r="C304" i="19" s="1"/>
  <c r="C305" i="19" s="1"/>
  <c r="F81" i="19"/>
  <c r="C83" i="19" s="1"/>
  <c r="D83" i="19" s="1"/>
  <c r="X160" i="12"/>
  <c r="U162" i="12" s="1"/>
  <c r="V162" i="12" s="1"/>
  <c r="E108" i="24"/>
  <c r="E116" i="24" s="1"/>
  <c r="E118" i="24" s="1"/>
  <c r="R81" i="12"/>
  <c r="O83" i="12" s="1"/>
  <c r="O84" i="12" s="1"/>
  <c r="E35" i="26"/>
  <c r="X190" i="12"/>
  <c r="U192" i="12" s="1"/>
  <c r="U193" i="12" s="1"/>
  <c r="E78" i="24"/>
  <c r="E87" i="24" s="1"/>
  <c r="E89" i="24" s="1"/>
  <c r="J17" i="24"/>
  <c r="J25" i="24" s="1"/>
  <c r="J27" i="24" s="1"/>
  <c r="J29" i="24" s="1"/>
  <c r="G29" i="24" s="1"/>
  <c r="L176" i="12"/>
  <c r="I178" i="12" s="1"/>
  <c r="J178" i="12" s="1"/>
  <c r="L48" i="12"/>
  <c r="I50" i="12" s="1"/>
  <c r="I51" i="12" s="1"/>
  <c r="L97" i="19"/>
  <c r="I99" i="19" s="1"/>
  <c r="J99" i="19" s="1"/>
  <c r="F49" i="9"/>
  <c r="C50" i="9" s="1"/>
  <c r="E12" i="14" s="1"/>
  <c r="F12" i="14" s="1"/>
  <c r="F18" i="14" s="1"/>
  <c r="C20" i="14" s="1"/>
  <c r="F384" i="19"/>
  <c r="C386" i="19" s="1"/>
  <c r="C387" i="19" s="1"/>
  <c r="Q24" i="12"/>
  <c r="R24" i="12" s="1"/>
  <c r="R30" i="12" s="1"/>
  <c r="O34" i="12" s="1"/>
  <c r="O35" i="12" s="1"/>
  <c r="W24" i="12"/>
  <c r="X24" i="12" s="1"/>
  <c r="X30" i="12" s="1"/>
  <c r="U34" i="12" s="1"/>
  <c r="U35" i="12" s="1"/>
  <c r="F228" i="19"/>
  <c r="C230" i="19" s="1"/>
  <c r="C231" i="19" s="1"/>
  <c r="J78" i="24"/>
  <c r="J87" i="24" s="1"/>
  <c r="J89" i="24" s="1"/>
  <c r="J91" i="24" s="1"/>
  <c r="G91" i="24" s="1"/>
  <c r="F445" i="19"/>
  <c r="C447" i="19" s="1"/>
  <c r="D447" i="19" s="1"/>
  <c r="L81" i="12"/>
  <c r="I83" i="12" s="1"/>
  <c r="J83" i="12" s="1"/>
  <c r="L160" i="12"/>
  <c r="I162" i="12" s="1"/>
  <c r="J162" i="12" s="1"/>
  <c r="E138" i="24"/>
  <c r="E147" i="24" s="1"/>
  <c r="E149" i="24" s="1"/>
  <c r="E151" i="24" s="1"/>
  <c r="B151" i="24" s="1"/>
  <c r="R176" i="12"/>
  <c r="O178" i="12" s="1"/>
  <c r="O179" i="12" s="1"/>
  <c r="F415" i="19"/>
  <c r="C417" i="19" s="1"/>
  <c r="D417" i="19" s="1"/>
  <c r="F57" i="14"/>
  <c r="C59" i="14" s="1"/>
  <c r="D59" i="14" s="1"/>
  <c r="F338" i="19"/>
  <c r="C340" i="19" s="1"/>
  <c r="D340" i="19" s="1"/>
  <c r="F401" i="19"/>
  <c r="C403" i="19" s="1"/>
  <c r="C404" i="19" s="1"/>
  <c r="F192" i="19"/>
  <c r="C194" i="19" s="1"/>
  <c r="D194" i="19" s="1"/>
  <c r="L320" i="19"/>
  <c r="I322" i="19" s="1"/>
  <c r="J322" i="19" s="1"/>
  <c r="X146" i="12"/>
  <c r="U148" i="12" s="1"/>
  <c r="V148" i="12" s="1"/>
  <c r="F30" i="19"/>
  <c r="C32" i="19" s="1"/>
  <c r="C33" i="19" s="1"/>
  <c r="G45" i="23"/>
  <c r="G48" i="23" s="1"/>
  <c r="F48" i="23" s="1"/>
  <c r="P148" i="12"/>
  <c r="L132" i="12"/>
  <c r="I134" i="12" s="1"/>
  <c r="I135" i="12" s="1"/>
  <c r="F109" i="14"/>
  <c r="C111" i="14" s="1"/>
  <c r="D111" i="14" s="1"/>
  <c r="G14" i="23"/>
  <c r="G18" i="23" s="1"/>
  <c r="F18" i="23" s="1"/>
  <c r="F32" i="13"/>
  <c r="C34" i="13" s="1"/>
  <c r="C35" i="13" s="1"/>
  <c r="F14" i="13"/>
  <c r="C16" i="13" s="1"/>
  <c r="C17" i="13" s="1"/>
  <c r="F210" i="19"/>
  <c r="C212" i="19" s="1"/>
  <c r="C213" i="19" s="1"/>
  <c r="F264" i="19"/>
  <c r="C266" i="19" s="1"/>
  <c r="C267" i="19" s="1"/>
  <c r="L228" i="19"/>
  <c r="I230" i="19" s="1"/>
  <c r="I231" i="19" s="1"/>
  <c r="F159" i="19"/>
  <c r="C161" i="19" s="1"/>
  <c r="D161" i="19" s="1"/>
  <c r="F368" i="19"/>
  <c r="C370" i="19" s="1"/>
  <c r="C371" i="19" s="1"/>
  <c r="O25" i="24"/>
  <c r="O27" i="24" s="1"/>
  <c r="N29" i="24" s="1"/>
  <c r="F430" i="19"/>
  <c r="C432" i="19" s="1"/>
  <c r="C433" i="19" s="1"/>
  <c r="L264" i="19"/>
  <c r="I266" i="19" s="1"/>
  <c r="I267" i="19" s="1"/>
  <c r="E175" i="24"/>
  <c r="E177" i="24" s="1"/>
  <c r="E180" i="24" s="1"/>
  <c r="B180" i="24" s="1"/>
  <c r="F30" i="21"/>
  <c r="C32" i="21" s="1"/>
  <c r="D32" i="21" s="1"/>
  <c r="F174" i="19"/>
  <c r="C176" i="19" s="1"/>
  <c r="C177" i="19" s="1"/>
  <c r="L205" i="12"/>
  <c r="I207" i="12" s="1"/>
  <c r="J207" i="12" s="1"/>
  <c r="X176" i="12"/>
  <c r="U178" i="12" s="1"/>
  <c r="V178" i="12" s="1"/>
  <c r="F75" i="14"/>
  <c r="C77" i="14" s="1"/>
  <c r="C78" i="14" s="1"/>
  <c r="X205" i="12"/>
  <c r="U207" i="12" s="1"/>
  <c r="V207" i="12" s="1"/>
  <c r="F97" i="19"/>
  <c r="C99" i="19" s="1"/>
  <c r="C100" i="19" s="1"/>
  <c r="F50" i="13"/>
  <c r="C52" i="13" s="1"/>
  <c r="D52" i="13" s="1"/>
  <c r="P222" i="12"/>
  <c r="F54" i="20"/>
  <c r="C56" i="20" s="1"/>
  <c r="C57" i="20" s="1"/>
  <c r="F89" i="20"/>
  <c r="C91" i="20" s="1"/>
  <c r="C92" i="20" s="1"/>
  <c r="L415" i="19"/>
  <c r="I417" i="19" s="1"/>
  <c r="J417" i="19" s="1"/>
  <c r="F71" i="20"/>
  <c r="C73" i="20" s="1"/>
  <c r="D73" i="20" s="1"/>
  <c r="F320" i="19"/>
  <c r="C322" i="19" s="1"/>
  <c r="C323" i="19" s="1"/>
  <c r="L159" i="19"/>
  <c r="I161" i="19" s="1"/>
  <c r="I162" i="19" s="1"/>
  <c r="E8" i="12"/>
  <c r="F8" i="12" s="1"/>
  <c r="F13" i="12" s="1"/>
  <c r="C15" i="12" s="1"/>
  <c r="D15" i="12" s="1"/>
  <c r="L430" i="19"/>
  <c r="I432" i="19" s="1"/>
  <c r="L354" i="19"/>
  <c r="I356" i="19" s="1"/>
  <c r="J356" i="19" s="1"/>
  <c r="L146" i="12"/>
  <c r="I148" i="12" s="1"/>
  <c r="J148" i="12" s="1"/>
  <c r="F246" i="19"/>
  <c r="C248" i="19" s="1"/>
  <c r="D248" i="19" s="1"/>
  <c r="F36" i="20"/>
  <c r="C38" i="20" s="1"/>
  <c r="C39" i="20" s="1"/>
  <c r="E60" i="24"/>
  <c r="B60" i="24" s="1"/>
  <c r="X13" i="12"/>
  <c r="U15" i="12" s="1"/>
  <c r="V15" i="12" s="1"/>
  <c r="X132" i="12"/>
  <c r="U134" i="12" s="1"/>
  <c r="U135" i="12" s="1"/>
  <c r="L192" i="19"/>
  <c r="I194" i="19" s="1"/>
  <c r="I195" i="19" s="1"/>
  <c r="F144" i="19"/>
  <c r="C146" i="19" s="1"/>
  <c r="D146" i="19" s="1"/>
  <c r="D60" i="24"/>
  <c r="Q8" i="12"/>
  <c r="R8" i="12" s="1"/>
  <c r="G148" i="23" s="1"/>
  <c r="G156" i="23" s="1"/>
  <c r="F13" i="19"/>
  <c r="C15" i="19" s="1"/>
  <c r="D15" i="19" s="1"/>
  <c r="I67" i="12"/>
  <c r="L384" i="19"/>
  <c r="I386" i="19" s="1"/>
  <c r="V66" i="12"/>
  <c r="F67" i="9"/>
  <c r="C68" i="9" s="1"/>
  <c r="E134" i="14" s="1"/>
  <c r="F134" i="14" s="1"/>
  <c r="F140" i="14" s="1"/>
  <c r="C142" i="14" s="1"/>
  <c r="C143" i="14" s="1"/>
  <c r="L282" i="19"/>
  <c r="I284" i="19" s="1"/>
  <c r="J284" i="19" s="1"/>
  <c r="F125" i="14"/>
  <c r="C127" i="14" s="1"/>
  <c r="C128" i="14" s="1"/>
  <c r="L129" i="19"/>
  <c r="I131" i="19" s="1"/>
  <c r="J131" i="19" s="1"/>
  <c r="L30" i="19"/>
  <c r="I32" i="19" s="1"/>
  <c r="I33" i="19" s="1"/>
  <c r="O51" i="12"/>
  <c r="L302" i="19"/>
  <c r="I304" i="19" s="1"/>
  <c r="I305" i="19" s="1"/>
  <c r="F113" i="19"/>
  <c r="C115" i="19" s="1"/>
  <c r="C116" i="19" s="1"/>
  <c r="D61" i="24"/>
  <c r="F45" i="21"/>
  <c r="C47" i="21" s="1"/>
  <c r="D47" i="21" s="1"/>
  <c r="D69" i="13"/>
  <c r="X81" i="12"/>
  <c r="U83" i="12" s="1"/>
  <c r="U84" i="12" s="1"/>
  <c r="F129" i="19"/>
  <c r="C131" i="19" s="1"/>
  <c r="D131" i="19" s="1"/>
  <c r="J222" i="12"/>
  <c r="L368" i="19"/>
  <c r="I370" i="19" s="1"/>
  <c r="J370" i="19" s="1"/>
  <c r="F33" i="12"/>
  <c r="C34" i="12" s="1"/>
  <c r="C35" i="12" s="1"/>
  <c r="L445" i="19"/>
  <c r="I447" i="19" s="1"/>
  <c r="O67" i="12"/>
  <c r="L174" i="19"/>
  <c r="I176" i="19" s="1"/>
  <c r="J176" i="19" s="1"/>
  <c r="L338" i="19"/>
  <c r="I340" i="19" s="1"/>
  <c r="I341" i="19" s="1"/>
  <c r="O208" i="12"/>
  <c r="L210" i="19"/>
  <c r="I212" i="19" s="1"/>
  <c r="I213" i="19" s="1"/>
  <c r="J192" i="12"/>
  <c r="L144" i="19"/>
  <c r="I146" i="19" s="1"/>
  <c r="I147" i="19" s="1"/>
  <c r="L13" i="19"/>
  <c r="I15" i="19" s="1"/>
  <c r="J15" i="19" s="1"/>
  <c r="L246" i="19"/>
  <c r="I248" i="19" s="1"/>
  <c r="I249" i="19" s="1"/>
  <c r="E19" i="26"/>
  <c r="E21" i="26" s="1"/>
  <c r="E24" i="26" s="1"/>
  <c r="B24" i="26" s="1"/>
  <c r="E25" i="24"/>
  <c r="E27" i="24" s="1"/>
  <c r="D29" i="24" s="1"/>
  <c r="F282" i="19"/>
  <c r="C284" i="19" s="1"/>
  <c r="D284" i="19" s="1"/>
  <c r="J83" i="19"/>
  <c r="J60" i="24"/>
  <c r="G60" i="24" s="1"/>
  <c r="I61" i="24"/>
  <c r="L401" i="19"/>
  <c r="I403" i="19" s="1"/>
  <c r="D105" i="13"/>
  <c r="C106" i="13"/>
  <c r="F19" i="20"/>
  <c r="C21" i="20" s="1"/>
  <c r="C60" i="14"/>
  <c r="V222" i="12"/>
  <c r="P162" i="12"/>
  <c r="L113" i="19"/>
  <c r="I115" i="19" s="1"/>
  <c r="K60" i="19"/>
  <c r="L60" i="19" s="1"/>
  <c r="L65" i="19" s="1"/>
  <c r="I67" i="19" s="1"/>
  <c r="E60" i="19"/>
  <c r="F60" i="19" s="1"/>
  <c r="F65" i="19" s="1"/>
  <c r="C67" i="19" s="1"/>
  <c r="E43" i="19"/>
  <c r="F43" i="19" s="1"/>
  <c r="F48" i="19" s="1"/>
  <c r="C50" i="19" s="1"/>
  <c r="K111" i="12"/>
  <c r="L111" i="12" s="1"/>
  <c r="L116" i="12" s="1"/>
  <c r="I118" i="12" s="1"/>
  <c r="K94" i="12"/>
  <c r="L94" i="12" s="1"/>
  <c r="L99" i="12" s="1"/>
  <c r="I101" i="12" s="1"/>
  <c r="K43" i="19"/>
  <c r="L43" i="19" s="1"/>
  <c r="L48" i="19" s="1"/>
  <c r="I50" i="19" s="1"/>
  <c r="Q94" i="12"/>
  <c r="R94" i="12" s="1"/>
  <c r="R99" i="12" s="1"/>
  <c r="O101" i="12" s="1"/>
  <c r="O102" i="12" s="1"/>
  <c r="W111" i="12"/>
  <c r="X111" i="12" s="1"/>
  <c r="X116" i="12" s="1"/>
  <c r="U118" i="12" s="1"/>
  <c r="W94" i="12"/>
  <c r="X94" i="12" s="1"/>
  <c r="X99" i="12" s="1"/>
  <c r="U101" i="12" s="1"/>
  <c r="V101" i="12" s="1"/>
  <c r="Q111" i="12"/>
  <c r="R111" i="12" s="1"/>
  <c r="R116" i="12" s="1"/>
  <c r="O118" i="12" s="1"/>
  <c r="D87" i="13"/>
  <c r="C88" i="13"/>
  <c r="I179" i="12"/>
  <c r="D386" i="19"/>
  <c r="D212" i="19"/>
  <c r="C357" i="19"/>
  <c r="D356" i="19"/>
  <c r="E91" i="14"/>
  <c r="F91" i="14" s="1"/>
  <c r="F93" i="14" s="1"/>
  <c r="C95" i="14" s="1"/>
  <c r="V50" i="12"/>
  <c r="U51" i="12"/>
  <c r="O193" i="12"/>
  <c r="I100" i="19" l="1"/>
  <c r="V192" i="12"/>
  <c r="C195" i="19"/>
  <c r="P178" i="12"/>
  <c r="O60" i="24"/>
  <c r="L60" i="24" s="1"/>
  <c r="J61" i="24"/>
  <c r="G61" i="24" s="1"/>
  <c r="D432" i="19"/>
  <c r="D370" i="19"/>
  <c r="D230" i="19"/>
  <c r="N61" i="24"/>
  <c r="C36" i="37"/>
  <c r="D35" i="37"/>
  <c r="U163" i="12"/>
  <c r="N60" i="24"/>
  <c r="D196" i="37"/>
  <c r="C197" i="37"/>
  <c r="D304" i="19"/>
  <c r="C84" i="19"/>
  <c r="I35" i="12"/>
  <c r="L113" i="35"/>
  <c r="K113" i="35" s="1"/>
  <c r="L114" i="35"/>
  <c r="K114" i="35" s="1"/>
  <c r="L115" i="35"/>
  <c r="K115" i="35" s="1"/>
  <c r="C150" i="35"/>
  <c r="D149" i="35"/>
  <c r="D130" i="35"/>
  <c r="C131" i="35"/>
  <c r="D403" i="19"/>
  <c r="C448" i="19"/>
  <c r="J92" i="24"/>
  <c r="G92" i="24" s="1"/>
  <c r="O135" i="12"/>
  <c r="J50" i="12"/>
  <c r="E43" i="26"/>
  <c r="E45" i="26" s="1"/>
  <c r="E48" i="26" s="1"/>
  <c r="B48" i="26" s="1"/>
  <c r="E33" i="14"/>
  <c r="F33" i="14" s="1"/>
  <c r="F38" i="14" s="1"/>
  <c r="C40" i="14" s="1"/>
  <c r="C41" i="14" s="1"/>
  <c r="F41" i="14" s="1"/>
  <c r="U149" i="12"/>
  <c r="D121" i="24"/>
  <c r="E121" i="24"/>
  <c r="B121" i="24" s="1"/>
  <c r="E120" i="24"/>
  <c r="B120" i="24" s="1"/>
  <c r="D120" i="24"/>
  <c r="I323" i="19"/>
  <c r="G49" i="23"/>
  <c r="F49" i="23" s="1"/>
  <c r="D32" i="19"/>
  <c r="D180" i="24"/>
  <c r="I30" i="24"/>
  <c r="D38" i="20"/>
  <c r="I84" i="12"/>
  <c r="P83" i="12"/>
  <c r="D56" i="20"/>
  <c r="C162" i="19"/>
  <c r="I92" i="24"/>
  <c r="O30" i="24"/>
  <c r="L30" i="24" s="1"/>
  <c r="D91" i="20"/>
  <c r="I91" i="24"/>
  <c r="I208" i="12"/>
  <c r="J230" i="19"/>
  <c r="N30" i="24"/>
  <c r="D99" i="19"/>
  <c r="D34" i="13"/>
  <c r="I163" i="12"/>
  <c r="C249" i="19"/>
  <c r="C341" i="19"/>
  <c r="E91" i="24"/>
  <c r="B91" i="24" s="1"/>
  <c r="D91" i="24"/>
  <c r="E92" i="24"/>
  <c r="B92" i="24" s="1"/>
  <c r="D92" i="24"/>
  <c r="J30" i="24"/>
  <c r="G30" i="24" s="1"/>
  <c r="G50" i="23"/>
  <c r="F50" i="23" s="1"/>
  <c r="D152" i="24"/>
  <c r="C74" i="20"/>
  <c r="U16" i="12"/>
  <c r="I357" i="19"/>
  <c r="C418" i="19"/>
  <c r="P34" i="12"/>
  <c r="V134" i="12"/>
  <c r="J161" i="19"/>
  <c r="D179" i="24"/>
  <c r="V34" i="12"/>
  <c r="I132" i="19"/>
  <c r="D322" i="19"/>
  <c r="C147" i="19"/>
  <c r="I177" i="19"/>
  <c r="D176" i="19"/>
  <c r="I29" i="24"/>
  <c r="C16" i="12"/>
  <c r="D142" i="14"/>
  <c r="E152" i="24"/>
  <c r="B152" i="24" s="1"/>
  <c r="J248" i="19"/>
  <c r="D16" i="13"/>
  <c r="D127" i="14"/>
  <c r="I371" i="19"/>
  <c r="E179" i="24"/>
  <c r="B179" i="24" s="1"/>
  <c r="D151" i="24"/>
  <c r="J340" i="19"/>
  <c r="O29" i="24"/>
  <c r="L29" i="24" s="1"/>
  <c r="G257" i="23"/>
  <c r="F257" i="23" s="1"/>
  <c r="G256" i="23"/>
  <c r="F256" i="23" s="1"/>
  <c r="I418" i="19"/>
  <c r="J194" i="19"/>
  <c r="J266" i="19"/>
  <c r="D24" i="26"/>
  <c r="U179" i="12"/>
  <c r="E47" i="26"/>
  <c r="B47" i="26" s="1"/>
  <c r="J134" i="12"/>
  <c r="G17" i="23"/>
  <c r="F17" i="23" s="1"/>
  <c r="D115" i="19"/>
  <c r="C112" i="14"/>
  <c r="U208" i="12"/>
  <c r="G16" i="23"/>
  <c r="F16" i="23" s="1"/>
  <c r="D77" i="14"/>
  <c r="I149" i="12"/>
  <c r="J304" i="19"/>
  <c r="C132" i="19"/>
  <c r="D266" i="19"/>
  <c r="R13" i="12"/>
  <c r="O15" i="12" s="1"/>
  <c r="L65" i="23"/>
  <c r="L72" i="23" s="1"/>
  <c r="L74" i="23" s="1"/>
  <c r="K74" i="23" s="1"/>
  <c r="D23" i="26"/>
  <c r="G65" i="23"/>
  <c r="G72" i="23" s="1"/>
  <c r="G74" i="23" s="1"/>
  <c r="F74" i="23" s="1"/>
  <c r="C53" i="13"/>
  <c r="V83" i="12"/>
  <c r="Q65" i="23"/>
  <c r="Q72" i="23" s="1"/>
  <c r="Q74" i="23" s="1"/>
  <c r="P74" i="23" s="1"/>
  <c r="G126" i="23"/>
  <c r="G131" i="23" s="1"/>
  <c r="G135" i="23" s="1"/>
  <c r="G213" i="23"/>
  <c r="G217" i="23" s="1"/>
  <c r="G219" i="23" s="1"/>
  <c r="F219" i="23" s="1"/>
  <c r="G270" i="23"/>
  <c r="G286" i="23" s="1"/>
  <c r="G288" i="23" s="1"/>
  <c r="F288" i="23" s="1"/>
  <c r="I285" i="19"/>
  <c r="G95" i="23"/>
  <c r="G107" i="23" s="1"/>
  <c r="G111" i="23" s="1"/>
  <c r="F111" i="23" s="1"/>
  <c r="G173" i="23"/>
  <c r="G188" i="23" s="1"/>
  <c r="L173" i="23"/>
  <c r="L188" i="23" s="1"/>
  <c r="G233" i="23"/>
  <c r="G251" i="23" s="1"/>
  <c r="J32" i="19"/>
  <c r="I433" i="19"/>
  <c r="J432" i="19"/>
  <c r="J212" i="19"/>
  <c r="G190" i="23"/>
  <c r="F190" i="23" s="1"/>
  <c r="G254" i="23"/>
  <c r="F254" i="23" s="1"/>
  <c r="G253" i="23"/>
  <c r="F253" i="23" s="1"/>
  <c r="L190" i="23"/>
  <c r="K190" i="23" s="1"/>
  <c r="G159" i="23"/>
  <c r="F159" i="23" s="1"/>
  <c r="G158" i="23"/>
  <c r="F158" i="23" s="1"/>
  <c r="I387" i="19"/>
  <c r="J386" i="19"/>
  <c r="C16" i="19"/>
  <c r="D34" i="12"/>
  <c r="I16" i="19"/>
  <c r="C285" i="19"/>
  <c r="E23" i="26"/>
  <c r="B23" i="26" s="1"/>
  <c r="J447" i="19"/>
  <c r="I448" i="19"/>
  <c r="J146" i="19"/>
  <c r="E29" i="24"/>
  <c r="B29" i="24" s="1"/>
  <c r="E30" i="24"/>
  <c r="B30" i="24" s="1"/>
  <c r="D30" i="24"/>
  <c r="D21" i="20"/>
  <c r="C22" i="20"/>
  <c r="P101" i="12"/>
  <c r="J403" i="19"/>
  <c r="I404" i="19"/>
  <c r="J115" i="19"/>
  <c r="I116" i="19"/>
  <c r="J50" i="19"/>
  <c r="I51" i="19"/>
  <c r="U102" i="12"/>
  <c r="I102" i="12"/>
  <c r="J101" i="12"/>
  <c r="C51" i="19"/>
  <c r="D50" i="19"/>
  <c r="P118" i="12"/>
  <c r="O119" i="12"/>
  <c r="J118" i="12"/>
  <c r="I119" i="12"/>
  <c r="V118" i="12"/>
  <c r="U119" i="12"/>
  <c r="C68" i="19"/>
  <c r="D67" i="19"/>
  <c r="I68" i="19"/>
  <c r="J67" i="19"/>
  <c r="C96" i="14"/>
  <c r="D95" i="14"/>
  <c r="F40" i="14"/>
  <c r="D40" i="14"/>
  <c r="D20" i="14"/>
  <c r="C21" i="14"/>
  <c r="D47" i="26" l="1"/>
  <c r="C6" i="20"/>
  <c r="D48" i="26"/>
  <c r="G134" i="23"/>
  <c r="F134" i="23" s="1"/>
  <c r="G133" i="23"/>
  <c r="F133" i="23" s="1"/>
  <c r="G289" i="23"/>
  <c r="F289" i="23" s="1"/>
  <c r="G112" i="23"/>
  <c r="F112" i="23" s="1"/>
  <c r="P15" i="12"/>
  <c r="O16" i="12"/>
  <c r="G110" i="23"/>
  <c r="F110" i="23" s="1"/>
  <c r="G109" i="23"/>
  <c r="F109" i="23" s="1"/>
  <c r="G220" i="23"/>
  <c r="F220" i="23" s="1"/>
  <c r="F135" i="23"/>
  <c r="F2" i="20"/>
  <c r="F4" i="20"/>
  <c r="F3" i="20"/>
  <c r="F6" i="20" s="1"/>
</calcChain>
</file>

<file path=xl/sharedStrings.xml><?xml version="1.0" encoding="utf-8"?>
<sst xmlns="http://schemas.openxmlformats.org/spreadsheetml/2006/main" count="10193" uniqueCount="1799">
  <si>
    <t>ITEM NAME</t>
  </si>
  <si>
    <t>ITEM PRICE</t>
  </si>
  <si>
    <t>POS PRICE</t>
  </si>
  <si>
    <t>AFTER TAX PRICE</t>
  </si>
  <si>
    <t>PROFIT MARGIN</t>
  </si>
  <si>
    <t>BIG BREAKFAST W/BACON</t>
  </si>
  <si>
    <t>BIG BREAKFAST W/CHICKEN</t>
  </si>
  <si>
    <t>BIG BREAKFAST W/PORK</t>
  </si>
  <si>
    <t>BIG BREAKFAST W/BEEF</t>
  </si>
  <si>
    <t>ALL DAY W/BACON</t>
  </si>
  <si>
    <t>ALL DAY W/CHICKEN</t>
  </si>
  <si>
    <t>ALL DAY W/PORK</t>
  </si>
  <si>
    <t>ALL DAY W/BEEF</t>
  </si>
  <si>
    <t>CREPPES W/CARAMELIZED BANANA</t>
  </si>
  <si>
    <t>CREPPES W/LEMON &amp; SUGAR</t>
  </si>
  <si>
    <t>CREPPES W/NUTELLA</t>
  </si>
  <si>
    <t>OMELETTE PLAIN</t>
  </si>
  <si>
    <t>OMELETTE W/SALMON 50GM</t>
  </si>
  <si>
    <t>OMELETTE W/CHEESE &amp; MUSHROOM</t>
  </si>
  <si>
    <t>EGGS BENEDICT W/BACON</t>
  </si>
  <si>
    <t>EGGS MARLBOROUGH W/SALMON</t>
  </si>
  <si>
    <t>TOAST W/BUTTER &amp; JAM</t>
  </si>
  <si>
    <t>SWEET CORN PANCAKES W/BACON</t>
  </si>
  <si>
    <t>RECIPE MISSING</t>
  </si>
  <si>
    <t>MUESLI W/HONEY,YOGHURT,FRUIT</t>
  </si>
  <si>
    <t>PANCAKE BANANA</t>
  </si>
  <si>
    <t>PORRIDGE W/HONEY &amp; BANANA</t>
  </si>
  <si>
    <t>ASPARAGUS W/BACON</t>
  </si>
  <si>
    <t>SCRAMBLED EGGS W/SALMON 50G</t>
  </si>
  <si>
    <t>FRESH FRUIT SALAD W/YOGHURT</t>
  </si>
  <si>
    <t>FRENCH TOAST W/BERRY COMPOTE</t>
  </si>
  <si>
    <t>FRENCH TOAST W/BANANA BACON</t>
  </si>
  <si>
    <t>FRENCH TOAST W/BACON &amp; MAPLE</t>
  </si>
  <si>
    <t>FRENCH TOAST W/PEARS &amp; BACON</t>
  </si>
  <si>
    <t>TOMATO W/ MUSHROOM ON TOAST</t>
  </si>
  <si>
    <t>BACON &amp; EGG PIE</t>
  </si>
  <si>
    <t>SCRAMBLED EGGS FETA W/SPINACH</t>
  </si>
  <si>
    <t>AVOCADO BACON ON TOAST</t>
  </si>
  <si>
    <t>AVOCADO HALOUMI CHEES ON TOAST</t>
  </si>
  <si>
    <t>AVOCADO ON TOAST W/ SALMON</t>
  </si>
  <si>
    <t>NASI GORENG</t>
  </si>
  <si>
    <t>OPEN BACON ROCKET SANDWICH</t>
  </si>
  <si>
    <t>OPEN BACON LETTUCE SANDWICH</t>
  </si>
  <si>
    <t>OPEN CHICKEN SANDWICH</t>
  </si>
  <si>
    <t>THAI CHICKEN SATAY</t>
  </si>
  <si>
    <t>VIETNAMESE BEEF NOODLE</t>
  </si>
  <si>
    <t>DOUBLE SALMON FISH CAKE</t>
  </si>
  <si>
    <t>GRILLED CHICKEN W/TOMATOES</t>
  </si>
  <si>
    <t>FISH &amp; CHIPS</t>
  </si>
  <si>
    <t>FRENCH FRIES</t>
  </si>
  <si>
    <t>WEDGES</t>
  </si>
  <si>
    <t>KUMERA WEDGES</t>
  </si>
  <si>
    <t>CHICKEN KEBAB</t>
  </si>
  <si>
    <t>BEEF KEBAB</t>
  </si>
  <si>
    <t>LAMB KEBAB</t>
  </si>
  <si>
    <t>WHAKATIKI CHICKEN</t>
  </si>
  <si>
    <t>SWEET PAPRIKA CHICKEN</t>
  </si>
  <si>
    <t>RED SOUP</t>
  </si>
  <si>
    <t>PUMPKIN SOUP</t>
  </si>
  <si>
    <t>---- EXTRAS ----</t>
  </si>
  <si>
    <t>SALMON 50GM</t>
  </si>
  <si>
    <t>SALMON 100GM</t>
  </si>
  <si>
    <t>ROCKET</t>
  </si>
  <si>
    <t>SPINACH</t>
  </si>
  <si>
    <t>HASHBROWN</t>
  </si>
  <si>
    <t>BAKED BEANS</t>
  </si>
  <si>
    <t>MUSHROOMS</t>
  </si>
  <si>
    <t>TOMATO</t>
  </si>
  <si>
    <t>BACK BACON</t>
  </si>
  <si>
    <t>STREAKY BACON</t>
  </si>
  <si>
    <t>CHEESE</t>
  </si>
  <si>
    <t>SAUSAGE - CHICKEN</t>
  </si>
  <si>
    <t>SAUSAGE - BEEF</t>
  </si>
  <si>
    <t>SAUSAGE - PORK</t>
  </si>
  <si>
    <t>GRILLED CHICKEN</t>
  </si>
  <si>
    <t>AVOCADO</t>
  </si>
  <si>
    <t>EGG</t>
  </si>
  <si>
    <t>SALAD</t>
  </si>
  <si>
    <t>---- BURGER ----</t>
  </si>
  <si>
    <t>LAMB BURGER</t>
  </si>
  <si>
    <t>BEEF BURGER</t>
  </si>
  <si>
    <t>---- PANINI ----</t>
  </si>
  <si>
    <t>TOASTED SANDWICH W/MEATBALL</t>
  </si>
  <si>
    <t>TOASTED SANDWICH W/CHEESE</t>
  </si>
  <si>
    <t>TOASTED SANDWICH W/BACON</t>
  </si>
  <si>
    <t>---- BAGEL ----</t>
  </si>
  <si>
    <t>BAGEL W/CHORIZO</t>
  </si>
  <si>
    <t>BAGEL W/FRIED EGG &amp; BACON</t>
  </si>
  <si>
    <t>BAGEL W/BACON TOMATO PESTO</t>
  </si>
  <si>
    <t>BAGEL W/SALMON &amp; CAPERS</t>
  </si>
  <si>
    <t>BAGEL W/BLUEBERRY</t>
  </si>
  <si>
    <t>BAGEL W/CREAM CHEESE</t>
  </si>
  <si>
    <t>---- CROISSANT ----</t>
  </si>
  <si>
    <t>CROISSANT W/BUTTER &amp; JAM</t>
  </si>
  <si>
    <t>CROISSANT SM EGGS W/CHICKEN</t>
  </si>
  <si>
    <t>CROISSANT SM EGGS W/BEEF</t>
  </si>
  <si>
    <t>CROISSANT SM EGGS W/PORK</t>
  </si>
  <si>
    <t>CROISSANT SM EGGS W/BACON</t>
  </si>
  <si>
    <t>---- SALAD ----</t>
  </si>
  <si>
    <t>BURMESE SHREDDED CHICKEN</t>
  </si>
  <si>
    <t>CHICKPEAS FETA W/ CORRIANDER</t>
  </si>
  <si>
    <t>ROAST VEGE SALAD</t>
  </si>
  <si>
    <t>THAI BEEF SALAD</t>
  </si>
  <si>
    <t>MIX SALAD W/COUS COUS</t>
  </si>
  <si>
    <t>BEETROOT &amp; NUTS SALAD</t>
  </si>
  <si>
    <t xml:space="preserve">Missing recipe  </t>
  </si>
  <si>
    <t>GREEK SALAD</t>
  </si>
  <si>
    <t>BUFFALO MOZZARELLA</t>
  </si>
  <si>
    <t>WAIMAKIRIRI SALAD</t>
  </si>
  <si>
    <t>COROMANDEL CHICKEN</t>
  </si>
  <si>
    <t>COROMANDEL SALMON</t>
  </si>
  <si>
    <t>---- CAKE ----</t>
  </si>
  <si>
    <t>CARROT CAKE</t>
  </si>
  <si>
    <t>CARAMELIZE APPLE CINNAMON</t>
  </si>
  <si>
    <t>APPLE PIE</t>
  </si>
  <si>
    <t>CHOCOLATE CAKE</t>
  </si>
  <si>
    <t>LEMON MERINGUE</t>
  </si>
  <si>
    <t>SHORT BREAD</t>
  </si>
  <si>
    <t>RAISIN LOAF</t>
  </si>
  <si>
    <t>GINGER CRUNCH</t>
  </si>
  <si>
    <t>BANANA BREAD PLAIN</t>
  </si>
  <si>
    <t>BANANA BREAD C.CHEESE &amp; HONEY</t>
  </si>
  <si>
    <t>BALINESE DATE CAKE</t>
  </si>
  <si>
    <t>BREAD LOAF</t>
  </si>
  <si>
    <t>MARSHMALLOW CAKE</t>
  </si>
  <si>
    <t>GINGER CAKE</t>
  </si>
  <si>
    <t>CHOCOLATE BROWNIE</t>
  </si>
  <si>
    <t>CHERRY CHOCOLATE MOUSE CAKE</t>
  </si>
  <si>
    <t>WALNUT CAPPUCCINO CAKE</t>
  </si>
  <si>
    <t>MATCHA CAKE</t>
  </si>
  <si>
    <t>RED VELVET</t>
  </si>
  <si>
    <t>CHEESE CAKE</t>
  </si>
  <si>
    <t>LEMON SOUR CAKE</t>
  </si>
  <si>
    <t>BLUEBERRY LOAF</t>
  </si>
  <si>
    <t>TWO LAYER BROWNIES</t>
  </si>
  <si>
    <t>PAVLOVA</t>
  </si>
  <si>
    <t>SAUSAGE ROLL</t>
  </si>
  <si>
    <t>LAMINGTON CAKE</t>
  </si>
  <si>
    <t>HUMMINGBIRD CAKE</t>
  </si>
  <si>
    <t>---- BISCUIT ----</t>
  </si>
  <si>
    <t>CHOCOLATE CHIPS COOKIES</t>
  </si>
  <si>
    <t>CHOC MACADAMIA COOKIE</t>
  </si>
  <si>
    <t>MELTING MOMENT COOKIE</t>
  </si>
  <si>
    <t>HONEY OAT COOKIE</t>
  </si>
  <si>
    <t>PEANUT BROWNIE COOKIE</t>
  </si>
  <si>
    <t>PEANUT BUTTER COOKIES</t>
  </si>
  <si>
    <t>AFGHANS</t>
  </si>
  <si>
    <t>---- WHOLE CAKE ----</t>
  </si>
  <si>
    <t>CHEESE CAKE - WHOLE</t>
  </si>
  <si>
    <t>CHOC. MOUSE CAKE - WHOLE</t>
  </si>
  <si>
    <t>CAKE - WHOLE</t>
  </si>
  <si>
    <t>---- WAFFLES ----</t>
  </si>
  <si>
    <t>WAFFLES BUTTER SCOTCH</t>
  </si>
  <si>
    <t>WAFFLES BLUEBERRY</t>
  </si>
  <si>
    <t>WAFFLES ORANGE CHOCOLATE</t>
  </si>
  <si>
    <t>---- PIZZA ----</t>
  </si>
  <si>
    <t>CHEESE PIZZA</t>
  </si>
  <si>
    <t>CHORIZO PIZZA</t>
  </si>
  <si>
    <t xml:space="preserve">Brown </t>
  </si>
  <si>
    <t>CHICKEN PIZZA</t>
  </si>
  <si>
    <t>MAGARITA PIZZA</t>
  </si>
  <si>
    <t>SALMON PIZZA</t>
  </si>
  <si>
    <t>VEGETABLE PIZZA</t>
  </si>
  <si>
    <t>BILL ENGLISH PIZZA</t>
  </si>
  <si>
    <t>ISTANBUL PIZZA</t>
  </si>
  <si>
    <t>HAWAII PIZZA</t>
  </si>
  <si>
    <t>---- PASTA ----</t>
  </si>
  <si>
    <t>CARBONARA MUSHROOM SPINACH</t>
  </si>
  <si>
    <t>ORZO PASTA W/MUSHROOM &amp; FETA</t>
  </si>
  <si>
    <t>LAMB &amp; BEEF SPAGEHETTI</t>
  </si>
  <si>
    <t>BIG AL'S PASTA SPAGHETTI</t>
  </si>
  <si>
    <t>STEVEN ARRABIATA SPAGHETTI</t>
  </si>
  <si>
    <t>PUMPKIN, SAGE &amp; FETA PASTA</t>
  </si>
  <si>
    <t>SUPPLIER
NAME</t>
  </si>
  <si>
    <t>OUTLET
ITEM CODE</t>
  </si>
  <si>
    <t xml:space="preserve">ITEM DESCRIPTION </t>
  </si>
  <si>
    <t>SUPPLIER
UOM</t>
  </si>
  <si>
    <t>CONVERTED
UOM</t>
  </si>
  <si>
    <t>SUPPLIER
PRICE</t>
  </si>
  <si>
    <t>CONVERTED
PRICE</t>
  </si>
  <si>
    <t>LEE'S FROZEN SDN BHD</t>
  </si>
  <si>
    <t>MT-01</t>
  </si>
  <si>
    <t>BEEF STRIPLOIN (BURGER)</t>
  </si>
  <si>
    <t>KG</t>
  </si>
  <si>
    <t>MT-02</t>
  </si>
  <si>
    <t>BEEF TENDERLOIN (KEBAB/SALAD/NOODLE)</t>
  </si>
  <si>
    <t>NEW CUISINEFINE FOODS SDN BHD</t>
  </si>
  <si>
    <t>MT-03</t>
  </si>
  <si>
    <t>LAMB LEG (KEBAB/BURGER)</t>
  </si>
  <si>
    <t>MT-04</t>
  </si>
  <si>
    <t>MINCED BEEF</t>
  </si>
  <si>
    <t>MT-05</t>
  </si>
  <si>
    <t>MINCED LAMB</t>
  </si>
  <si>
    <t>ORIENTS FRESH DELI SDN BHD</t>
  </si>
  <si>
    <t>MT-06</t>
  </si>
  <si>
    <t>BACK BACON, SLICED</t>
  </si>
  <si>
    <t>MT-07</t>
  </si>
  <si>
    <t>STREAKY BACON, SLICED</t>
  </si>
  <si>
    <t>EURO DELI MANUFACTURING SDN BHD</t>
  </si>
  <si>
    <t>MT-08</t>
  </si>
  <si>
    <t>BEEF SAUSAGE</t>
  </si>
  <si>
    <t>MT-09</t>
  </si>
  <si>
    <t>CHORIZO SAUSAGE</t>
  </si>
  <si>
    <t>MT-10</t>
  </si>
  <si>
    <t>PORK SAUSAGE, BANGER</t>
  </si>
  <si>
    <t>HANKEE PROCESSING SDN BHD</t>
  </si>
  <si>
    <t>PT-01</t>
  </si>
  <si>
    <t>CHICKEN FILLET</t>
  </si>
  <si>
    <t>CTN / 6PKT/ 2KG</t>
  </si>
  <si>
    <t>PT-02</t>
  </si>
  <si>
    <t>CHICKEN BREAST, WITH SKIN</t>
  </si>
  <si>
    <t>PT-04</t>
  </si>
  <si>
    <t>CHICKEN SAUSAGE, BLACK PEPPER</t>
  </si>
  <si>
    <t>PT-05</t>
  </si>
  <si>
    <t>SMOKED CHICKEN</t>
  </si>
  <si>
    <t>FISH-01</t>
  </si>
  <si>
    <t>SALMON FILLET, NORWAY</t>
  </si>
  <si>
    <t>FISH-02</t>
  </si>
  <si>
    <t>SMOKED SALMON FILLET, PRESLICED, FROZEN (NOR)</t>
  </si>
  <si>
    <t>ALBATROSS EXIM (M) SDN BHD</t>
  </si>
  <si>
    <t>FISH-03</t>
  </si>
  <si>
    <t>HOKI FILLET</t>
  </si>
  <si>
    <t>FISH-04</t>
  </si>
  <si>
    <t>DORY FILLET</t>
  </si>
  <si>
    <t>PKT / 750GM</t>
  </si>
  <si>
    <t>GLOBAL-PACIFIC VICTORY (M) SDN BHD</t>
  </si>
  <si>
    <t>DR-01</t>
  </si>
  <si>
    <t>BUFFALO MOZZARELLA CHEESE</t>
  </si>
  <si>
    <t>PKT / 125GM</t>
  </si>
  <si>
    <t>PKT</t>
  </si>
  <si>
    <t>NEW CUISINE FINEFOODS SDN BHD</t>
  </si>
  <si>
    <t>DR-02</t>
  </si>
  <si>
    <t>BUTTER, SALTED</t>
  </si>
  <si>
    <t>CTN / 25KG</t>
  </si>
  <si>
    <t>DR-03</t>
  </si>
  <si>
    <t>CREAME CHEESE</t>
  </si>
  <si>
    <t>BLOCK / 1.8KG</t>
  </si>
  <si>
    <t>DR-04</t>
  </si>
  <si>
    <t>CAMEMBERT CHEESE</t>
  </si>
  <si>
    <t>DR-05</t>
  </si>
  <si>
    <t>CHEDDAR CHEESE, SHREDDED</t>
  </si>
  <si>
    <t>PKT / 2KG</t>
  </si>
  <si>
    <t>PASTRY PRO SDN BHD</t>
  </si>
  <si>
    <t>DR-06</t>
  </si>
  <si>
    <t>CHOCOLATE CHIPS, COMPOUND DARK</t>
  </si>
  <si>
    <t>PKT / 5KG</t>
  </si>
  <si>
    <t>DR-07</t>
  </si>
  <si>
    <t>DARK BITTER SWEET CHOCOLATE, 60%</t>
  </si>
  <si>
    <t>PKT / 1KG</t>
  </si>
  <si>
    <t>BIDFOOD MALAYSIA SDN BHD</t>
  </si>
  <si>
    <t>DR-08</t>
  </si>
  <si>
    <t xml:space="preserve">FARMHOUSE COFFEE MILK </t>
  </si>
  <si>
    <t>CTN / 12 PKT</t>
  </si>
  <si>
    <t>DR-09</t>
  </si>
  <si>
    <t>FARMHOUSE LOW FAT MILK</t>
  </si>
  <si>
    <t>DR-10</t>
  </si>
  <si>
    <t>FETA CHEESE</t>
  </si>
  <si>
    <t>CTN / 6TUB / 200GM</t>
  </si>
  <si>
    <t>DR-11</t>
  </si>
  <si>
    <t>HALOUMI CHEESE</t>
  </si>
  <si>
    <t>PKT / 180GM</t>
  </si>
  <si>
    <t>DR-12</t>
  </si>
  <si>
    <t>MASCARPONE CHEESE</t>
  </si>
  <si>
    <t>DR-14</t>
  </si>
  <si>
    <t>MOZZARELLA CHEESE, SHREDDED</t>
  </si>
  <si>
    <t>DR-15</t>
  </si>
  <si>
    <t>PARMESAN CHEESE, PARMIGIANO REGIANO</t>
  </si>
  <si>
    <t>DR-16</t>
  </si>
  <si>
    <t>SOUR CREAM</t>
  </si>
  <si>
    <t>DR-17</t>
  </si>
  <si>
    <t>YOGURT</t>
  </si>
  <si>
    <t>TUB / 1KG</t>
  </si>
  <si>
    <t>DR-18</t>
  </si>
  <si>
    <t>WHIPPING CREAM 38%</t>
  </si>
  <si>
    <t>PKT / 1LITRE</t>
  </si>
  <si>
    <t>DR-19</t>
  </si>
  <si>
    <t>WHIPPING CREAM (AEROSOL)</t>
  </si>
  <si>
    <t>TIN / 400GM</t>
  </si>
  <si>
    <t>DR-20</t>
  </si>
  <si>
    <t>WHITE CHOCOLATE CHIPS 35%</t>
  </si>
  <si>
    <t>FRESHMEN MARKETING SDN BHD</t>
  </si>
  <si>
    <t>SS-01</t>
  </si>
  <si>
    <t>BAY LEAF, DRIED</t>
  </si>
  <si>
    <t>SS-02</t>
  </si>
  <si>
    <t>BLACK PEPPERCORN</t>
  </si>
  <si>
    <t>YONG WEN FOOD (M) SDN BHD</t>
  </si>
  <si>
    <t>SS-03</t>
  </si>
  <si>
    <t>BLACK PEPPER, FINE COURSE</t>
  </si>
  <si>
    <t>PKT /500GM</t>
  </si>
  <si>
    <t>SS-04</t>
  </si>
  <si>
    <t>CAJUN SPICE</t>
  </si>
  <si>
    <t>SS-05</t>
  </si>
  <si>
    <t>CARDAMOM POWDER</t>
  </si>
  <si>
    <t>SS-06</t>
  </si>
  <si>
    <t>CAYENNE POWDER</t>
  </si>
  <si>
    <t>SS-07</t>
  </si>
  <si>
    <t>CHILLI FLAKES</t>
  </si>
  <si>
    <t>SS-08</t>
  </si>
  <si>
    <t>CHILLI POWDER</t>
  </si>
  <si>
    <t>SS-09</t>
  </si>
  <si>
    <t>CINNAMON GROUND - DRAGON</t>
  </si>
  <si>
    <t>SS-10</t>
  </si>
  <si>
    <t>CORIANDER SEED</t>
  </si>
  <si>
    <t>SS-11</t>
  </si>
  <si>
    <t>CORIANDER POWDER</t>
  </si>
  <si>
    <t>SS-12</t>
  </si>
  <si>
    <t>CUMIN SEEDS</t>
  </si>
  <si>
    <t>SS-13</t>
  </si>
  <si>
    <t>CUMIN POWDER</t>
  </si>
  <si>
    <t>SS-14</t>
  </si>
  <si>
    <t>CURRY POWDER</t>
  </si>
  <si>
    <t>THAI GLOBAL VENTURE</t>
  </si>
  <si>
    <t>SS-15</t>
  </si>
  <si>
    <t>FISH SAUCE, TIPAROS</t>
  </si>
  <si>
    <t>BTL / 700GM</t>
  </si>
  <si>
    <t>SS-16</t>
  </si>
  <si>
    <t>GARLIC POWDER</t>
  </si>
  <si>
    <t>SS-17</t>
  </si>
  <si>
    <t>GINGER POWDER</t>
  </si>
  <si>
    <t>CASH</t>
  </si>
  <si>
    <t>SS-18</t>
  </si>
  <si>
    <t>LEA &amp; PERRINS</t>
  </si>
  <si>
    <t>BTL / 290ML</t>
  </si>
  <si>
    <t>SS-19</t>
  </si>
  <si>
    <t>LEMON &amp; PEPPER SEASONING</t>
  </si>
  <si>
    <t>SS-20</t>
  </si>
  <si>
    <t>NUTMEG POWDER</t>
  </si>
  <si>
    <t>SS-21</t>
  </si>
  <si>
    <t>OREGANO, GROUND</t>
  </si>
  <si>
    <t>SS-22</t>
  </si>
  <si>
    <t>PAPRIKA POWDER, SWEET</t>
  </si>
  <si>
    <t>SS-23</t>
  </si>
  <si>
    <t xml:space="preserve">RAS EL HANOUT </t>
  </si>
  <si>
    <t>SS-24</t>
  </si>
  <si>
    <t>SALT, FINE</t>
  </si>
  <si>
    <t>PKT/ 450GM</t>
  </si>
  <si>
    <t>SS-25</t>
  </si>
  <si>
    <t>SUMAC POWDER</t>
  </si>
  <si>
    <t>PKT / 100GM</t>
  </si>
  <si>
    <t>SS-26</t>
  </si>
  <si>
    <t>TURMERIC POWDER</t>
  </si>
  <si>
    <t>SS-27</t>
  </si>
  <si>
    <t>THYME LEAVES , DRIED</t>
  </si>
  <si>
    <t>SS-28</t>
  </si>
  <si>
    <t>ZAATAR SEASONING</t>
  </si>
  <si>
    <t>PKT / 150GM</t>
  </si>
  <si>
    <t>DISCONTINUED</t>
  </si>
  <si>
    <t>BRD-03</t>
  </si>
  <si>
    <t xml:space="preserve">BRIOCHE BURGER BUN SEEDED </t>
  </si>
  <si>
    <t>CTN / 36PCS</t>
  </si>
  <si>
    <t>PCS</t>
  </si>
  <si>
    <t>ARYZTA FOOD SOLUTIONS MALAYSIA SDN BHD</t>
  </si>
  <si>
    <t>BRD-04</t>
  </si>
  <si>
    <t>CROISSANT, FROZEN, BUTTER GIPFEL CLOSED</t>
  </si>
  <si>
    <t>CTN / 4PKT / 15PCS</t>
  </si>
  <si>
    <t>BRD-05</t>
  </si>
  <si>
    <t>FRENCH VILLAGE</t>
  </si>
  <si>
    <t>CTN / 12PCS / 350GM</t>
  </si>
  <si>
    <t>PASTRY WORLD SDN BHD</t>
  </si>
  <si>
    <t>BRD-06</t>
  </si>
  <si>
    <t>TOAST, SANDWICH LOAF, WHITE, UNSLICED</t>
  </si>
  <si>
    <t>LOAF</t>
  </si>
  <si>
    <t>SLICE</t>
  </si>
  <si>
    <t>BRD-08</t>
  </si>
  <si>
    <t>SOUR DOUGH</t>
  </si>
  <si>
    <t>CTN / 12PCS / 500GM</t>
  </si>
  <si>
    <t xml:space="preserve">SLICE </t>
  </si>
  <si>
    <t>DRI-01</t>
  </si>
  <si>
    <t>APPLE JUICE</t>
  </si>
  <si>
    <t>BTL / 1LITRE</t>
  </si>
  <si>
    <t>DRI-02</t>
  </si>
  <si>
    <t>ARTICHOKE IN BRINE</t>
  </si>
  <si>
    <t>TIN</t>
  </si>
  <si>
    <t>DRI-03</t>
  </si>
  <si>
    <t>BLACK RAISINS</t>
  </si>
  <si>
    <t>DRI-04</t>
  </si>
  <si>
    <t>BREAD CRUMBS</t>
  </si>
  <si>
    <t>SUNLAND VOLONTE AGENCY SDN BHD</t>
  </si>
  <si>
    <t>DRI-05</t>
  </si>
  <si>
    <t>CAPERS</t>
  </si>
  <si>
    <t>BOTTLE / 935GM</t>
  </si>
  <si>
    <t>DRI-06</t>
  </si>
  <si>
    <t>CHICK PEAS IN BRINE</t>
  </si>
  <si>
    <t>CAN / 400GM</t>
  </si>
  <si>
    <t>DRI-10</t>
  </si>
  <si>
    <t>CONDENCED MILK</t>
  </si>
  <si>
    <t>TIN / 500GM</t>
  </si>
  <si>
    <t>DRI-11</t>
  </si>
  <si>
    <t>COUS COUS</t>
  </si>
  <si>
    <t>DRI-12</t>
  </si>
  <si>
    <t>OLIVE OIL(1L)</t>
  </si>
  <si>
    <t>BOTTLE / 1LITRE</t>
  </si>
  <si>
    <t>DRI-13</t>
  </si>
  <si>
    <t>FIG, DRIED</t>
  </si>
  <si>
    <t>DRI-14</t>
  </si>
  <si>
    <t>GHERKINS</t>
  </si>
  <si>
    <t>BTL / 680GM</t>
  </si>
  <si>
    <t>DRI-15</t>
  </si>
  <si>
    <t>HONDASHI POWDER</t>
  </si>
  <si>
    <t>DRI-17</t>
  </si>
  <si>
    <t>KALAMATA OLIVES</t>
  </si>
  <si>
    <t>TUB / 3.3KG</t>
  </si>
  <si>
    <t>DRI-18</t>
  </si>
  <si>
    <t>LYCHEE IN SYRUP</t>
  </si>
  <si>
    <t>CTN / 12TIN / 565GM</t>
  </si>
  <si>
    <t>DRI-19</t>
  </si>
  <si>
    <t>MARMALADE JAM, ORANGE</t>
  </si>
  <si>
    <t>DRI-23</t>
  </si>
  <si>
    <t>ORZO PASTA, GRANORO ROSMARINO (69)</t>
  </si>
  <si>
    <t>PKT / 500GM</t>
  </si>
  <si>
    <t>DRI-24</t>
  </si>
  <si>
    <t>OYSTER SAUCE</t>
  </si>
  <si>
    <t>DRI-25</t>
  </si>
  <si>
    <t>PEAR HALVES</t>
  </si>
  <si>
    <t>TIN / 825GM</t>
  </si>
  <si>
    <t>DRI-26</t>
  </si>
  <si>
    <t>QUICK OATS</t>
  </si>
  <si>
    <t>DRI-27</t>
  </si>
  <si>
    <t>RED WINE VINEGAR</t>
  </si>
  <si>
    <t>BTL / 500GM</t>
  </si>
  <si>
    <t>DRI-28</t>
  </si>
  <si>
    <t>ROLLED OATS</t>
  </si>
  <si>
    <t>DRI-29</t>
  </si>
  <si>
    <t>SHELL PASTA</t>
  </si>
  <si>
    <t>DRI-30</t>
  </si>
  <si>
    <t>SOY SAUCE, ANGEL BRAND</t>
  </si>
  <si>
    <t>BTL / 750ML</t>
  </si>
  <si>
    <t>DRI-31</t>
  </si>
  <si>
    <t>SPAGHETTI PASTA, SIZE 14</t>
  </si>
  <si>
    <t>DRI-33</t>
  </si>
  <si>
    <t>SUNDRIED TOMATOES</t>
  </si>
  <si>
    <t>BOTTLE / 2.9KG</t>
  </si>
  <si>
    <t>DRI-34</t>
  </si>
  <si>
    <t>SUNFLOWER OIL</t>
  </si>
  <si>
    <t>BTL / 2LITRE</t>
  </si>
  <si>
    <t>DRI-35</t>
  </si>
  <si>
    <t>SWEET CORN</t>
  </si>
  <si>
    <t>TIN / 425GM</t>
  </si>
  <si>
    <t>DRI-36</t>
  </si>
  <si>
    <t>TOMATO PASTE</t>
  </si>
  <si>
    <t>TIN / 2.2KG</t>
  </si>
  <si>
    <t>DRI-37</t>
  </si>
  <si>
    <t>TOMATO PUREE, PREGO</t>
  </si>
  <si>
    <t>BTL / 600GM</t>
  </si>
  <si>
    <t>DRI-38</t>
  </si>
  <si>
    <t>TONKATSU SAUCE, BULLDOG</t>
  </si>
  <si>
    <t>BTL / 1.8 LITRE</t>
  </si>
  <si>
    <t>DRI-40</t>
  </si>
  <si>
    <t>VINEGAR</t>
  </si>
  <si>
    <t>BTL / 3.5KG</t>
  </si>
  <si>
    <t>DRI-41</t>
  </si>
  <si>
    <t>WHOLE PEELED TOMATO</t>
  </si>
  <si>
    <t>TIN / 2.55KG</t>
  </si>
  <si>
    <t>PI-01</t>
  </si>
  <si>
    <t>ALL PURPOSE FLOUR</t>
  </si>
  <si>
    <t>PKT / 800GM</t>
  </si>
  <si>
    <t>PI-02</t>
  </si>
  <si>
    <t>BAKING POWDER</t>
  </si>
  <si>
    <t>TUB / 3KG</t>
  </si>
  <si>
    <t>PI-03</t>
  </si>
  <si>
    <t>BAKING SODA</t>
  </si>
  <si>
    <t>PI-04</t>
  </si>
  <si>
    <t>BROWN SUGAR</t>
  </si>
  <si>
    <t>PI-05</t>
  </si>
  <si>
    <t>COCOA POWDER</t>
  </si>
  <si>
    <t>PI-06</t>
  </si>
  <si>
    <t>CORN FLAKES, GRADE A</t>
  </si>
  <si>
    <t>PI-07</t>
  </si>
  <si>
    <t>CORN STARCH/FLOUR</t>
  </si>
  <si>
    <t>PI-08</t>
  </si>
  <si>
    <t>FOOD COLORING, RED</t>
  </si>
  <si>
    <t>BLT</t>
  </si>
  <si>
    <t>BTL</t>
  </si>
  <si>
    <t>PI-09</t>
  </si>
  <si>
    <t>GELATIN</t>
  </si>
  <si>
    <t>PKT / 240GM</t>
  </si>
  <si>
    <t>PI-10</t>
  </si>
  <si>
    <t>GLAZE, NEUTRAL, FOR FRUITS</t>
  </si>
  <si>
    <t>TUB / 500GM</t>
  </si>
  <si>
    <t>PI-11</t>
  </si>
  <si>
    <t>HIGH PROTEIN FLOUR</t>
  </si>
  <si>
    <t>PI-12</t>
  </si>
  <si>
    <t>ICING SUGAR</t>
  </si>
  <si>
    <t>PI-13</t>
  </si>
  <si>
    <t>LOW PROTEIN FLOUR</t>
  </si>
  <si>
    <t>PI-14</t>
  </si>
  <si>
    <t>MOLASSES SUGAR</t>
  </si>
  <si>
    <t>PI-15</t>
  </si>
  <si>
    <t>SELF RISING FLOUR</t>
  </si>
  <si>
    <t>PI-16</t>
  </si>
  <si>
    <t>SEMOLINA FLOUR</t>
  </si>
  <si>
    <t>PI-17</t>
  </si>
  <si>
    <t>SUGAR, WHITE</t>
  </si>
  <si>
    <t>PI-18</t>
  </si>
  <si>
    <t>VANILLA ESSENCE, PRIMA</t>
  </si>
  <si>
    <t>BTL / 1KG</t>
  </si>
  <si>
    <t>PI-19</t>
  </si>
  <si>
    <t>YEAST</t>
  </si>
  <si>
    <t>FG-01</t>
  </si>
  <si>
    <t>BABY SPINACH, FROZEN</t>
  </si>
  <si>
    <t>PKT / 450GM</t>
  </si>
  <si>
    <t>HAGEN GENESIS SDN BHD</t>
  </si>
  <si>
    <t>FG-02</t>
  </si>
  <si>
    <t>BLACKBERRY, FROZEN</t>
  </si>
  <si>
    <t>PKT / 340GM</t>
  </si>
  <si>
    <t>FG-03</t>
  </si>
  <si>
    <t>BLUEBERRY, FROZEN</t>
  </si>
  <si>
    <t>GLOBAN-PACIFIC VICTORY (M) SDN BHD</t>
  </si>
  <si>
    <t>FG-05</t>
  </si>
  <si>
    <t>FRENCH FRIES, STRAIGHT CUT</t>
  </si>
  <si>
    <t>CTN / 6PKT / 2.5KG</t>
  </si>
  <si>
    <t>FG-06</t>
  </si>
  <si>
    <t>POTATO WEDGES</t>
  </si>
  <si>
    <t>FG-07</t>
  </si>
  <si>
    <t>PUFF PASRTY</t>
  </si>
  <si>
    <t>BOX / 4ROLL / 2KG</t>
  </si>
  <si>
    <t>FG-08</t>
  </si>
  <si>
    <t>RASPBERRY, FROZEN</t>
  </si>
  <si>
    <t>UNCLE STRAWBERRY</t>
  </si>
  <si>
    <t>FG-09</t>
  </si>
  <si>
    <t>STRAWBERRY, FROZEN</t>
  </si>
  <si>
    <t>NS-01</t>
  </si>
  <si>
    <t>CASHEW NUTS</t>
  </si>
  <si>
    <t>NS-02</t>
  </si>
  <si>
    <t>MACADAMIA NUTS</t>
  </si>
  <si>
    <t>NS-03</t>
  </si>
  <si>
    <t>PEANUTS</t>
  </si>
  <si>
    <t>NS-04</t>
  </si>
  <si>
    <t>PINE NUTS</t>
  </si>
  <si>
    <t>NS-05</t>
  </si>
  <si>
    <t>PUMPKIN SEEDS</t>
  </si>
  <si>
    <t>NS-06</t>
  </si>
  <si>
    <t>SUNFLOWER SEEDS</t>
  </si>
  <si>
    <t>NS-07</t>
  </si>
  <si>
    <t>WALNUTS, HALVED</t>
  </si>
  <si>
    <t>NS-08</t>
  </si>
  <si>
    <t>WHITE SESAME SEEDS</t>
  </si>
  <si>
    <t>CON-01</t>
  </si>
  <si>
    <t>BALSAMIC VINEGAR</t>
  </si>
  <si>
    <t>CTN/ 6BTL / 1LITRE</t>
  </si>
  <si>
    <t>CON-02</t>
  </si>
  <si>
    <t>BALSAMIC VINEGAR GLAZE</t>
  </si>
  <si>
    <t>CON-05</t>
  </si>
  <si>
    <t>CHILI SAUCE PACK, KIMBALL</t>
  </si>
  <si>
    <t>CON-06</t>
  </si>
  <si>
    <t>CHILLI SAUCE, KIMBALL</t>
  </si>
  <si>
    <t>BTL / 340GM</t>
  </si>
  <si>
    <t>CON-07</t>
  </si>
  <si>
    <t>DIJON MUSTARD</t>
  </si>
  <si>
    <t>CON-09</t>
  </si>
  <si>
    <t>HERSHEY'S CHOCOLATE SYRUP</t>
  </si>
  <si>
    <t>BTL / 650ML</t>
  </si>
  <si>
    <t>CON-10</t>
  </si>
  <si>
    <t>HP SAUCE</t>
  </si>
  <si>
    <t>BTL / 255ML</t>
  </si>
  <si>
    <t>CON-11</t>
  </si>
  <si>
    <t>HONEY</t>
  </si>
  <si>
    <t>CTN / 6TUB/ 1KG</t>
  </si>
  <si>
    <t>CON-12</t>
  </si>
  <si>
    <t>MAYONAISE, TELLY</t>
  </si>
  <si>
    <t>TUB / 3LTR</t>
  </si>
  <si>
    <t>CON-13</t>
  </si>
  <si>
    <t>NUTELLA</t>
  </si>
  <si>
    <t>TUB / 680GM</t>
  </si>
  <si>
    <t>CON-14</t>
  </si>
  <si>
    <t>PANCAKE SYRUP</t>
  </si>
  <si>
    <t xml:space="preserve">BTL / 680GM </t>
  </si>
  <si>
    <t>CON-20</t>
  </si>
  <si>
    <t>TABASCO SAUCE</t>
  </si>
  <si>
    <t>BTL / 60ML</t>
  </si>
  <si>
    <t>CON-21</t>
  </si>
  <si>
    <t>THAI SWEET CHILLI SAUCE</t>
  </si>
  <si>
    <t>CNT / 12BTL / 980GM</t>
  </si>
  <si>
    <t>BTL / 980GM</t>
  </si>
  <si>
    <t>CON-24</t>
  </si>
  <si>
    <t>TOMATO SAUCE PACK, KIMBALL</t>
  </si>
  <si>
    <t>CON-27</t>
  </si>
  <si>
    <t>TOMATO SAUCE, KIMBALL</t>
  </si>
  <si>
    <t>BTL / 325GM</t>
  </si>
  <si>
    <t>CON-28</t>
  </si>
  <si>
    <t>WHOLE GRAIN MUSTARD</t>
  </si>
  <si>
    <t>JAR / 1KG</t>
  </si>
  <si>
    <t>HG-01</t>
  </si>
  <si>
    <t>ASPARAGUS, THAI</t>
  </si>
  <si>
    <t>HG-02</t>
  </si>
  <si>
    <t>HG-03</t>
  </si>
  <si>
    <t>BABY SPINACH</t>
  </si>
  <si>
    <t>HG-04</t>
  </si>
  <si>
    <t>BANANA</t>
  </si>
  <si>
    <t>HG-05</t>
  </si>
  <si>
    <t>BANANA LEAF</t>
  </si>
  <si>
    <t>HG-06</t>
  </si>
  <si>
    <t>BASIL LEAVES</t>
  </si>
  <si>
    <t>HG-07</t>
  </si>
  <si>
    <t>BEAN SPROUT</t>
  </si>
  <si>
    <t>HG-08</t>
  </si>
  <si>
    <t>BEETROOT</t>
  </si>
  <si>
    <t>HG-09</t>
  </si>
  <si>
    <t>BLUEBERRY, FRESH</t>
  </si>
  <si>
    <t>HG-10</t>
  </si>
  <si>
    <t>CABBAGE, ROUND</t>
  </si>
  <si>
    <t>HG-11</t>
  </si>
  <si>
    <t>CAPCICUM,GREEN</t>
  </si>
  <si>
    <t>HG-12</t>
  </si>
  <si>
    <t>CAPCICUM,RED</t>
  </si>
  <si>
    <t xml:space="preserve">KG </t>
  </si>
  <si>
    <t>HG-13</t>
  </si>
  <si>
    <t>CARROT</t>
  </si>
  <si>
    <t>HG-14</t>
  </si>
  <si>
    <t>CELERY, IMPORT</t>
  </si>
  <si>
    <t>HG-15</t>
  </si>
  <si>
    <t>CHERRY TOMATO</t>
  </si>
  <si>
    <t>HG-16</t>
  </si>
  <si>
    <t>CHILLI GREEN, BIG</t>
  </si>
  <si>
    <t>HG-17</t>
  </si>
  <si>
    <t>CHILLI PADI, GREEN, SMALL</t>
  </si>
  <si>
    <t>HG-18</t>
  </si>
  <si>
    <t>CHILLI PADI, RED, SMALL</t>
  </si>
  <si>
    <t>HG-19</t>
  </si>
  <si>
    <t>CHILLI RED, BIG</t>
  </si>
  <si>
    <t>HG-20</t>
  </si>
  <si>
    <t>CORIANDER/ CHINESE PARSLEY</t>
  </si>
  <si>
    <t>HG-21</t>
  </si>
  <si>
    <t>DILL, FRESH</t>
  </si>
  <si>
    <t>HG-22</t>
  </si>
  <si>
    <t>FRENCH BEANS</t>
  </si>
  <si>
    <t>HG-23</t>
  </si>
  <si>
    <t>GALANGAL</t>
  </si>
  <si>
    <t>HG-24</t>
  </si>
  <si>
    <t>GARLIC, PEELED</t>
  </si>
  <si>
    <t>HG-25</t>
  </si>
  <si>
    <t>ICEBERG LETTUCE</t>
  </si>
  <si>
    <t>HG-26</t>
  </si>
  <si>
    <t>JAPANESE CUCUMBER</t>
  </si>
  <si>
    <t>HG-27</t>
  </si>
  <si>
    <t>KAFFIR LEAF</t>
  </si>
  <si>
    <t>HG-28</t>
  </si>
  <si>
    <t>BUTTON MUSHRROM</t>
  </si>
  <si>
    <t>HG-29</t>
  </si>
  <si>
    <t>LEMON</t>
  </si>
  <si>
    <t>HG-30</t>
  </si>
  <si>
    <t>LEMON GRASS</t>
  </si>
  <si>
    <t>HG-31</t>
  </si>
  <si>
    <t>LIME</t>
  </si>
  <si>
    <t>HG-32</t>
  </si>
  <si>
    <t>LIME LEAVES, FRESH</t>
  </si>
  <si>
    <t>HG-33</t>
  </si>
  <si>
    <t>MINT LEAVES, FRESH</t>
  </si>
  <si>
    <t>HG-34</t>
  </si>
  <si>
    <t>MIXED SALAD/LETUCE MESCULINE</t>
  </si>
  <si>
    <t>HG-35</t>
  </si>
  <si>
    <t>ONION, RED LARGE</t>
  </si>
  <si>
    <t>HG-36</t>
  </si>
  <si>
    <t>ONION, YELLOW LARGE</t>
  </si>
  <si>
    <t>HG-37</t>
  </si>
  <si>
    <t>PARSLEY, ENGLISH</t>
  </si>
  <si>
    <t>HG-38</t>
  </si>
  <si>
    <t>POTATO, USA</t>
  </si>
  <si>
    <t>HG-39</t>
  </si>
  <si>
    <t>PUMPKIN</t>
  </si>
  <si>
    <t>HG-40</t>
  </si>
  <si>
    <t>ROCKET SALAD</t>
  </si>
  <si>
    <t>HG-41</t>
  </si>
  <si>
    <t>ROSEMARY,FRESH</t>
  </si>
  <si>
    <t>HG-42</t>
  </si>
  <si>
    <t>SAGE LEAVES, FRESH</t>
  </si>
  <si>
    <t>HG-43</t>
  </si>
  <si>
    <t>SHALLOT, PEELED</t>
  </si>
  <si>
    <t>HG-44</t>
  </si>
  <si>
    <t xml:space="preserve">SPRING ONION </t>
  </si>
  <si>
    <t>HG-45</t>
  </si>
  <si>
    <t>STRAWBERRY, FRESH, IMPORT</t>
  </si>
  <si>
    <t>HG-46</t>
  </si>
  <si>
    <t>SWEET POTATO, RED</t>
  </si>
  <si>
    <t>HG-47</t>
  </si>
  <si>
    <t>THYME, FRESH</t>
  </si>
  <si>
    <t>HG-48</t>
  </si>
  <si>
    <t>TOMATO, BIG</t>
  </si>
  <si>
    <t>HG-49</t>
  </si>
  <si>
    <t>YONG GINGER</t>
  </si>
  <si>
    <t>HG-50</t>
  </si>
  <si>
    <t>BISCUITS</t>
  </si>
  <si>
    <t>HG-51</t>
  </si>
  <si>
    <t xml:space="preserve">BUTTER MILK </t>
  </si>
  <si>
    <t>HG-52</t>
  </si>
  <si>
    <t>DATES</t>
  </si>
  <si>
    <t>HG-53</t>
  </si>
  <si>
    <t>EGG, B GRADE</t>
  </si>
  <si>
    <t>TRAY</t>
  </si>
  <si>
    <t>HG-54</t>
  </si>
  <si>
    <t>ICE CREAM, VANILA</t>
  </si>
  <si>
    <t>HG-55</t>
  </si>
  <si>
    <t>KEOW TEOW NOODLES</t>
  </si>
  <si>
    <t>HG-56</t>
  </si>
  <si>
    <t>MARSHMALLOW</t>
  </si>
  <si>
    <t>HG-57</t>
  </si>
  <si>
    <t>RICE, JASMINE</t>
  </si>
  <si>
    <t>HG-58</t>
  </si>
  <si>
    <t>SOYA MILK</t>
  </si>
  <si>
    <t>HG-59</t>
  </si>
  <si>
    <t>TEMPEH</t>
  </si>
  <si>
    <t>HG-60</t>
  </si>
  <si>
    <t>APPLE, GREEN</t>
  </si>
  <si>
    <t>HG-61</t>
  </si>
  <si>
    <t>MANGO</t>
  </si>
  <si>
    <t>HG-62</t>
  </si>
  <si>
    <t>MELON, HONEY</t>
  </si>
  <si>
    <t>HG-63</t>
  </si>
  <si>
    <t>ORANGE</t>
  </si>
  <si>
    <t>CTN</t>
  </si>
  <si>
    <t>HG-64</t>
  </si>
  <si>
    <t>PAPYA</t>
  </si>
  <si>
    <t>HG-65</t>
  </si>
  <si>
    <t>PEAR, GREEN</t>
  </si>
  <si>
    <t>HG-66</t>
  </si>
  <si>
    <t>PINEAPPLE</t>
  </si>
  <si>
    <t>HG-67</t>
  </si>
  <si>
    <t>WATERMELON, SEEDLESS A</t>
  </si>
  <si>
    <t>LEMON JUICE</t>
  </si>
  <si>
    <t>UOM</t>
  </si>
  <si>
    <t>SCRAMBLED EGGS</t>
  </si>
  <si>
    <t>SERVING</t>
  </si>
  <si>
    <t>SAUTEED MUSHROOMS</t>
  </si>
  <si>
    <t>FRUIT SALAD</t>
  </si>
  <si>
    <t>BALANA PANCAKE BATTER</t>
  </si>
  <si>
    <t>FRENCH TOAST BATTER</t>
  </si>
  <si>
    <t>WAFFLE BATTER</t>
  </si>
  <si>
    <t>CREPE BATTER</t>
  </si>
  <si>
    <t>FISH &amp; CHIPS BATTER</t>
  </si>
  <si>
    <t>TOMATO BAGEL</t>
  </si>
  <si>
    <t>PIECE</t>
  </si>
  <si>
    <t>WHAKATIKI BATTER</t>
  </si>
  <si>
    <t>CHICKEN SATAY</t>
  </si>
  <si>
    <t>PIZZA SAUCE</t>
  </si>
  <si>
    <t>SALAD DRESSING</t>
  </si>
  <si>
    <t>PIZZA DOUGH</t>
  </si>
  <si>
    <t>PASTA TOMATO SAUCE</t>
  </si>
  <si>
    <t>DOUBLE SALMON FISHCAKE</t>
  </si>
  <si>
    <t>MUESLI</t>
  </si>
  <si>
    <t>MEATBALLS</t>
  </si>
  <si>
    <t>OMELETTE</t>
  </si>
  <si>
    <t>HOUSE SALAD</t>
  </si>
  <si>
    <t>BEETROOT SALAD</t>
  </si>
  <si>
    <t>NUT MIX</t>
  </si>
  <si>
    <t>CHICK PEA SALAD</t>
  </si>
  <si>
    <t>ROASTED VEGGIE</t>
  </si>
  <si>
    <t>AVOCADO SPREAD</t>
  </si>
  <si>
    <t xml:space="preserve">CHEESE HOLLANDAISE </t>
  </si>
  <si>
    <t>TOMATO PESTO</t>
  </si>
  <si>
    <t>TARTAR SAUCE</t>
  </si>
  <si>
    <t>TZATZIKI SAUCE</t>
  </si>
  <si>
    <t>SATAY SAUCE</t>
  </si>
  <si>
    <t>BURMESE SAUCE</t>
  </si>
  <si>
    <t>SANDWICH SAUCE</t>
  </si>
  <si>
    <t>BERRY COMPOTE</t>
  </si>
  <si>
    <t>BUTTERSCOTH SAUCE</t>
  </si>
  <si>
    <t>SPECIAL PIZZA SAUCE</t>
  </si>
  <si>
    <t>JALAPENO</t>
  </si>
  <si>
    <t>TOMATO COMPOTE</t>
  </si>
  <si>
    <t>HARISSA PASTE</t>
  </si>
  <si>
    <t>SAMBAL PASTE</t>
  </si>
  <si>
    <t>TOMATO RELISH</t>
  </si>
  <si>
    <t>WHAKATIKI SAUCE</t>
  </si>
  <si>
    <t>GOLDEN COUS COUS</t>
  </si>
  <si>
    <t>LAMB BURGER SAUCE</t>
  </si>
  <si>
    <t>STRAWBERRY JAM</t>
  </si>
  <si>
    <t>CARAMELIZED BANANA</t>
  </si>
  <si>
    <t>ASPARAGUS BACON</t>
  </si>
  <si>
    <t>CINNAMON INING</t>
  </si>
  <si>
    <t>NASI GOREGN PASTE</t>
  </si>
  <si>
    <t>BAGEL BLUEBERRY</t>
  </si>
  <si>
    <t>SCRAMBLED EGG</t>
  </si>
  <si>
    <t>PORTIONS PER RECIPE</t>
  </si>
  <si>
    <t>NO</t>
  </si>
  <si>
    <t>INGREDIENT</t>
  </si>
  <si>
    <t>QUANTITY</t>
  </si>
  <si>
    <t>UNIT PRICE</t>
  </si>
  <si>
    <t>TOTAL</t>
  </si>
  <si>
    <t>YIELD LOSS
(%)</t>
  </si>
  <si>
    <t>YIELD LOSS 
VALUE</t>
  </si>
  <si>
    <t>GRAND
TOTAL</t>
  </si>
  <si>
    <t>WHIPPING CREAM</t>
  </si>
  <si>
    <t>SALT</t>
  </si>
  <si>
    <t>BUTTER. SALTED</t>
  </si>
  <si>
    <t>PRICE PER UNIT</t>
  </si>
  <si>
    <t>CODIANDER</t>
  </si>
  <si>
    <t>PARSLEY</t>
  </si>
  <si>
    <t>OLIVE OIL</t>
  </si>
  <si>
    <t>PRICE PER UNIT (SERVING)</t>
  </si>
  <si>
    <t>MELON</t>
  </si>
  <si>
    <t>WATERMELON</t>
  </si>
  <si>
    <t>BASIL LEAF</t>
  </si>
  <si>
    <t>MINT LEAF</t>
  </si>
  <si>
    <t>BANANA PANCAKE</t>
  </si>
  <si>
    <t>MILK</t>
  </si>
  <si>
    <t>VANILLA EXTRACT</t>
  </si>
  <si>
    <t>BUTTER, MELTED</t>
  </si>
  <si>
    <t>CINNAMON POWDER</t>
  </si>
  <si>
    <t>EGG WHITE</t>
  </si>
  <si>
    <t>VANILLA EXTACT</t>
  </si>
  <si>
    <t>LEMON ZEST</t>
  </si>
  <si>
    <t>RAS EL HANOUT</t>
  </si>
  <si>
    <t>ORANGE ZEST</t>
  </si>
  <si>
    <t>EGG YOLK</t>
  </si>
  <si>
    <t>VINALLA EXTRACT</t>
  </si>
  <si>
    <t>BEER</t>
  </si>
  <si>
    <t>LEMON PEPPER SEASONING</t>
  </si>
  <si>
    <t>BLACK PAPPER, FINE COURSE</t>
  </si>
  <si>
    <t>WATER</t>
  </si>
  <si>
    <t>THAI BASIL</t>
  </si>
  <si>
    <t>CHEDDAR CHEESE</t>
  </si>
  <si>
    <t>SUNDRIED TOMATO</t>
  </si>
  <si>
    <t>PRICE PER UNIT (PIECE)</t>
  </si>
  <si>
    <t xml:space="preserve">CAJUN </t>
  </si>
  <si>
    <t>BUTTERMILK</t>
  </si>
  <si>
    <t>ONION, YELLOW</t>
  </si>
  <si>
    <t>GARLIC</t>
  </si>
  <si>
    <t>THYME</t>
  </si>
  <si>
    <t>PRICE PER UNIT (SERVING_</t>
  </si>
  <si>
    <t>CHILI POWDER</t>
  </si>
  <si>
    <t>CAPCICUM, RED</t>
  </si>
  <si>
    <t xml:space="preserve">LAMB </t>
  </si>
  <si>
    <t>GARLIC, MINCED</t>
  </si>
  <si>
    <t>OREGANO, DRIED</t>
  </si>
  <si>
    <t>PAPRIKA POWDER</t>
  </si>
  <si>
    <t>RED ONION, CHOPPED</t>
  </si>
  <si>
    <t>BEEF TENDERLOIN</t>
  </si>
  <si>
    <t>LIME JUICE</t>
  </si>
  <si>
    <t>PARSLEY, CHOPPED</t>
  </si>
  <si>
    <t>MINT, CHOPPED</t>
  </si>
  <si>
    <t>CORIANDER, CHOPPED</t>
  </si>
  <si>
    <t xml:space="preserve">SWEET PAPRIKA CHICKEN </t>
  </si>
  <si>
    <t>CHICKEN FILLET, MINCED</t>
  </si>
  <si>
    <t>ONION, RED</t>
  </si>
  <si>
    <t>CORIANDER</t>
  </si>
  <si>
    <t>THYME LEAF</t>
  </si>
  <si>
    <t>PRICE PER UNIT (KG)</t>
  </si>
  <si>
    <t>CHILI PADI, RED</t>
  </si>
  <si>
    <t>SEMOILINA FLOUR</t>
  </si>
  <si>
    <t>WATER, WARM</t>
  </si>
  <si>
    <t>DOUBLE SAMLON FISH CAKE</t>
  </si>
  <si>
    <t>SALMON FILLET</t>
  </si>
  <si>
    <t>SMOKED SALMON</t>
  </si>
  <si>
    <t>POTATO</t>
  </si>
  <si>
    <t>LAMB</t>
  </si>
  <si>
    <t>LEA &amp; PERRINS SAUCE</t>
  </si>
  <si>
    <t>MINT</t>
  </si>
  <si>
    <t>TOAMTO SAUCE</t>
  </si>
  <si>
    <t>BEEF STRIPLOIN</t>
  </si>
  <si>
    <t>TONKATSU SAUCE</t>
  </si>
  <si>
    <t>TOMATO SAUCE</t>
  </si>
  <si>
    <t>HOMEDAME MUESLI</t>
  </si>
  <si>
    <t>BLACK RAISIN</t>
  </si>
  <si>
    <t>GARLIC, CHOPPED</t>
  </si>
  <si>
    <t xml:space="preserve">PARMESAN CHEESE </t>
  </si>
  <si>
    <t>PTN</t>
  </si>
  <si>
    <t>OIL</t>
  </si>
  <si>
    <t xml:space="preserve">SALT </t>
  </si>
  <si>
    <t>GREEN CORAL SALAD</t>
  </si>
  <si>
    <t>RED CAPCICUM</t>
  </si>
  <si>
    <t>CELERY</t>
  </si>
  <si>
    <t>GINGER</t>
  </si>
  <si>
    <t>PUMPKIN SEED</t>
  </si>
  <si>
    <t>CASHEW NUT</t>
  </si>
  <si>
    <t>WHITE SESAME SEED</t>
  </si>
  <si>
    <t>SUNFLOWER SEED</t>
  </si>
  <si>
    <t>CORRIANDER POWDER</t>
  </si>
  <si>
    <t xml:space="preserve">CHICK PEAS SALAD </t>
  </si>
  <si>
    <t>CHICK PEAS</t>
  </si>
  <si>
    <t>ONION,  RED</t>
  </si>
  <si>
    <t>SWEET POTATO</t>
  </si>
  <si>
    <t>CAPRICUM, RED</t>
  </si>
  <si>
    <t>MAYO</t>
  </si>
  <si>
    <t>PRICE PER UNIT (KG))</t>
  </si>
  <si>
    <t>PARMESAN CHEESE</t>
  </si>
  <si>
    <t>GHERKIN</t>
  </si>
  <si>
    <t>TZATZIKI SUACE</t>
  </si>
  <si>
    <t>DILL</t>
  </si>
  <si>
    <t>PEANUT BUTTER</t>
  </si>
  <si>
    <t>COCONUT MILK</t>
  </si>
  <si>
    <t>FISH SAUCE</t>
  </si>
  <si>
    <t>RAPSBERRY, FROZEN</t>
  </si>
  <si>
    <t>BUTTERSCOTCH SAUCE</t>
  </si>
  <si>
    <t>BUTTER</t>
  </si>
  <si>
    <t>HOMEMADE JALAPENO</t>
  </si>
  <si>
    <t>CHILI BIG, GREEN</t>
  </si>
  <si>
    <t>CUMIN SEED</t>
  </si>
  <si>
    <t>CHILI RED, BIG</t>
  </si>
  <si>
    <t>CHILI PADI, GREEN</t>
  </si>
  <si>
    <t>RED CHILI, BIG</t>
  </si>
  <si>
    <t>GREEN CHILI, BIG</t>
  </si>
  <si>
    <t>LEEK</t>
  </si>
  <si>
    <t>HINDASHI POWDER</t>
  </si>
  <si>
    <t>SOY SAUCE</t>
  </si>
  <si>
    <t>LEMONGRASS</t>
  </si>
  <si>
    <t>BAYLEAF</t>
  </si>
  <si>
    <t>BLAKC PEPPER, FINE COURSE</t>
  </si>
  <si>
    <t>ONION</t>
  </si>
  <si>
    <t>LAMB SAUCE</t>
  </si>
  <si>
    <t>ROAST VEGGIE DRESSING</t>
  </si>
  <si>
    <t>WHOLE PEELED TOMOTO</t>
  </si>
  <si>
    <t>CORINADER</t>
  </si>
  <si>
    <t>ASPARAGUS</t>
  </si>
  <si>
    <t>CINNAMON ICING</t>
  </si>
  <si>
    <t>CINNAMON</t>
  </si>
  <si>
    <t>RED CHILI</t>
  </si>
  <si>
    <t>CAPCICUM, GREEN</t>
  </si>
  <si>
    <t>BLUEBERRY</t>
  </si>
  <si>
    <t>5 items</t>
  </si>
  <si>
    <t>3 items</t>
  </si>
  <si>
    <t>goal is RM350</t>
  </si>
  <si>
    <t>NO RECIPE</t>
  </si>
  <si>
    <t>SAUTEED MUSHROOM</t>
  </si>
  <si>
    <t>CHICKEN SAUSAGE</t>
  </si>
  <si>
    <t>PORK SAUSAGE</t>
  </si>
  <si>
    <t xml:space="preserve">BUTTER </t>
  </si>
  <si>
    <t>WHIPPING CREAM AEROSOL</t>
  </si>
  <si>
    <t>SUGAR</t>
  </si>
  <si>
    <t>OMELETE PLAIN</t>
  </si>
  <si>
    <t>MUSHROOM</t>
  </si>
  <si>
    <t>POACHED EGG</t>
  </si>
  <si>
    <t>PANCAKE BATTER</t>
  </si>
  <si>
    <t>BUTTERSCOTCH</t>
  </si>
  <si>
    <t>QUICK OAT</t>
  </si>
  <si>
    <t>COCONUT POWDER</t>
  </si>
  <si>
    <t>SCRABMBLED EGG</t>
  </si>
  <si>
    <t>SUNFOWER OIL</t>
  </si>
  <si>
    <t>TOAST</t>
  </si>
  <si>
    <t>CARAMELIZER BANANA</t>
  </si>
  <si>
    <t>PEAR IN SYRUP</t>
  </si>
  <si>
    <t>PINE NUT</t>
  </si>
  <si>
    <t>BALSAMIC GLAZE</t>
  </si>
  <si>
    <t>PUFF PASTRY</t>
  </si>
  <si>
    <t>POTATO CHIPS</t>
  </si>
  <si>
    <t>FROZEN SPINACH</t>
  </si>
  <si>
    <t>FETA</t>
  </si>
  <si>
    <t>SESAME SEED</t>
  </si>
  <si>
    <t>KALAMATA OLIVE</t>
  </si>
  <si>
    <t>RICE</t>
  </si>
  <si>
    <t>CUCUMBER</t>
  </si>
  <si>
    <t>HARISSA PATE</t>
  </si>
  <si>
    <t xml:space="preserve">ROCKET </t>
  </si>
  <si>
    <t>BEEF</t>
  </si>
  <si>
    <t>FRENCH BEAN</t>
  </si>
  <si>
    <t>FRENCH FIRES</t>
  </si>
  <si>
    <t>BURGER BUN</t>
  </si>
  <si>
    <t>CHICKEN BREAST</t>
  </si>
  <si>
    <t>CABBAGE</t>
  </si>
  <si>
    <t>MOZZARELLA CHEESE</t>
  </si>
  <si>
    <t>MEATBALL</t>
  </si>
  <si>
    <t>PASTA SAUCE</t>
  </si>
  <si>
    <t xml:space="preserve">MARMALADE </t>
  </si>
  <si>
    <t xml:space="preserve">SUNDRIED TOMATO </t>
  </si>
  <si>
    <t>BAGEL</t>
  </si>
  <si>
    <t xml:space="preserve">CHORIZO </t>
  </si>
  <si>
    <t>CREAM CHEESE</t>
  </si>
  <si>
    <t>STRAWBERRY, FRESH</t>
  </si>
  <si>
    <t>MASCARPONE</t>
  </si>
  <si>
    <t>CROISSANT</t>
  </si>
  <si>
    <t>ROAST VEGGIE</t>
  </si>
  <si>
    <t>PINENUT</t>
  </si>
  <si>
    <t>GREEN CORAL</t>
  </si>
  <si>
    <t xml:space="preserve">FETA </t>
  </si>
  <si>
    <t>ONION RED,</t>
  </si>
  <si>
    <t>BASIL</t>
  </si>
  <si>
    <t>WALNUT</t>
  </si>
  <si>
    <t>PLACK PEPER, FINE COURSE</t>
  </si>
  <si>
    <t>LYCHEE</t>
  </si>
  <si>
    <t>SWEET PEA</t>
  </si>
  <si>
    <t>FIG</t>
  </si>
  <si>
    <t>PIZZA CRUST</t>
  </si>
  <si>
    <t>SPECIAL SAUCE</t>
  </si>
  <si>
    <t>CHORIZO</t>
  </si>
  <si>
    <t>ZAATAR</t>
  </si>
  <si>
    <t>SUMAC</t>
  </si>
  <si>
    <t>ARTICHOKE</t>
  </si>
  <si>
    <t>VANILLA ICE CREAM</t>
  </si>
  <si>
    <t>CHOCOLATE SYRUP</t>
  </si>
  <si>
    <t>PARMESAN</t>
  </si>
  <si>
    <t>ORZO PASTA</t>
  </si>
  <si>
    <t>SPAGHETTI</t>
  </si>
  <si>
    <t>CHILI FLAKES</t>
  </si>
  <si>
    <t>SAGE</t>
  </si>
  <si>
    <t xml:space="preserve">SUPLIER &amp; ITEMS </t>
  </si>
  <si>
    <t xml:space="preserve">UNIT </t>
  </si>
  <si>
    <t xml:space="preserve">PRICE </t>
  </si>
  <si>
    <t xml:space="preserve">OBTECH </t>
  </si>
  <si>
    <t xml:space="preserve">12 oz double wall hot cups ( plain white) </t>
  </si>
  <si>
    <t>ctn</t>
  </si>
  <si>
    <t xml:space="preserve">PCS </t>
  </si>
  <si>
    <t xml:space="preserve">12 oz Plastic pet cup </t>
  </si>
  <si>
    <t xml:space="preserve">12 oz Plastic cup lids </t>
  </si>
  <si>
    <t xml:space="preserve">8OZ HOT CUP </t>
  </si>
  <si>
    <t xml:space="preserve">8OZ HOT CUP LIDS </t>
  </si>
  <si>
    <t xml:space="preserve">satchel paper Bag - White </t>
  </si>
  <si>
    <t>kg</t>
  </si>
  <si>
    <t xml:space="preserve">gm </t>
  </si>
  <si>
    <t>Brazil Roasted Beans</t>
  </si>
  <si>
    <t xml:space="preserve">AYC </t>
  </si>
  <si>
    <t xml:space="preserve">Farm fresh milk </t>
  </si>
  <si>
    <t xml:space="preserve">ctn/6btl/litter </t>
  </si>
  <si>
    <t>ml</t>
  </si>
  <si>
    <t xml:space="preserve">LUCKY FROZEN </t>
  </si>
  <si>
    <t xml:space="preserve">Oat milk </t>
  </si>
  <si>
    <t xml:space="preserve">Chicken Ham </t>
  </si>
  <si>
    <t>800gm/30pkt</t>
  </si>
  <si>
    <t xml:space="preserve">Bega Cheese </t>
  </si>
  <si>
    <t>kg/84slices</t>
  </si>
  <si>
    <t>ECIATTO</t>
  </si>
  <si>
    <t xml:space="preserve">Vanilla </t>
  </si>
  <si>
    <t>btl</t>
  </si>
  <si>
    <t>Caramel</t>
  </si>
  <si>
    <t>Salted caeamel</t>
  </si>
  <si>
    <t xml:space="preserve">Coconut Syrup </t>
  </si>
  <si>
    <t xml:space="preserve">Pineaple Pure </t>
  </si>
  <si>
    <t xml:space="preserve">Soda water </t>
  </si>
  <si>
    <t>lit</t>
  </si>
  <si>
    <t>Montenee Strawberry real fruits mix</t>
  </si>
  <si>
    <t>Hazelnut Syrup</t>
  </si>
  <si>
    <t>Montenee Peach Real fruit Mix</t>
  </si>
  <si>
    <t xml:space="preserve">Yuzu Lemon Syrup </t>
  </si>
  <si>
    <t xml:space="preserve">Montenee Mango Real Fruit Mix </t>
  </si>
  <si>
    <t xml:space="preserve">Montenee Watermelon  Real Fruit Mix </t>
  </si>
  <si>
    <t xml:space="preserve">Montenee Banana  Real Fruit Mix </t>
  </si>
  <si>
    <t xml:space="preserve">Montenee Kiwi Real Fruit Mix </t>
  </si>
  <si>
    <t xml:space="preserve">Montenne Pandan Latte </t>
  </si>
  <si>
    <t xml:space="preserve">btl </t>
  </si>
  <si>
    <t>Montenee Blue Real Fruit Mix</t>
  </si>
  <si>
    <t>Montenee Mixedberry</t>
  </si>
  <si>
    <t xml:space="preserve">SCHIACCIATA  Bread </t>
  </si>
  <si>
    <t xml:space="preserve">Lemon loaf </t>
  </si>
  <si>
    <t>loaf</t>
  </si>
  <si>
    <t xml:space="preserve">Chocolate Marble Cake </t>
  </si>
  <si>
    <t xml:space="preserve">whole </t>
  </si>
  <si>
    <t xml:space="preserve">Banana Bread Loaf </t>
  </si>
  <si>
    <t xml:space="preserve">Focaccia Bread </t>
  </si>
  <si>
    <t>pcs</t>
  </si>
  <si>
    <t xml:space="preserve">ANTIPODEAN </t>
  </si>
  <si>
    <t xml:space="preserve">Tomato Pest </t>
  </si>
  <si>
    <t>Tin/2.5kg</t>
  </si>
  <si>
    <t>Origano</t>
  </si>
  <si>
    <t>btl/50gm</t>
  </si>
  <si>
    <t xml:space="preserve">Whipping Cream </t>
  </si>
  <si>
    <t>pkt/1L</t>
  </si>
  <si>
    <t xml:space="preserve">Black Peper fine course </t>
  </si>
  <si>
    <t>pkt/500gm</t>
  </si>
  <si>
    <t>Olive Oil</t>
  </si>
  <si>
    <t>BTL/1000</t>
  </si>
  <si>
    <t xml:space="preserve">Parmesan Cheese </t>
  </si>
  <si>
    <t>kg/1000</t>
  </si>
  <si>
    <t>kg/500</t>
  </si>
  <si>
    <t xml:space="preserve">Conchiglie Pasta </t>
  </si>
  <si>
    <t>Quick Oat</t>
  </si>
  <si>
    <t>pkt/1kg</t>
  </si>
  <si>
    <t>strawberry</t>
  </si>
  <si>
    <t>Blueberry</t>
  </si>
  <si>
    <t>pkt/400</t>
  </si>
  <si>
    <t xml:space="preserve">Cinemon Ground </t>
  </si>
  <si>
    <t xml:space="preserve">HOCK GUAN </t>
  </si>
  <si>
    <t xml:space="preserve">Lemon </t>
  </si>
  <si>
    <t xml:space="preserve">slice </t>
  </si>
  <si>
    <t xml:space="preserve">Mayonese </t>
  </si>
  <si>
    <t xml:space="preserve">Red Onion </t>
  </si>
  <si>
    <t>Baby Romaine</t>
  </si>
  <si>
    <t>Egg</t>
  </si>
  <si>
    <t>Tray/30pcs</t>
  </si>
  <si>
    <t xml:space="preserve">Carrot </t>
  </si>
  <si>
    <t xml:space="preserve">kg </t>
  </si>
  <si>
    <t xml:space="preserve">Betroot </t>
  </si>
  <si>
    <t xml:space="preserve">Pumpkin </t>
  </si>
  <si>
    <t xml:space="preserve">Yellow Onion </t>
  </si>
  <si>
    <t xml:space="preserve">Tomato </t>
  </si>
  <si>
    <t xml:space="preserve">Japanese Cucumber </t>
  </si>
  <si>
    <t xml:space="preserve">Avaporated Milk </t>
  </si>
  <si>
    <t xml:space="preserve">Tin </t>
  </si>
  <si>
    <t xml:space="preserve">Condense milk </t>
  </si>
  <si>
    <t>Tin</t>
  </si>
  <si>
    <t xml:space="preserve">Mushroom oyster </t>
  </si>
  <si>
    <t>500GM</t>
  </si>
  <si>
    <t>Spaghetti</t>
  </si>
  <si>
    <t>pkt</t>
  </si>
  <si>
    <t>Garlic</t>
  </si>
  <si>
    <t xml:space="preserve">Chilli Flakes </t>
  </si>
  <si>
    <t xml:space="preserve">Chicken Breast </t>
  </si>
  <si>
    <t xml:space="preserve">Mixed Salad </t>
  </si>
  <si>
    <t xml:space="preserve">Green Chilli Padi </t>
  </si>
  <si>
    <t>Oyester Mushroom</t>
  </si>
  <si>
    <t>Pkt</t>
  </si>
  <si>
    <t>Parsley English</t>
  </si>
  <si>
    <t xml:space="preserve">Tabasco Sauce </t>
  </si>
  <si>
    <t>Sunflower Oil</t>
  </si>
  <si>
    <t>btl/3kg</t>
  </si>
  <si>
    <t xml:space="preserve">Honey </t>
  </si>
  <si>
    <t>Tub/ 1kg</t>
  </si>
  <si>
    <t xml:space="preserve">Salt </t>
  </si>
  <si>
    <t>pkt/400gm</t>
  </si>
  <si>
    <t xml:space="preserve">Mint Leaf </t>
  </si>
  <si>
    <t xml:space="preserve">Coconut Powder </t>
  </si>
  <si>
    <t xml:space="preserve">Basil </t>
  </si>
  <si>
    <t>pkt/50gm</t>
  </si>
  <si>
    <t xml:space="preserve">Chilli Sauce </t>
  </si>
  <si>
    <t xml:space="preserve">Tomato Sauce </t>
  </si>
  <si>
    <t xml:space="preserve">Orange </t>
  </si>
  <si>
    <t xml:space="preserve">pcs </t>
  </si>
  <si>
    <t xml:space="preserve">Apple </t>
  </si>
  <si>
    <t>CHUNKEY COOKIES</t>
  </si>
  <si>
    <t>Matcha</t>
  </si>
  <si>
    <t xml:space="preserve">Walnut </t>
  </si>
  <si>
    <t xml:space="preserve">Raspberry Double Chocolate </t>
  </si>
  <si>
    <t xml:space="preserve">Nuttella </t>
  </si>
  <si>
    <t xml:space="preserve">PASTRY PRO </t>
  </si>
  <si>
    <t xml:space="preserve">Cocoa Powder </t>
  </si>
  <si>
    <t>Sugar (white )</t>
  </si>
  <si>
    <t>Sugar (brown  )</t>
  </si>
  <si>
    <t xml:space="preserve">Icing Sugar </t>
  </si>
  <si>
    <t xml:space="preserve">CDA </t>
  </si>
  <si>
    <t xml:space="preserve">Silly Smooth Hot Chocolate Powder </t>
  </si>
  <si>
    <t xml:space="preserve">Chai Powder </t>
  </si>
  <si>
    <t xml:space="preserve">THUNDER </t>
  </si>
  <si>
    <t>Sugar Syrup</t>
  </si>
  <si>
    <t xml:space="preserve">Matcha Powder </t>
  </si>
  <si>
    <t xml:space="preserve">Almond </t>
  </si>
  <si>
    <t xml:space="preserve">Ingredients </t>
  </si>
  <si>
    <t>Quantity</t>
  </si>
  <si>
    <t xml:space="preserve">Unit </t>
  </si>
  <si>
    <t xml:space="preserve">Cost Price </t>
  </si>
  <si>
    <t xml:space="preserve">Total Price </t>
  </si>
  <si>
    <t>Chicken Ham</t>
  </si>
  <si>
    <t>Fresh Milk</t>
  </si>
  <si>
    <t>gm</t>
  </si>
  <si>
    <t xml:space="preserve">Bread </t>
  </si>
  <si>
    <t>Black Pepper</t>
  </si>
  <si>
    <t xml:space="preserve">Selling Price </t>
  </si>
  <si>
    <t xml:space="preserve">Profit </t>
  </si>
  <si>
    <t>FREEZED MENU FOR NOW</t>
  </si>
  <si>
    <t xml:space="preserve">HAM &amp; CHEESE OMLETTE </t>
  </si>
  <si>
    <t xml:space="preserve">Onion </t>
  </si>
  <si>
    <t xml:space="preserve">MUSHROOM &amp; CHEESE OMLETTE </t>
  </si>
  <si>
    <t xml:space="preserve">Oyster Mushroom </t>
  </si>
  <si>
    <t xml:space="preserve">Carbonara </t>
  </si>
  <si>
    <t xml:space="preserve">Mushroom </t>
  </si>
  <si>
    <t xml:space="preserve">WhippING Cream </t>
  </si>
  <si>
    <t>Egg Yolk</t>
  </si>
  <si>
    <t>Chicken ham</t>
  </si>
  <si>
    <t>Black Peper</t>
  </si>
  <si>
    <t>Cookies combo</t>
  </si>
  <si>
    <t>Any Cookie</t>
  </si>
  <si>
    <t xml:space="preserve">Satchel Paper Bag-white </t>
  </si>
  <si>
    <t xml:space="preserve">Combo Drinks </t>
  </si>
  <si>
    <t>cup</t>
  </si>
  <si>
    <t>Cakes Cambo</t>
  </si>
  <si>
    <t xml:space="preserve">Any Cake </t>
  </si>
  <si>
    <t xml:space="preserve">Pesto Chicken Pasta </t>
  </si>
  <si>
    <t>Chicken Breast</t>
  </si>
  <si>
    <t xml:space="preserve">Galice </t>
  </si>
  <si>
    <t>Spaghethi</t>
  </si>
  <si>
    <t>Pepper</t>
  </si>
  <si>
    <t xml:space="preserve">Pesto Chicken Sandwich </t>
  </si>
  <si>
    <t xml:space="preserve">Black Pepper </t>
  </si>
  <si>
    <t xml:space="preserve">Red Creamy Chicken  Pasta </t>
  </si>
  <si>
    <t xml:space="preserve">Half Slice  of bread </t>
  </si>
  <si>
    <t xml:space="preserve">Red Creamy  Pasta </t>
  </si>
  <si>
    <t>Honey</t>
  </si>
  <si>
    <t>Coffee</t>
  </si>
  <si>
    <t>Farm Fresh Milk</t>
  </si>
  <si>
    <t>ML</t>
  </si>
  <si>
    <t xml:space="preserve">12oz Hot Cup </t>
  </si>
  <si>
    <t xml:space="preserve">12oz hot Cup Lids </t>
  </si>
  <si>
    <t xml:space="preserve">Add On Any flavor </t>
  </si>
  <si>
    <t xml:space="preserve">12oz ice Cup </t>
  </si>
  <si>
    <t xml:space="preserve">12oz ice  Cup Lids </t>
  </si>
  <si>
    <t xml:space="preserve">Straw </t>
  </si>
  <si>
    <t xml:space="preserve">Cocolate Syrup </t>
  </si>
  <si>
    <t xml:space="preserve">Hot Chocolate </t>
  </si>
  <si>
    <t>Sunrise Espresso</t>
  </si>
  <si>
    <t>Lemon Juice</t>
  </si>
  <si>
    <t>Ml</t>
  </si>
  <si>
    <t>Strawberry Lemon Yuzu</t>
  </si>
  <si>
    <t xml:space="preserve">Lemon Juice </t>
  </si>
  <si>
    <t xml:space="preserve">Soda Water </t>
  </si>
  <si>
    <t>Blue Ocean</t>
  </si>
  <si>
    <t>Blue Syrup</t>
  </si>
  <si>
    <t>Chai Powder</t>
  </si>
  <si>
    <t xml:space="preserve">Spanish Latte </t>
  </si>
  <si>
    <t>Condence Milk</t>
  </si>
  <si>
    <t>Lemon Ice brew</t>
  </si>
  <si>
    <t>Spice Tamarind</t>
  </si>
  <si>
    <t>Watermelon Syrup</t>
  </si>
  <si>
    <t xml:space="preserve">Dirty Matcha </t>
  </si>
  <si>
    <t xml:space="preserve">Strawberry Matcha </t>
  </si>
  <si>
    <t xml:space="preserve">Strawberry Pure </t>
  </si>
  <si>
    <t xml:space="preserve">Peach  Matcha </t>
  </si>
  <si>
    <t xml:space="preserve">Lemonade   Matcha </t>
  </si>
  <si>
    <t xml:space="preserve">Water </t>
  </si>
  <si>
    <t xml:space="preserve">Orange Zest  Matcha </t>
  </si>
  <si>
    <t xml:space="preserve">Mixberry Matcha </t>
  </si>
  <si>
    <t xml:space="preserve">CHCOLATE SYRUP  BATCH </t>
  </si>
  <si>
    <t xml:space="preserve">Chocolate Powder </t>
  </si>
  <si>
    <t>White Sugar</t>
  </si>
  <si>
    <t xml:space="preserve">Total Production Yield </t>
  </si>
  <si>
    <t xml:space="preserve">Cost Per gm </t>
  </si>
  <si>
    <t xml:space="preserve">COLD BREW BATCH </t>
  </si>
  <si>
    <t xml:space="preserve">Coffee Ground </t>
  </si>
  <si>
    <t xml:space="preserve">Filter Water </t>
  </si>
  <si>
    <t>Production Per Ml</t>
  </si>
  <si>
    <t xml:space="preserve">Chilli Mayo Sauce </t>
  </si>
  <si>
    <t>Production Per Gm</t>
  </si>
  <si>
    <t xml:space="preserve">THUNDER  STOCK BALANCE REPORT  2025 </t>
  </si>
  <si>
    <t>ITEM DESCRIPTION</t>
  </si>
  <si>
    <t xml:space="preserve">SUPLIER UOM
</t>
  </si>
  <si>
    <t>CONVERTED UOM</t>
  </si>
  <si>
    <t>PRICE</t>
  </si>
  <si>
    <t>CATEGORY</t>
  </si>
  <si>
    <t>STOCK BALANCE OF 18072025</t>
  </si>
  <si>
    <t>VALUE</t>
  </si>
  <si>
    <t xml:space="preserve">CATEGORY TOTAL </t>
  </si>
  <si>
    <t>YUZU LEMON  SYURUP</t>
  </si>
  <si>
    <t>BTL/1000ML</t>
  </si>
  <si>
    <t>SYRUP</t>
  </si>
  <si>
    <t>MONTENNE MANGO REAL FRUIT MIX</t>
  </si>
  <si>
    <t>MONTENNE BANANA REAL FRUIT MIX</t>
  </si>
  <si>
    <t>MONTENNE KIWI REAL FRUIT MIX</t>
  </si>
  <si>
    <t xml:space="preserve">MONTENNE MIXBERRIES REAL FRUIT MIX </t>
  </si>
  <si>
    <t xml:space="preserve">1883 RE WATERMELON SYRUP </t>
  </si>
  <si>
    <t xml:space="preserve">MONTENNE SOURSOP REAL FRUIT MIX </t>
  </si>
  <si>
    <t xml:space="preserve">MONTENNE STRAWBERRY REAL FRUIT MIX </t>
  </si>
  <si>
    <t xml:space="preserve">12OZ ICE CUP </t>
  </si>
  <si>
    <t>CTN/40ROLLS</t>
  </si>
  <si>
    <t>ROLL/25PCS</t>
  </si>
  <si>
    <t xml:space="preserve">DISPOSABLE </t>
  </si>
  <si>
    <t xml:space="preserve">12OZ DOUBLE WALL HOT CUP - PLAIN WHITE </t>
  </si>
  <si>
    <t>CTN/20ROLLS</t>
  </si>
  <si>
    <t xml:space="preserve">80Z HOT CUP </t>
  </si>
  <si>
    <t>CTN/400ROLLS</t>
  </si>
  <si>
    <t xml:space="preserve">12OZ HOT CUP LIDS </t>
  </si>
  <si>
    <t>ROLLS/50PCS</t>
  </si>
  <si>
    <t xml:space="preserve">12OZ ICE CUP LIDS </t>
  </si>
  <si>
    <t xml:space="preserve">CTN/20ROLLS </t>
  </si>
  <si>
    <t>ROLLS/100PCS</t>
  </si>
  <si>
    <t xml:space="preserve">8OZ ICE CUP LIDS </t>
  </si>
  <si>
    <t xml:space="preserve">PAPER STRAW 6MM WITH WRAPPER </t>
  </si>
  <si>
    <t>CTN/20 PKT</t>
  </si>
  <si>
    <t>PKT/50PCS</t>
  </si>
  <si>
    <t xml:space="preserve">COCKTAIL BROWN NAPKIN </t>
  </si>
  <si>
    <t>CTN/50PKT</t>
  </si>
  <si>
    <t>PKT/100S</t>
  </si>
  <si>
    <t xml:space="preserve">OATSIDE PLAIN OAT MILK BARISTA </t>
  </si>
  <si>
    <t xml:space="preserve">DAIRY PRODUCTS </t>
  </si>
  <si>
    <t xml:space="preserve">FARM FRESH MILK </t>
  </si>
  <si>
    <t>BTL/2000ML</t>
  </si>
  <si>
    <t xml:space="preserve">BEGA COLOURED BURGER CHEDDAR SLICE </t>
  </si>
  <si>
    <t>PKT/1KG</t>
  </si>
  <si>
    <t>ACEDAMY ROASTED BLEND COFFEE</t>
  </si>
  <si>
    <t>PKT/KG</t>
  </si>
  <si>
    <t xml:space="preserve">COFFEE &amp; POWDER </t>
  </si>
  <si>
    <t xml:space="preserve">SPICE CHAI </t>
  </si>
  <si>
    <t xml:space="preserve">CHCOLATE POWDER </t>
  </si>
  <si>
    <t>PKR/KG</t>
  </si>
  <si>
    <t xml:space="preserve">MARBLE CAKE </t>
  </si>
  <si>
    <t xml:space="preserve">CAKE &amp; COKIES </t>
  </si>
  <si>
    <t xml:space="preserve">LEMON CAKE </t>
  </si>
  <si>
    <t xml:space="preserve">BANANA CAKE </t>
  </si>
  <si>
    <t xml:space="preserve">SCHIACCIATA </t>
  </si>
  <si>
    <t xml:space="preserve">TRAY </t>
  </si>
  <si>
    <t xml:space="preserve">MATCHA </t>
  </si>
  <si>
    <t>RASPHERRY DOUBLE CHOCO</t>
  </si>
  <si>
    <t xml:space="preserve">AVAPORATED MILK F&amp;N </t>
  </si>
  <si>
    <t>CAN/</t>
  </si>
  <si>
    <t xml:space="preserve">DRY INGREDIENTS </t>
  </si>
  <si>
    <t>PKT/</t>
  </si>
  <si>
    <t xml:space="preserve">TUNA AYAM BRAND </t>
  </si>
  <si>
    <t xml:space="preserve">CAN </t>
  </si>
  <si>
    <t>CAN</t>
  </si>
  <si>
    <t xml:space="preserve">TABASCO SAUCE </t>
  </si>
  <si>
    <t>BTL/</t>
  </si>
  <si>
    <t>TRY</t>
  </si>
  <si>
    <t xml:space="preserve">FRUITS &amp; VAGETABLES </t>
  </si>
  <si>
    <t xml:space="preserve">PARSLEY </t>
  </si>
  <si>
    <t>KG/GM</t>
  </si>
  <si>
    <t xml:space="preserve">TOMATO WHOLE </t>
  </si>
  <si>
    <t xml:space="preserve">MUSHROOM OYSTER FRESH </t>
  </si>
  <si>
    <t>PKT/500GM</t>
  </si>
  <si>
    <t xml:space="preserve">RED ONION </t>
  </si>
  <si>
    <t xml:space="preserve">GARLIC WHOLE </t>
  </si>
  <si>
    <t xml:space="preserve">ORNAGE </t>
  </si>
  <si>
    <t>NOS</t>
  </si>
  <si>
    <t xml:space="preserve">NOS </t>
  </si>
  <si>
    <t xml:space="preserve">COCONUT POWDER </t>
  </si>
  <si>
    <t>CHILLU FLAKES</t>
  </si>
  <si>
    <t xml:space="preserve">CHILLI SAUCE </t>
  </si>
  <si>
    <t xml:space="preserve">MINT LEAF </t>
  </si>
  <si>
    <t xml:space="preserve">CHICKEN HAM SLCED </t>
  </si>
  <si>
    <t>PKT/800GM</t>
  </si>
  <si>
    <t>MEAT PRODUCTS</t>
  </si>
  <si>
    <t xml:space="preserve">BAKE WITH YEN </t>
  </si>
  <si>
    <t xml:space="preserve">Pesto Sauce </t>
  </si>
  <si>
    <t xml:space="preserve">Parmesan cheese </t>
  </si>
  <si>
    <t>Basil Leaf</t>
  </si>
  <si>
    <t xml:space="preserve">Foccacia Bread </t>
  </si>
  <si>
    <t xml:space="preserve">Falcon Greens - White Coffee Hot  Mocha </t>
  </si>
  <si>
    <t>Double Espresso</t>
  </si>
  <si>
    <t>Mint Leaf</t>
  </si>
  <si>
    <t xml:space="preserve">Sugar Syrup </t>
  </si>
  <si>
    <t>Soda Water</t>
  </si>
  <si>
    <t>Gm</t>
  </si>
  <si>
    <t>Avoporated Milk</t>
  </si>
  <si>
    <t xml:space="preserve">Cold Brew </t>
  </si>
  <si>
    <t>Sweet patato Powder</t>
  </si>
  <si>
    <t xml:space="preserve">Soursop </t>
  </si>
  <si>
    <t>Matcha Powder</t>
  </si>
  <si>
    <t xml:space="preserve">Peach Pure </t>
  </si>
  <si>
    <t>Sugar syrup</t>
  </si>
  <si>
    <t>Mixedberry Pure</t>
  </si>
  <si>
    <t>Tamto Pest</t>
  </si>
  <si>
    <t>Tomato Pest</t>
  </si>
  <si>
    <t>Tomato</t>
  </si>
  <si>
    <t xml:space="preserve">SCRAMBLE EGGS HAM ON TOAST </t>
  </si>
  <si>
    <t>16 oz Plastic Pet cup</t>
  </si>
  <si>
    <t>16 oz Plastic Pet lids Flate Lids</t>
  </si>
  <si>
    <t>Brioche Bread</t>
  </si>
  <si>
    <t xml:space="preserve">Butter </t>
  </si>
  <si>
    <t xml:space="preserve">Orange Juice </t>
  </si>
  <si>
    <t>Falcon Greens - Thunder espresso</t>
  </si>
  <si>
    <t xml:space="preserve">Fettacini Pasta </t>
  </si>
  <si>
    <t xml:space="preserve">Pancake Syrup </t>
  </si>
  <si>
    <t xml:space="preserve">btl/1 L </t>
  </si>
  <si>
    <t xml:space="preserve">Greek Yoghurt </t>
  </si>
  <si>
    <t>Lipton Tea</t>
  </si>
  <si>
    <t>Supermarket</t>
  </si>
  <si>
    <t>Box</t>
  </si>
  <si>
    <t xml:space="preserve">Purple Lady </t>
  </si>
  <si>
    <t xml:space="preserve">Pkt </t>
  </si>
  <si>
    <t xml:space="preserve">Kimidori Matcha </t>
  </si>
  <si>
    <t>HOJICHAYA</t>
  </si>
  <si>
    <t>Hot Cup 12Oz</t>
  </si>
  <si>
    <t>Hot Cup 8Oz</t>
  </si>
  <si>
    <t>16Oz Ice Cup</t>
  </si>
  <si>
    <t>12Oz Ice Cup</t>
  </si>
  <si>
    <t xml:space="preserve">Paper Straw </t>
  </si>
  <si>
    <t xml:space="preserve">Ctn </t>
  </si>
  <si>
    <t xml:space="preserve">Falcon Greens - White Coffee Hot Without Flavor 8oz </t>
  </si>
  <si>
    <t>Falcon Greens - White Coffee Hot Without Flavor 120z</t>
  </si>
  <si>
    <t>Falcon Greens - White Coffee Hot Without Flavor 160z</t>
  </si>
  <si>
    <t>12Oz</t>
  </si>
  <si>
    <t>16Oz</t>
  </si>
  <si>
    <t xml:space="preserve">8oz Hot Cup </t>
  </si>
  <si>
    <t xml:space="preserve">8oz hot Cup Lids </t>
  </si>
  <si>
    <t xml:space="preserve">16oz Hot Cup </t>
  </si>
  <si>
    <t xml:space="preserve">16oz hot Cup Lids </t>
  </si>
  <si>
    <t>Falcon Greens - White Coffee With Flavor</t>
  </si>
  <si>
    <t xml:space="preserve">Falcon Greens - Chai Tarek </t>
  </si>
  <si>
    <t xml:space="preserve">KIMIDORI MATCHA </t>
  </si>
  <si>
    <t>8Oz Hot Cup Lids</t>
  </si>
  <si>
    <t>12ozHot Cup Lids</t>
  </si>
  <si>
    <t>16oz Hot Cup 16Oz</t>
  </si>
  <si>
    <t xml:space="preserve">Pla Sipper hot Cup Lids 12oz/16oz white </t>
  </si>
  <si>
    <t xml:space="preserve">12oz ICED  Cup </t>
  </si>
  <si>
    <t xml:space="preserve">12oz ICED Cup Lids </t>
  </si>
  <si>
    <t xml:space="preserve">16oz ICED  Cup </t>
  </si>
  <si>
    <t xml:space="preserve">16oz ICED Cup Lids </t>
  </si>
  <si>
    <t xml:space="preserve">12oz ICED Cup </t>
  </si>
  <si>
    <t xml:space="preserve">16oz ICED Cup </t>
  </si>
  <si>
    <t xml:space="preserve">Falcon Greens - White Coffee  Mocha </t>
  </si>
  <si>
    <t xml:space="preserve">ICED  Chocolate </t>
  </si>
  <si>
    <t xml:space="preserve">ICED Chocolate </t>
  </si>
  <si>
    <t xml:space="preserve">Sweet Patotoes Powder </t>
  </si>
  <si>
    <t xml:space="preserve">ONLINE </t>
  </si>
  <si>
    <t xml:space="preserve">Sweet Patato powder </t>
  </si>
  <si>
    <t>Single  Espresso</t>
  </si>
  <si>
    <t>Single Espresso</t>
  </si>
  <si>
    <t xml:space="preserve">Falcon Greens - Long Black </t>
  </si>
  <si>
    <t xml:space="preserve">12z hot Cup Lids </t>
  </si>
  <si>
    <t>UGS</t>
  </si>
  <si>
    <t xml:space="preserve">16OZ Tall Double Wall Paper Cup White </t>
  </si>
  <si>
    <t xml:space="preserve">12oz ICED Lids </t>
  </si>
  <si>
    <t>Falcon Greens - Cold Brew</t>
  </si>
  <si>
    <t>Pcs</t>
  </si>
  <si>
    <t xml:space="preserve">16oz ICED Lids </t>
  </si>
  <si>
    <t>Falcon Greens - Thunder espresso OJ</t>
  </si>
  <si>
    <t>PANDAN LATTE</t>
  </si>
  <si>
    <t>Pandan Syrup</t>
  </si>
  <si>
    <t xml:space="preserve">Coffee </t>
  </si>
  <si>
    <t>Milk</t>
  </si>
  <si>
    <t>SPARKLING LEMON YUZU COFFEE</t>
  </si>
  <si>
    <t>Double Ris</t>
  </si>
  <si>
    <t>Lemon Yuzu</t>
  </si>
  <si>
    <t xml:space="preserve">8oz Hot Lids </t>
  </si>
  <si>
    <t xml:space="preserve">12oz Hot Lids </t>
  </si>
  <si>
    <t xml:space="preserve">16oz Hot Lids </t>
  </si>
  <si>
    <t xml:space="preserve">Cremy Pesto Chicken Pasta </t>
  </si>
  <si>
    <t>Ctn/ 1L</t>
  </si>
  <si>
    <t xml:space="preserve">Raft central Kitchen </t>
  </si>
  <si>
    <t xml:space="preserve">French Pasta Rigatoni Beetroot </t>
  </si>
  <si>
    <t>Kg</t>
  </si>
  <si>
    <t xml:space="preserve">French Pasta Fusili Original </t>
  </si>
  <si>
    <t xml:space="preserve">French Pasta-Fetacine Original </t>
  </si>
  <si>
    <t xml:space="preserve">French Pasta-Fetacine Beetroot </t>
  </si>
  <si>
    <t xml:space="preserve">French Pasta- Fusili- Original </t>
  </si>
  <si>
    <t xml:space="preserve">French Pasta- Fusili </t>
  </si>
  <si>
    <t xml:space="preserve">Egg Yolk </t>
  </si>
  <si>
    <t xml:space="preserve">French Pasta Fusili Beetroot </t>
  </si>
  <si>
    <t>Grilled Chicken</t>
  </si>
  <si>
    <t>Whipping Cream</t>
  </si>
  <si>
    <t xml:space="preserve">Grilled Tomato </t>
  </si>
  <si>
    <t xml:space="preserve">Oregano Powder </t>
  </si>
  <si>
    <t xml:space="preserve">Ham &amp; Mushroom Carbonara </t>
  </si>
  <si>
    <t xml:space="preserve">October 2025  Special Menu </t>
  </si>
  <si>
    <t>Gesha 8oz</t>
  </si>
  <si>
    <t xml:space="preserve">Ham </t>
  </si>
  <si>
    <t xml:space="preserve">Tomato Sace </t>
  </si>
  <si>
    <t xml:space="preserve">French Fresh Pasta- Fettucine </t>
  </si>
  <si>
    <t>Fresh Tomato</t>
  </si>
  <si>
    <t xml:space="preserve">Brown Sugar </t>
  </si>
  <si>
    <t xml:space="preserve">Oregano </t>
  </si>
  <si>
    <t xml:space="preserve">Hot Water </t>
  </si>
  <si>
    <t>L</t>
  </si>
  <si>
    <t xml:space="preserve">Slice of Bread </t>
  </si>
  <si>
    <t xml:space="preserve">Tomato Pesto Pasta </t>
  </si>
  <si>
    <t xml:space="preserve">Creamy Grilled Chicken Fillet </t>
  </si>
  <si>
    <t>BOX</t>
  </si>
  <si>
    <t xml:space="preserve">BOA BLACK TEA </t>
  </si>
  <si>
    <t xml:space="preserve">Asam Boi </t>
  </si>
  <si>
    <t xml:space="preserve">ElderFlower </t>
  </si>
  <si>
    <t xml:space="preserve">Black Tea </t>
  </si>
  <si>
    <t>House Syrup</t>
  </si>
  <si>
    <t>12 Oz ice Cup</t>
  </si>
  <si>
    <t xml:space="preserve">Ice Lids </t>
  </si>
  <si>
    <t xml:space="preserve">COCO ICEBREW </t>
  </si>
  <si>
    <t>Coconut Syrup</t>
  </si>
  <si>
    <t xml:space="preserve">EDFLOWER ICE TEA </t>
  </si>
  <si>
    <t xml:space="preserve">LEMONGRASS ICE TEA </t>
  </si>
  <si>
    <t>Lemon Grass Syrup</t>
  </si>
  <si>
    <t xml:space="preserve">Black Tea ( 90 ml ) </t>
  </si>
  <si>
    <t>Asam Boi</t>
  </si>
  <si>
    <t>AQUA BOI</t>
  </si>
  <si>
    <t>Sweet &amp; Sour Syrup</t>
  </si>
  <si>
    <t xml:space="preserve">Grenadine Blue </t>
  </si>
  <si>
    <t xml:space="preserve">RUBY REFRESHER </t>
  </si>
  <si>
    <t xml:space="preserve">Cosmopolitan </t>
  </si>
  <si>
    <t xml:space="preserve">House Syrup </t>
  </si>
  <si>
    <t xml:space="preserve">Red Colour </t>
  </si>
  <si>
    <t>COCNUT SYRUP</t>
  </si>
  <si>
    <t>SWEET &amp; SOUR SYRUP</t>
  </si>
  <si>
    <t>BLUE GRENADINE SYRUP</t>
  </si>
  <si>
    <t>ELDER FLOWER SYRUP</t>
  </si>
  <si>
    <t>LEMON GRASS SYRUP</t>
  </si>
  <si>
    <t>COSMOPOLITAN SYRUP</t>
  </si>
  <si>
    <t>Min Pax</t>
  </si>
  <si>
    <t>Expected Pax</t>
  </si>
  <si>
    <t>Max Pax</t>
  </si>
  <si>
    <t>Average Profit (less 20%);</t>
  </si>
  <si>
    <t>Total Hous:</t>
  </si>
  <si>
    <t xml:space="preserve">Oat Milk </t>
  </si>
  <si>
    <t>Cashew Nut</t>
  </si>
  <si>
    <t xml:space="preserve">Staranis </t>
  </si>
  <si>
    <t xml:space="preserve">Cinamon </t>
  </si>
  <si>
    <t xml:space="preserve">Maple Syrup </t>
  </si>
  <si>
    <t xml:space="preserve">Eggnog Batch </t>
  </si>
  <si>
    <t>Cost Per gm /ml</t>
  </si>
  <si>
    <t xml:space="preserve">Coconut Cream </t>
  </si>
  <si>
    <t xml:space="preserve">Milk </t>
  </si>
  <si>
    <t>Vegan Eggnog</t>
  </si>
  <si>
    <t xml:space="preserve">Mixed Eggnog </t>
  </si>
  <si>
    <t>AngelFrost</t>
  </si>
  <si>
    <t>Indonesia Robusta</t>
  </si>
  <si>
    <t>Flacon Greens</t>
  </si>
  <si>
    <t>Rwanda</t>
  </si>
  <si>
    <t>Ethiopia</t>
  </si>
  <si>
    <t>Blend %</t>
  </si>
  <si>
    <t>BLEND PRICE</t>
  </si>
  <si>
    <t xml:space="preserve"> 8oz</t>
  </si>
  <si>
    <t>KG price</t>
  </si>
  <si>
    <t xml:space="preserve">8oz Double wall Paper Cup white </t>
  </si>
  <si>
    <t xml:space="preserve">12oz Double wall Paper cup White </t>
  </si>
  <si>
    <t xml:space="preserve">12oz 95mm Cleare ICED cup </t>
  </si>
  <si>
    <t xml:space="preserve">Paper Straw White wrapped </t>
  </si>
  <si>
    <t>12oz/16oz ICED lids</t>
  </si>
  <si>
    <t xml:space="preserve"> </t>
  </si>
  <si>
    <t>Brown Sugar</t>
  </si>
  <si>
    <t>Cocoa Powder</t>
  </si>
  <si>
    <t>Almond Meal</t>
  </si>
  <si>
    <t>Dark Chocolate Buttons</t>
  </si>
  <si>
    <t>Hazelnuts (or Walnuts)</t>
  </si>
  <si>
    <t>Unsalted Butter (melted)</t>
  </si>
  <si>
    <t>Eggs</t>
  </si>
  <si>
    <t>House Of Ingredients</t>
  </si>
  <si>
    <t>each</t>
  </si>
  <si>
    <t>Desiccated Coconut</t>
  </si>
  <si>
    <t>Cranberries</t>
  </si>
  <si>
    <t>COST</t>
  </si>
  <si>
    <t>Batch Cost:</t>
  </si>
  <si>
    <t>Baking Powder</t>
  </si>
  <si>
    <t>Dried Cranberries</t>
  </si>
  <si>
    <t>Yield</t>
  </si>
  <si>
    <t>Sell Price</t>
  </si>
  <si>
    <t>Batch Profit</t>
  </si>
  <si>
    <t>COGS</t>
  </si>
  <si>
    <t>Corn Starch</t>
  </si>
  <si>
    <t>Exclusivitea</t>
  </si>
  <si>
    <t xml:space="preserve">Camomile Tea </t>
  </si>
  <si>
    <t xml:space="preserve">English B tea </t>
  </si>
  <si>
    <t xml:space="preserve">Earl Gray Tea </t>
  </si>
  <si>
    <t>box</t>
  </si>
  <si>
    <t xml:space="preserve">Tea </t>
  </si>
  <si>
    <t>Tea 80z</t>
  </si>
  <si>
    <t>Tea 12oz</t>
  </si>
  <si>
    <t>Tea 16oz</t>
  </si>
  <si>
    <t>Chai Latte 8oz</t>
  </si>
  <si>
    <t>Chai Latte 12oz</t>
  </si>
  <si>
    <t>Chai Latte 16oz</t>
  </si>
  <si>
    <t>Rice Bran Olive Oil</t>
  </si>
  <si>
    <t>Rice Bran Oil</t>
  </si>
  <si>
    <t>Egg Yolks</t>
  </si>
  <si>
    <t>Salt</t>
  </si>
  <si>
    <t>Espresso Shot</t>
  </si>
  <si>
    <t xml:space="preserve">Streamer </t>
  </si>
  <si>
    <t>Syrup ( Vanilla, caremal )</t>
  </si>
  <si>
    <t>Cake Wheat Flour | Eureka Mills</t>
  </si>
  <si>
    <t xml:space="preserve">12oz ICED  Lids </t>
  </si>
  <si>
    <t xml:space="preserve">16oz ICED  Lids </t>
  </si>
  <si>
    <t>Freeze Dried Strawberries</t>
  </si>
  <si>
    <t>Vanilla Extract (70g bottle)</t>
  </si>
  <si>
    <t>Castor Sugar</t>
  </si>
  <si>
    <t>Caramel Crunch Topping 700g</t>
  </si>
  <si>
    <t>Icing Sugar</t>
  </si>
  <si>
    <t>12oz</t>
  </si>
  <si>
    <t>16oz</t>
  </si>
  <si>
    <t>Thunder HOUSE Blend</t>
  </si>
  <si>
    <t>Thunder MAGIC Blend</t>
  </si>
  <si>
    <t>8oz</t>
  </si>
  <si>
    <t>GF Dark Choc Walnut Brownie (fudge)</t>
  </si>
  <si>
    <t>Belgium Brownie (chewy) no AF</t>
  </si>
  <si>
    <t>1.5 X Belgium Brownie (chewy) no AF</t>
  </si>
  <si>
    <t>Tatura Cream Cheese 500g</t>
  </si>
  <si>
    <t>Corn Starch (Korea)</t>
  </si>
  <si>
    <t>tall size: for flavoured premium MYR8-12 each</t>
  </si>
  <si>
    <t>thin: unflavoured budget MYR3-4 each</t>
  </si>
  <si>
    <t>LITRE</t>
  </si>
  <si>
    <t>6oz Heavy Duty Single Wall Paper cup</t>
  </si>
  <si>
    <t xml:space="preserve">6oz Hot Cup </t>
  </si>
  <si>
    <t>6oz</t>
  </si>
  <si>
    <t>Salted Caramel Brownie (chewy)</t>
  </si>
  <si>
    <t>Thunder: thin | MYR5-10 each</t>
  </si>
  <si>
    <t>1 COMBINE;</t>
  </si>
  <si>
    <t>2 BEAT (2-3 mins);</t>
  </si>
  <si>
    <t>3 SIFT, THEN COMBINE ALL;</t>
  </si>
  <si>
    <t>4 TRAY, THEN TOP WITH;</t>
  </si>
  <si>
    <t>5 BAKE</t>
  </si>
  <si>
    <t>6 SLICE</t>
  </si>
  <si>
    <t>7 GARNISH;</t>
  </si>
  <si>
    <t>Salted Caramel Sauce</t>
  </si>
  <si>
    <t>Caramel Crunch</t>
  </si>
  <si>
    <t>Salt Flakes</t>
  </si>
  <si>
    <t>3 SIFT;</t>
  </si>
  <si>
    <t>4 COMBINE ALL PLUS:</t>
  </si>
  <si>
    <t>COVETURE White Chocolate Buttons</t>
  </si>
  <si>
    <t>COVETURE Dark Chocolate Buttons</t>
  </si>
  <si>
    <t>COMPOUND Milk Choc</t>
  </si>
  <si>
    <t>COMPOUND white choc</t>
  </si>
  <si>
    <t>COMPOUND signature dark choc</t>
  </si>
  <si>
    <t>HIGH FAT Cocoa Powder</t>
  </si>
  <si>
    <t>Cocoa Powder (regular)</t>
  </si>
  <si>
    <t>White Chocolate Buttons (compound)</t>
  </si>
  <si>
    <t>OG recipe</t>
  </si>
  <si>
    <t>Dark Chocolate Buttons (compound)</t>
  </si>
  <si>
    <t>Thunder: thin / unflavoured | MYR2-4 each - too thick / cement like</t>
  </si>
  <si>
    <t>Walnuts</t>
  </si>
  <si>
    <t>Dark Choc Walnut Brownie (crispy top / chewy guey)</t>
  </si>
  <si>
    <t>THUNDER: tall size / MYR5+</t>
  </si>
  <si>
    <t>COFFYZ: tall size / MYR10-12 each</t>
  </si>
  <si>
    <t>Berry White Choc Brownie (crispy top / chewy guey)</t>
  </si>
  <si>
    <t>Freeze Dried Strawberry</t>
  </si>
  <si>
    <t>Pandan Kaya</t>
  </si>
  <si>
    <t>Marshmallow (mini)</t>
  </si>
  <si>
    <t>Japan Low Protien Flour</t>
  </si>
  <si>
    <t>Cookies Flour</t>
  </si>
  <si>
    <t>Peanut Spread</t>
  </si>
  <si>
    <t>Pleated Cup (5x8cm) - Dark Brown 200PCS</t>
  </si>
  <si>
    <t>SR Flour</t>
  </si>
  <si>
    <t>Self Raising Flour</t>
  </si>
  <si>
    <t>2 ADD;</t>
  </si>
  <si>
    <t>3 CREATE WET MIX;</t>
  </si>
  <si>
    <t>1 CREATE DRY MIX: SIFT;</t>
  </si>
  <si>
    <t>4 ADD FLAVOUR;</t>
  </si>
  <si>
    <t>Banana</t>
  </si>
  <si>
    <t>Milk Chocolate Buttons (compound)</t>
  </si>
  <si>
    <t>4 COMBINE (fold, careful not to activate gluten)</t>
  </si>
  <si>
    <t>5 TRAY (using 2 spoons with a "pluck" and "place" method)</t>
  </si>
  <si>
    <t>6 BAKE (regular size: 24 mins / mini size: 15 mins)</t>
  </si>
  <si>
    <t>7 GARNISH</t>
  </si>
  <si>
    <t>Yield:</t>
  </si>
  <si>
    <t>Unit Profit</t>
  </si>
  <si>
    <t>Unit Cost:</t>
  </si>
  <si>
    <t>Cinnamon</t>
  </si>
  <si>
    <t>Tripple Choc Muffin</t>
  </si>
  <si>
    <t>Cocao Powder</t>
  </si>
  <si>
    <t>Dark Chcolate Buttons (compound)</t>
  </si>
  <si>
    <t>BIG</t>
  </si>
  <si>
    <t>MINI</t>
  </si>
  <si>
    <t>Bite Size</t>
  </si>
  <si>
    <t>Blackberries (frozen 500g)</t>
  </si>
  <si>
    <t>Blueberries (frozen 500g)</t>
  </si>
  <si>
    <t>Raw Sugar</t>
  </si>
  <si>
    <t>Banana Cinnamon Muffin</t>
  </si>
  <si>
    <t>Blueberry (frozen)</t>
  </si>
  <si>
    <t>Rocky Road</t>
  </si>
  <si>
    <t>1 MELT;</t>
  </si>
  <si>
    <t>2 EVENLY PLACE INGREDIENTS IN TRAY;</t>
  </si>
  <si>
    <t>Cashew</t>
  </si>
  <si>
    <t>Marshamallow</t>
  </si>
  <si>
    <t>Shopee</t>
  </si>
  <si>
    <t>Red Jubes</t>
  </si>
  <si>
    <t>3 POUR CHOCOLATE (careful not to move the ingredients around)</t>
  </si>
  <si>
    <t>4 GARNISH;</t>
  </si>
  <si>
    <t>Friand</t>
  </si>
  <si>
    <t>GF SF Flour</t>
  </si>
  <si>
    <t>GF SR Flour</t>
  </si>
  <si>
    <t>4 Egg Whites</t>
  </si>
  <si>
    <t>Unsalted Butter</t>
  </si>
  <si>
    <t>4 COMBINE WET &amp; DRY MIXES (fold)</t>
  </si>
  <si>
    <t>6 BAKE (22 mins @ 160)</t>
  </si>
  <si>
    <t>5 TRAY UP 10 FRIANDS</t>
  </si>
  <si>
    <t>Cardamom</t>
  </si>
  <si>
    <t>Flour</t>
  </si>
  <si>
    <t>Orange Zest</t>
  </si>
  <si>
    <t>Orange Juice</t>
  </si>
  <si>
    <t>Orange Cookie</t>
  </si>
  <si>
    <t>Salted Egg Cookie</t>
  </si>
  <si>
    <t>Salted Egg Yolks</t>
  </si>
  <si>
    <t>Cream</t>
  </si>
  <si>
    <t>Lemon Zest</t>
  </si>
  <si>
    <t xml:space="preserve">Modern Store </t>
  </si>
  <si>
    <t xml:space="preserve">Cardamom </t>
  </si>
  <si>
    <t>Glove</t>
  </si>
  <si>
    <t xml:space="preserve">BOH Tea </t>
  </si>
  <si>
    <t xml:space="preserve">Kg </t>
  </si>
  <si>
    <t xml:space="preserve">Traditional Chai </t>
  </si>
  <si>
    <t>BOH Tea</t>
  </si>
  <si>
    <t xml:space="preserve">Gm </t>
  </si>
  <si>
    <t xml:space="preserve">6oz Take Away Paper Cups </t>
  </si>
  <si>
    <t>Almond Flake</t>
  </si>
  <si>
    <t>Sultana (Iran)</t>
  </si>
  <si>
    <t>Black Currants</t>
  </si>
  <si>
    <t>Rolled Oats</t>
  </si>
  <si>
    <t>Slivered Almonds</t>
  </si>
  <si>
    <t>Cashew Split (Sri Lanka)</t>
  </si>
  <si>
    <t>Dried Apricot</t>
  </si>
  <si>
    <t xml:space="preserve"> Dark Chocolate, Blueberry &amp; Coconut Muffin</t>
  </si>
  <si>
    <t>Banana, Cinnamon, Dark Chocolate</t>
  </si>
  <si>
    <t xml:space="preserve">Young Ginger </t>
  </si>
  <si>
    <t xml:space="preserve">Gloves </t>
  </si>
  <si>
    <t>Berry (frozen)</t>
  </si>
  <si>
    <t>Berry Muffin</t>
  </si>
  <si>
    <t>Banana Muffin</t>
  </si>
  <si>
    <t>Chocolate Buttons (compound)</t>
  </si>
  <si>
    <t>Blackberry</t>
  </si>
  <si>
    <t>TMC</t>
  </si>
  <si>
    <t>Thyme</t>
  </si>
  <si>
    <t>GM</t>
  </si>
  <si>
    <t>Thyme Leaf</t>
  </si>
  <si>
    <t xml:space="preserve">Black Papper fine </t>
  </si>
  <si>
    <t xml:space="preserve">Per Serving </t>
  </si>
  <si>
    <t>Pumpkin Soup</t>
  </si>
  <si>
    <t xml:space="preserve">Serving Per Portion </t>
  </si>
  <si>
    <t xml:space="preserve">FINAL - </t>
  </si>
  <si>
    <t>RECIPE CARD - COOKING</t>
  </si>
  <si>
    <t>MLS</t>
  </si>
  <si>
    <t>GRAMS</t>
  </si>
  <si>
    <t>pinch</t>
  </si>
  <si>
    <t>EACH</t>
  </si>
  <si>
    <t>YIELD:</t>
  </si>
  <si>
    <t>24 brownies</t>
  </si>
  <si>
    <t>PRICE:</t>
  </si>
  <si>
    <t>COMBO (with any drink):</t>
  </si>
  <si>
    <t>Walnut Salted Dark Chocolate</t>
  </si>
  <si>
    <t>20 brownies</t>
  </si>
  <si>
    <t>Salted Dark Choc Walnut Brownie</t>
  </si>
  <si>
    <t>FINAL - RECIPE</t>
  </si>
  <si>
    <t>1. COMBINE;</t>
  </si>
  <si>
    <t>2. BEAT (2-3 mins);</t>
  </si>
  <si>
    <t>3. SIFT;</t>
  </si>
  <si>
    <t>4. COMBINE ALL PLUS:</t>
  </si>
  <si>
    <t>MILK Chocolate Buttons (compound)</t>
  </si>
  <si>
    <t>DARK Chocolate Buttons (compound)</t>
  </si>
  <si>
    <t>5. BAKE: 160° for 34 mins (rotate @ half time)</t>
  </si>
  <si>
    <t>6. COOL THE TRAY BENCH (1 hour)</t>
  </si>
  <si>
    <t>7. COVER W CLING WRAP AND FREEZE (whole tray)</t>
  </si>
  <si>
    <t>8. CUT (frozen brownie) INTO 24 PIECES / DUST WITH ICING SUGAR</t>
  </si>
  <si>
    <t>2. BEAT the following for 3+ mins;</t>
  </si>
  <si>
    <t>3. SIFT the following;</t>
  </si>
  <si>
    <t>5. POUR BATTER into a tray lined with baking paper;</t>
  </si>
  <si>
    <t>1. COMBINE the following;</t>
  </si>
  <si>
    <t>4. COMBINE everything together and ADD the following;</t>
  </si>
  <si>
    <t>6. GARNISH with 10 grams choc &amp; 10 grams walnut</t>
  </si>
  <si>
    <t>8. COOL the whole tray on the bench (1+ hour)</t>
  </si>
  <si>
    <t>9. FREEZE the whole tray (cover with cling wrap first)</t>
  </si>
  <si>
    <t>10. CUT and DUST with icing sugar</t>
  </si>
  <si>
    <t>Belgium Brownie</t>
  </si>
  <si>
    <t>6. GARNISH with 10 grams choc buttons</t>
  </si>
  <si>
    <t>7. BAKE: 160° for 34 mins (rotate @ half time)</t>
  </si>
  <si>
    <t>7. BAKE: 160° for 60 mins (rotate &amp; cover with foil @ half time)</t>
  </si>
  <si>
    <t>Mushroom Soup</t>
  </si>
  <si>
    <t>Button Mushroom</t>
  </si>
  <si>
    <t xml:space="preserve">Self Flour </t>
  </si>
  <si>
    <t>Thyme leaf</t>
  </si>
  <si>
    <t>Button mushroom</t>
  </si>
  <si>
    <t xml:space="preserve">Self Raisin Flour </t>
  </si>
  <si>
    <t xml:space="preserve">Mushroom Oyester </t>
  </si>
  <si>
    <t>Sunflower oil</t>
  </si>
  <si>
    <t>Black Papper</t>
  </si>
  <si>
    <t>Dried Oregano</t>
  </si>
  <si>
    <t>pkt/500</t>
  </si>
  <si>
    <t>Mushroom Frittata</t>
  </si>
  <si>
    <t>Salmon Frittata</t>
  </si>
  <si>
    <t xml:space="preserve">Smoke Salmon </t>
  </si>
  <si>
    <t>Smoke Salmon</t>
  </si>
  <si>
    <t>Salmon Omelette</t>
  </si>
  <si>
    <t>COMBO PRICE:</t>
  </si>
  <si>
    <t xml:space="preserve">GF White Chocolate Cranberry Brownie </t>
  </si>
  <si>
    <t>THUNDER</t>
  </si>
  <si>
    <t>COFFYZ</t>
  </si>
  <si>
    <t>Min Home Stock</t>
  </si>
  <si>
    <t>Monday Thunder Stock</t>
  </si>
  <si>
    <t>Order Amount</t>
  </si>
  <si>
    <t>500 gram</t>
  </si>
  <si>
    <t>200 gram</t>
  </si>
  <si>
    <t>1kg</t>
  </si>
  <si>
    <t>3kg</t>
  </si>
  <si>
    <t>6kg</t>
  </si>
  <si>
    <t>12kg</t>
  </si>
  <si>
    <t>2kg</t>
  </si>
  <si>
    <t>half bottle</t>
  </si>
  <si>
    <t>1 bottle</t>
  </si>
  <si>
    <t>1 sleeve</t>
  </si>
  <si>
    <t>6 sleeve</t>
  </si>
  <si>
    <t>4kg</t>
  </si>
  <si>
    <t>10kg</t>
  </si>
  <si>
    <t>slice</t>
  </si>
  <si>
    <t>Chicken Ham Frittata</t>
  </si>
  <si>
    <t>Overnight Oats</t>
  </si>
  <si>
    <t>Home Made Muesli</t>
  </si>
  <si>
    <t>Shredded Coconut</t>
  </si>
  <si>
    <t>Sesame Seeds</t>
  </si>
  <si>
    <t>Cashews</t>
  </si>
  <si>
    <t>Dried Cranberry</t>
  </si>
  <si>
    <t>grams</t>
  </si>
  <si>
    <t>Cacao &amp; Coconut Granola</t>
  </si>
  <si>
    <t>Home Made Apricot Muesli</t>
  </si>
  <si>
    <t>Eggs on Toast</t>
  </si>
  <si>
    <t>Sourdough</t>
  </si>
  <si>
    <t>House Made Granola</t>
  </si>
  <si>
    <t>Mixed Berry Jam</t>
  </si>
  <si>
    <t>Coconut &amp; Cacao Granola</t>
  </si>
  <si>
    <t>Butter Portion</t>
  </si>
  <si>
    <t>Cheesy Omlete</t>
  </si>
  <si>
    <t>Egg Mix</t>
  </si>
  <si>
    <t>Egg Mix (Fritatta / Scrambled Eggs)</t>
  </si>
  <si>
    <t>mls</t>
  </si>
  <si>
    <t>Toast</t>
  </si>
  <si>
    <t>portion</t>
  </si>
  <si>
    <t>500g</t>
  </si>
  <si>
    <t>Lotus</t>
  </si>
  <si>
    <t>LTR</t>
  </si>
  <si>
    <t>Raw Sugar (granulated brown)</t>
  </si>
  <si>
    <t>Mighty White Long Sandwich Bread 550g</t>
  </si>
  <si>
    <t>Loaf</t>
  </si>
  <si>
    <t>White Bread</t>
  </si>
  <si>
    <t>Cheese</t>
  </si>
  <si>
    <t>Pesto</t>
  </si>
  <si>
    <t>Grated Cheese</t>
  </si>
  <si>
    <t>Palm Oil</t>
  </si>
  <si>
    <t>Cheese Toastie (white)</t>
  </si>
  <si>
    <t xml:space="preserve"> Tomato/Cheese Toastie (white)</t>
  </si>
  <si>
    <t>Ham/Cheese/Tomato Toastie (white)</t>
  </si>
  <si>
    <t>Brekky Wrap</t>
  </si>
  <si>
    <t>Tortila</t>
  </si>
  <si>
    <t>Scrambled Egg</t>
  </si>
  <si>
    <t>Scrambled Eggs (Brekky Wrap)</t>
  </si>
  <si>
    <t>Red Onion</t>
  </si>
  <si>
    <t>Lettuce</t>
  </si>
  <si>
    <t>Chilli Mayo</t>
  </si>
  <si>
    <t>Packaging</t>
  </si>
  <si>
    <t>gram</t>
  </si>
  <si>
    <t xml:space="preserve"> Ham/Cheese Toastie (white)</t>
  </si>
  <si>
    <t>Green Eggs &amp; Ham Grilled Sandwich</t>
  </si>
  <si>
    <t>Chia Seeds</t>
  </si>
  <si>
    <t>Greek Yogurt</t>
  </si>
  <si>
    <t>Overnight Oats - ELVIS</t>
  </si>
  <si>
    <t>Peanut Butter</t>
  </si>
  <si>
    <t>Berry Jam</t>
  </si>
  <si>
    <t>Overnight Oats - APPLE PIE</t>
  </si>
  <si>
    <t>Cinnamon Apples</t>
  </si>
  <si>
    <t>Green Apples</t>
  </si>
  <si>
    <t>Overnight Oats - TIRAMISU</t>
  </si>
  <si>
    <t>Premade Espresso</t>
  </si>
  <si>
    <t>Vanila Syrup</t>
  </si>
  <si>
    <t>Overnight Oats - LOCO</t>
  </si>
  <si>
    <t>Coconut Milk</t>
  </si>
  <si>
    <t>Mango Puree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</si>
</sst>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M]#,##0.00"/>
    <numFmt numFmtId="165" formatCode="[$RM-43E]#,##0.00"/>
    <numFmt numFmtId="166" formatCode="_([$MYR]\ * #,##0.00_);_([$MYR]\ * \(#,##0.00\);_([$MYR]\ * &quot;-&quot;??_);_(@_)"/>
    <numFmt numFmtId="167" formatCode="_-[$RM-4409]* #,##0.00_-;\-[$RM-4409]* #,##0.00_-;_-[$RM-4409]* &quot;-&quot;??_-;_-@_-"/>
    <numFmt numFmtId="168" formatCode="0.0000000000000000%"/>
  </numFmts>
  <fonts count="28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  <scheme val="minor"/>
    </font>
    <font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b/>
      <sz val="18"/>
      <color rgb="FF000000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0"/>
      <color theme="1" tint="0.34998626667073579"/>
      <name val="Arial"/>
      <family val="2"/>
    </font>
    <font>
      <b/>
      <sz val="36"/>
      <color rgb="FF000000"/>
      <name val="Arial"/>
      <family val="2"/>
    </font>
    <font>
      <sz val="28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7"/>
      <name val="Arial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A4335"/>
        <bgColor rgb="FFEA4335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1F1DA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2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24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0" fontId="2" fillId="0" borderId="0" xfId="0" applyNumberFormat="1" applyFont="1"/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49" fontId="2" fillId="0" borderId="1" xfId="0" applyNumberFormat="1" applyFont="1" applyBorder="1"/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2" fontId="2" fillId="5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5" borderId="0" xfId="0" applyFont="1" applyFill="1"/>
    <xf numFmtId="0" fontId="2" fillId="4" borderId="0" xfId="0" applyFont="1" applyFill="1"/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3" borderId="0" xfId="0" applyFont="1" applyFill="1"/>
    <xf numFmtId="0" fontId="2" fillId="8" borderId="0" xfId="0" applyFont="1" applyFill="1"/>
    <xf numFmtId="0" fontId="2" fillId="0" borderId="7" xfId="0" applyFont="1" applyBorder="1"/>
    <xf numFmtId="0" fontId="1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9" xfId="0" applyFont="1" applyBorder="1"/>
    <xf numFmtId="164" fontId="2" fillId="4" borderId="10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10" xfId="0" applyNumberFormat="1" applyFont="1" applyBorder="1" applyAlignment="1">
      <alignment horizontal="center"/>
    </xf>
    <xf numFmtId="164" fontId="2" fillId="4" borderId="0" xfId="0" applyNumberFormat="1" applyFont="1" applyFill="1" applyAlignment="1">
      <alignment horizontal="right"/>
    </xf>
    <xf numFmtId="0" fontId="2" fillId="9" borderId="1" xfId="0" applyFont="1" applyFill="1" applyBorder="1"/>
    <xf numFmtId="164" fontId="2" fillId="10" borderId="0" xfId="0" applyNumberFormat="1" applyFont="1" applyFill="1" applyAlignment="1">
      <alignment horizontal="right"/>
    </xf>
    <xf numFmtId="0" fontId="0" fillId="0" borderId="11" xfId="0" applyBorder="1"/>
    <xf numFmtId="0" fontId="2" fillId="0" borderId="11" xfId="0" applyFont="1" applyBorder="1"/>
    <xf numFmtId="0" fontId="2" fillId="5" borderId="11" xfId="0" applyFont="1" applyFill="1" applyBorder="1"/>
    <xf numFmtId="0" fontId="2" fillId="4" borderId="11" xfId="0" applyFont="1" applyFill="1" applyBorder="1"/>
    <xf numFmtId="0" fontId="2" fillId="0" borderId="5" xfId="0" applyFont="1" applyBorder="1"/>
    <xf numFmtId="0" fontId="2" fillId="5" borderId="5" xfId="0" applyFont="1" applyFill="1" applyBorder="1"/>
    <xf numFmtId="0" fontId="2" fillId="4" borderId="5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9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center"/>
    </xf>
    <xf numFmtId="166" fontId="0" fillId="0" borderId="0" xfId="0" applyNumberFormat="1"/>
    <xf numFmtId="0" fontId="10" fillId="0" borderId="0" xfId="0" applyFont="1"/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167" fontId="11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top" wrapText="1"/>
    </xf>
    <xf numFmtId="0" fontId="12" fillId="0" borderId="16" xfId="0" applyFont="1" applyBorder="1"/>
    <xf numFmtId="0" fontId="12" fillId="0" borderId="16" xfId="0" applyFont="1" applyBorder="1" applyAlignment="1">
      <alignment horizontal="left"/>
    </xf>
    <xf numFmtId="167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167" fontId="12" fillId="0" borderId="16" xfId="0" applyNumberFormat="1" applyFont="1" applyBorder="1" applyAlignment="1">
      <alignment horizontal="center"/>
    </xf>
    <xf numFmtId="0" fontId="12" fillId="10" borderId="16" xfId="0" applyFont="1" applyFill="1" applyBorder="1" applyAlignment="1">
      <alignment horizontal="left"/>
    </xf>
    <xf numFmtId="0" fontId="12" fillId="0" borderId="0" xfId="0" applyFont="1"/>
    <xf numFmtId="0" fontId="12" fillId="0" borderId="17" xfId="0" applyFont="1" applyBorder="1"/>
    <xf numFmtId="0" fontId="12" fillId="0" borderId="17" xfId="0" applyFont="1" applyBorder="1" applyAlignment="1">
      <alignment horizontal="left"/>
    </xf>
    <xf numFmtId="0" fontId="12" fillId="10" borderId="17" xfId="0" applyFont="1" applyFill="1" applyBorder="1" applyAlignment="1">
      <alignment horizontal="left"/>
    </xf>
    <xf numFmtId="167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16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7" fontId="12" fillId="0" borderId="2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left"/>
    </xf>
    <xf numFmtId="167" fontId="12" fillId="0" borderId="0" xfId="0" applyNumberFormat="1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2" fillId="0" borderId="26" xfId="0" applyFont="1" applyBorder="1" applyAlignment="1">
      <alignment horizontal="left"/>
    </xf>
    <xf numFmtId="0" fontId="12" fillId="10" borderId="19" xfId="0" applyFont="1" applyFill="1" applyBorder="1" applyAlignment="1">
      <alignment horizontal="left"/>
    </xf>
    <xf numFmtId="167" fontId="12" fillId="0" borderId="19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wrapText="1"/>
    </xf>
    <xf numFmtId="167" fontId="12" fillId="0" borderId="1" xfId="0" applyNumberFormat="1" applyFont="1" applyBorder="1"/>
    <xf numFmtId="0" fontId="12" fillId="10" borderId="0" xfId="0" applyFont="1" applyFill="1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0" fontId="6" fillId="0" borderId="12" xfId="0" applyFont="1" applyBorder="1"/>
    <xf numFmtId="166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7" fillId="0" borderId="0" xfId="0" applyFont="1"/>
    <xf numFmtId="0" fontId="0" fillId="11" borderId="0" xfId="0" applyFill="1"/>
    <xf numFmtId="166" fontId="0" fillId="11" borderId="0" xfId="0" applyNumberFormat="1" applyFill="1"/>
    <xf numFmtId="0" fontId="6" fillId="11" borderId="0" xfId="0" applyFont="1" applyFill="1"/>
    <xf numFmtId="9" fontId="8" fillId="11" borderId="0" xfId="0" applyNumberFormat="1" applyFont="1" applyFill="1" applyAlignment="1">
      <alignment horizontal="center"/>
    </xf>
    <xf numFmtId="166" fontId="8" fillId="0" borderId="0" xfId="0" applyNumberFormat="1" applyFont="1"/>
    <xf numFmtId="10" fontId="8" fillId="11" borderId="0" xfId="0" applyNumberFormat="1" applyFont="1" applyFill="1"/>
    <xf numFmtId="10" fontId="0" fillId="0" borderId="0" xfId="0" applyNumberFormat="1"/>
    <xf numFmtId="0" fontId="19" fillId="0" borderId="0" xfId="0" applyFont="1"/>
    <xf numFmtId="166" fontId="7" fillId="0" borderId="0" xfId="0" applyNumberFormat="1" applyFont="1"/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6" fontId="16" fillId="0" borderId="0" xfId="0" applyNumberFormat="1" applyFont="1"/>
    <xf numFmtId="0" fontId="13" fillId="0" borderId="0" xfId="0" applyFont="1"/>
    <xf numFmtId="0" fontId="0" fillId="13" borderId="0" xfId="0" applyFill="1"/>
    <xf numFmtId="0" fontId="19" fillId="13" borderId="0" xfId="0" applyFont="1" applyFill="1"/>
    <xf numFmtId="0" fontId="0" fillId="14" borderId="0" xfId="0" applyFill="1"/>
    <xf numFmtId="0" fontId="15" fillId="0" borderId="0" xfId="0" applyFont="1" applyAlignment="1">
      <alignment horizontal="center"/>
    </xf>
    <xf numFmtId="168" fontId="0" fillId="0" borderId="0" xfId="0" applyNumberFormat="1"/>
    <xf numFmtId="17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17" fontId="21" fillId="0" borderId="0" xfId="0" applyNumberFormat="1" applyFont="1"/>
    <xf numFmtId="0" fontId="21" fillId="0" borderId="0" xfId="0" applyFont="1"/>
    <xf numFmtId="0" fontId="6" fillId="0" borderId="0" xfId="0" applyFont="1" applyAlignment="1">
      <alignment horizontal="right"/>
    </xf>
    <xf numFmtId="10" fontId="8" fillId="0" borderId="0" xfId="0" applyNumberFormat="1" applyFont="1"/>
    <xf numFmtId="0" fontId="6" fillId="0" borderId="0" xfId="0" applyFont="1" applyAlignment="1">
      <alignment horizontal="left" vertical="center"/>
    </xf>
    <xf numFmtId="9" fontId="0" fillId="0" borderId="0" xfId="1" applyFont="1" applyAlignment="1">
      <alignment horizontal="center"/>
    </xf>
    <xf numFmtId="0" fontId="6" fillId="1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9" fontId="6" fillId="0" borderId="0" xfId="1" applyFont="1" applyAlignment="1">
      <alignment horizontal="center"/>
    </xf>
    <xf numFmtId="0" fontId="6" fillId="14" borderId="0" xfId="0" applyFont="1" applyFill="1" applyAlignment="1">
      <alignment horizontal="right"/>
    </xf>
    <xf numFmtId="166" fontId="6" fillId="14" borderId="0" xfId="0" applyNumberFormat="1" applyFont="1" applyFill="1"/>
    <xf numFmtId="166" fontId="6" fillId="14" borderId="0" xfId="0" applyNumberFormat="1" applyFont="1" applyFill="1" applyAlignment="1">
      <alignment horizontal="center"/>
    </xf>
    <xf numFmtId="0" fontId="0" fillId="14" borderId="0" xfId="0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0" fillId="14" borderId="0" xfId="0" applyFill="1" applyAlignment="1">
      <alignment horizontal="right"/>
    </xf>
    <xf numFmtId="166" fontId="0" fillId="14" borderId="0" xfId="0" applyNumberFormat="1" applyFill="1"/>
    <xf numFmtId="166" fontId="0" fillId="14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7" fillId="0" borderId="0" xfId="0" applyNumberFormat="1" applyFont="1" applyAlignment="1">
      <alignment horizontal="center"/>
    </xf>
    <xf numFmtId="166" fontId="13" fillId="0" borderId="0" xfId="0" applyNumberFormat="1" applyFont="1"/>
    <xf numFmtId="166" fontId="25" fillId="0" borderId="0" xfId="0" applyNumberFormat="1" applyFont="1"/>
    <xf numFmtId="0" fontId="15" fillId="0" borderId="0" xfId="0" applyFont="1"/>
    <xf numFmtId="0" fontId="23" fillId="12" borderId="0" xfId="0" applyFont="1" applyFill="1"/>
    <xf numFmtId="0" fontId="24" fillId="0" borderId="0" xfId="0" applyFont="1"/>
    <xf numFmtId="0" fontId="6" fillId="16" borderId="0" xfId="0" applyFont="1" applyFill="1"/>
    <xf numFmtId="166" fontId="6" fillId="16" borderId="0" xfId="0" applyNumberFormat="1" applyFont="1" applyFill="1"/>
    <xf numFmtId="9" fontId="0" fillId="0" borderId="0" xfId="1" applyFont="1"/>
    <xf numFmtId="0" fontId="7" fillId="11" borderId="0" xfId="0" applyFont="1" applyFill="1"/>
    <xf numFmtId="166" fontId="7" fillId="0" borderId="0" xfId="0" applyNumberFormat="1" applyFont="1" applyAlignment="1">
      <alignment horizontal="right"/>
    </xf>
    <xf numFmtId="0" fontId="18" fillId="11" borderId="0" xfId="0" applyFont="1" applyFill="1" applyAlignment="1">
      <alignment horizontal="left"/>
    </xf>
    <xf numFmtId="0" fontId="17" fillId="11" borderId="0" xfId="0" applyFont="1" applyFill="1" applyAlignment="1">
      <alignment horizontal="left" vertical="top"/>
    </xf>
    <xf numFmtId="0" fontId="18" fillId="11" borderId="0" xfId="0" applyFont="1" applyFill="1"/>
    <xf numFmtId="0" fontId="15" fillId="0" borderId="0" xfId="0" applyFont="1" applyAlignment="1">
      <alignment horizontal="center" wrapText="1"/>
    </xf>
    <xf numFmtId="0" fontId="18" fillId="11" borderId="0" xfId="0" applyFont="1" applyFill="1" applyAlignment="1">
      <alignment horizontal="center"/>
    </xf>
    <xf numFmtId="0" fontId="17" fillId="11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/>
    <xf numFmtId="0" fontId="1" fillId="0" borderId="2" xfId="0" applyFont="1" applyBorder="1" applyAlignment="1">
      <alignment horizontal="center"/>
    </xf>
    <xf numFmtId="0" fontId="4" fillId="0" borderId="4" xfId="0" applyFont="1" applyBorder="1"/>
    <xf numFmtId="0" fontId="1" fillId="7" borderId="2" xfId="0" applyFont="1" applyFill="1" applyBorder="1"/>
    <xf numFmtId="0" fontId="4" fillId="0" borderId="3" xfId="0" applyFont="1" applyBorder="1"/>
    <xf numFmtId="0" fontId="1" fillId="6" borderId="5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0" borderId="2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1" fillId="0" borderId="7" xfId="0" applyFont="1" applyBorder="1" applyAlignment="1">
      <alignment horizontal="center"/>
    </xf>
    <xf numFmtId="0" fontId="18" fillId="11" borderId="0" xfId="0" applyFont="1" applyFill="1" applyAlignment="1">
      <alignment horizontal="left"/>
    </xf>
    <xf numFmtId="0" fontId="18" fillId="11" borderId="0" xfId="0" applyFont="1" applyFill="1"/>
    <xf numFmtId="0" fontId="17" fillId="11" borderId="0" xfId="0" applyFont="1" applyFill="1" applyAlignment="1">
      <alignment horizontal="left" vertical="top"/>
    </xf>
    <xf numFmtId="0" fontId="0" fillId="12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21" fillId="15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12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11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0" fillId="12" borderId="0" xfId="0" applyFill="1"/>
    <xf numFmtId="0" fontId="0" fillId="17" borderId="0" xfId="0" applyFill="1" applyAlignment="1">
      <alignment horizont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167" fontId="9" fillId="10" borderId="25" xfId="0" applyNumberFormat="1" applyFont="1" applyFill="1" applyBorder="1" applyAlignment="1">
      <alignment horizontal="center" vertical="center"/>
    </xf>
    <xf numFmtId="167" fontId="9" fillId="10" borderId="18" xfId="0" applyNumberFormat="1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167" fontId="9" fillId="10" borderId="17" xfId="0" applyNumberFormat="1" applyFont="1" applyFill="1" applyBorder="1" applyAlignment="1">
      <alignment horizontal="center" vertical="center" wrapText="1"/>
    </xf>
    <xf numFmtId="167" fontId="9" fillId="10" borderId="18" xfId="0" applyNumberFormat="1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67" fontId="9" fillId="10" borderId="17" xfId="0" applyNumberFormat="1" applyFont="1" applyFill="1" applyBorder="1" applyAlignment="1">
      <alignment horizontal="center" vertical="center"/>
    </xf>
    <xf numFmtId="167" fontId="9" fillId="10" borderId="19" xfId="0" applyNumberFormat="1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167" fontId="9" fillId="10" borderId="21" xfId="0" applyNumberFormat="1" applyFont="1" applyFill="1" applyBorder="1" applyAlignment="1">
      <alignment horizontal="center" vertical="center" wrapText="1"/>
    </xf>
    <xf numFmtId="167" fontId="9" fillId="10" borderId="22" xfId="0" applyNumberFormat="1" applyFont="1" applyFill="1" applyBorder="1" applyAlignment="1">
      <alignment horizontal="center" vertical="center" wrapText="1"/>
    </xf>
    <xf numFmtId="167" fontId="9" fillId="10" borderId="23" xfId="0" applyNumberFormat="1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67" fontId="9" fillId="10" borderId="2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7" fontId="9" fillId="10" borderId="19" xfId="0" applyNumberFormat="1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6" fillId="0" borderId="0" xfId="2"/>
    <xf numFmtId="166" fontId="6" fillId="11" borderId="0" xfId="2" applyNumberFormat="1" applyFill="1"/>
    <xf numFmtId="0" fontId="6" fillId="16" borderId="0" xfId="2" applyFill="1"/>
    <xf numFmtId="9" fontId="0" fillId="0" borderId="0" xfId="3" applyFont="1"/>
    <xf numFmtId="166" fontId="6" fillId="16" borderId="0" xfId="2" applyNumberFormat="1" applyFill="1"/>
    <xf numFmtId="166" fontId="8" fillId="0" borderId="0" xfId="2" applyNumberFormat="1" applyFont="1"/>
    <xf numFmtId="0" fontId="13" fillId="0" borderId="0" xfId="2" applyFont="1"/>
    <xf numFmtId="0" fontId="15" fillId="0" borderId="0" xfId="2" applyFont="1" applyAlignment="1">
      <alignment horizontal="center" vertical="center"/>
    </xf>
    <xf numFmtId="0" fontId="0" fillId="18" borderId="0" xfId="0" applyFill="1"/>
    <xf numFmtId="0" fontId="6" fillId="18" borderId="0" xfId="2" applyFill="1"/>
    <xf numFmtId="0" fontId="15" fillId="0" borderId="0" xfId="2" applyFont="1" applyFill="1" applyAlignment="1">
      <alignment horizontal="center" vertical="center"/>
    </xf>
    <xf numFmtId="166" fontId="27" fillId="0" borderId="0" xfId="2" applyNumberFormat="1" applyFont="1"/>
    <xf numFmtId="0" fontId="0" fillId="18" borderId="0" xfId="0" applyFill="1" applyAlignment="1">
      <alignment horizontal="center"/>
    </xf>
    <xf numFmtId="0" fontId="13" fillId="0" borderId="0" xfId="2" applyFont="1" applyAlignment="1">
      <alignment horizontal="center"/>
    </xf>
    <xf numFmtId="9" fontId="0" fillId="0" borderId="0" xfId="3" applyFont="1" applyAlignment="1">
      <alignment horizontal="left"/>
    </xf>
  </cellXfs>
  <cellStyles count="4">
    <cellStyle name="Normal" xfId="0" builtinId="0"/>
    <cellStyle name="Normal 2" xfId="2" xr:uid="{53577463-99F7-C643-8012-2A775598DD3B}"/>
    <cellStyle name="Per cent" xfId="1" builtinId="5"/>
    <cellStyle name="Per cent 2" xfId="3" xr:uid="{CF1A3F25-E49E-EC4E-AFD0-07B7A476DFA1}"/>
  </cellStyles>
  <dxfs count="22"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numFmt numFmtId="166" formatCode="_([$MYR]\ * #,##0.00_);_([$MYR]\ * \(#,##0.00\);_([$MYR]\ * &quot;-&quot;??_);_(@_)"/>
    </dxf>
    <dxf>
      <numFmt numFmtId="166" formatCode="_([$MYR]\ * #,##0.00_);_([$MYR]\ * \(#,##0.00\);_([$MYR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5A07E-5725-4D9D-9F0A-000B3D7C6FFB}" name="Table1" displayName="Table1" ref="B5:F21" totalsRowShown="0" headerRowDxfId="21">
  <tableColumns count="5">
    <tableColumn id="1" xr3:uid="{ACFDFDFD-12BE-4BB2-9EA6-F7F387B52455}" name="Ingredients "/>
    <tableColumn id="2" xr3:uid="{65DE26FE-ABE6-456D-B3BC-C4A92C45DF18}" name="Quantity" dataDxfId="20"/>
    <tableColumn id="3" xr3:uid="{49F6A96F-B941-42BC-8160-BAC319800D14}" name="Unit "/>
    <tableColumn id="4" xr3:uid="{4A8B9DE1-AB38-4B46-B272-6E570C98EC49}" name="Cost Price " dataDxfId="19">
      <calculatedColumnFormula>INGREDIENTS!F120</calculatedColumnFormula>
    </tableColumn>
    <tableColumn id="5" xr3:uid="{2F95F721-0966-4ECE-87EB-EA188DE394D0}" name="Total Price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4374B-0758-48DB-97DB-4C8E8D41FB10}" name="Table13" displayName="Table13" ref="B26:F41" totalsRowShown="0" headerRowDxfId="18">
  <tableColumns count="5">
    <tableColumn id="1" xr3:uid="{28B790D9-5462-403B-917F-25ACF68BD13C}" name="Ingredients "/>
    <tableColumn id="2" xr3:uid="{962D042D-0F7B-4D22-8935-9E4E840CE711}" name="Quantity" dataDxfId="17"/>
    <tableColumn id="3" xr3:uid="{706721A7-B3F4-4C5D-85B3-341F36B0CCAD}" name="Unit "/>
    <tableColumn id="4" xr3:uid="{F5A21B0A-5342-4465-AE84-C4F8B2F3919D}" name="Cost Price " dataDxfId="16">
      <calculatedColumnFormula>INGREDIENTS!F147</calculatedColumnFormula>
    </tableColumn>
    <tableColumn id="5" xr3:uid="{0A65B436-B9C5-42AC-90EF-D0A67D04F208}" name="Total Price " dataDxfId="15">
      <calculatedColumnFormula>Table13[[#This Row],[Cost Price ]]*Table13[[#This Row],[Quantity]]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CB153-F17C-43B2-9554-F2809B4A2FC2}" name="Table134" displayName="Table134" ref="B46:F60" totalsRowShown="0" headerRowDxfId="14">
  <tableColumns count="5">
    <tableColumn id="1" xr3:uid="{4A13B637-1B3F-4FE0-9EE6-1465A1C38CA9}" name="Ingredients "/>
    <tableColumn id="2" xr3:uid="{2B387831-50D3-4DD0-8103-280F4EDEA248}" name="Quantity" dataDxfId="13"/>
    <tableColumn id="3" xr3:uid="{46B8C23C-DE94-43E5-AAA6-1D974C849996}" name="Unit "/>
    <tableColumn id="4" xr3:uid="{D738AB7E-56FD-4E50-AB80-4EF58A3AF507}" name="Cost Price " dataDxfId="12">
      <calculatedColumnFormula>INGREDIENTS!F165</calculatedColumnFormula>
    </tableColumn>
    <tableColumn id="5" xr3:uid="{645FDE11-EE39-4A6F-B9FF-A2C3B7B23766}" name="Total Price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C89C23-EF4B-4FCC-8059-D4B5783B7ED7}" name="Table1346" displayName="Table1346" ref="B65:F78" totalsRowShown="0" headerRowDxfId="11">
  <tableColumns count="5">
    <tableColumn id="1" xr3:uid="{56B3FDEE-654B-4EFA-9FE8-A7DC1C7C1EE6}" name="Ingredients "/>
    <tableColumn id="2" xr3:uid="{709C5B89-78BA-4893-AD46-43F60B91A698}" name="Quantity" dataDxfId="10"/>
    <tableColumn id="3" xr3:uid="{DDAF19A0-7EFC-4743-9D55-48328AEF28A4}" name="Unit "/>
    <tableColumn id="4" xr3:uid="{387A4365-27DD-4CDE-B19E-1C5630F71CC1}" name="Cost Price " dataDxfId="9">
      <calculatedColumnFormula>INGREDIENTS!#REF!</calculatedColumnFormula>
    </tableColumn>
    <tableColumn id="5" xr3:uid="{B75C2D3F-2DFC-498C-92C5-F896E23D79D0}" name="Total Price 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1D7E9A-6BDF-5548-A87F-41E0DBEBA71C}" name="Table18" displayName="Table18" ref="B83:F96" totalsRowShown="0" headerRowDxfId="8">
  <tableColumns count="5">
    <tableColumn id="1" xr3:uid="{95867981-D693-F549-89AA-C808887DDCAA}" name="Ingredients "/>
    <tableColumn id="2" xr3:uid="{A6A704CC-811B-944C-AB62-21BDE23E9139}" name="Quantity" dataDxfId="7"/>
    <tableColumn id="3" xr3:uid="{57057C80-404C-2E4B-8A99-785171B24053}" name="Unit "/>
    <tableColumn id="4" xr3:uid="{E98B98B1-2E22-1442-908D-D5465746A94B}" name="Cost Price " dataDxfId="6">
      <calculatedColumnFormula>INGREDIENTS!F274</calculatedColumnFormula>
    </tableColumn>
    <tableColumn id="5" xr3:uid="{CB6F5076-6451-744E-B7F9-0D297BB50665}" name="Total Price 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567FFC-93EB-4447-81E1-D9CABBCC80ED}" name="Table189" displayName="Table189" ref="B99:F112" totalsRowShown="0" headerRowDxfId="5">
  <tableColumns count="5">
    <tableColumn id="1" xr3:uid="{7001B498-B889-8340-88ED-B29A762A45F1}" name="Ingredients "/>
    <tableColumn id="2" xr3:uid="{26DA5734-C8B7-7147-ABDA-7C047F829ED7}" name="Quantity" dataDxfId="4"/>
    <tableColumn id="3" xr3:uid="{BE1D0EDC-8FD7-CB42-B7AF-F526CD12AF67}" name="Unit "/>
    <tableColumn id="4" xr3:uid="{0C7BF485-7FCE-7F40-9EB4-EA0B3D28D3B1}" name="Cost Price " dataDxfId="3">
      <calculatedColumnFormula>INGREDIENTS!F287</calculatedColumnFormula>
    </tableColumn>
    <tableColumn id="5" xr3:uid="{001E7107-E02C-CC49-A7B6-08D60315C2DE}" name="Total Price 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BA8F37-5CD8-7E40-8318-07C1B409F4ED}" name="Table1810" displayName="Table1810" ref="B131:F143" totalsRowShown="0" headerRowDxfId="2">
  <tableColumns count="5">
    <tableColumn id="1" xr3:uid="{0D3CB616-0C82-AF4E-891C-FDE0A3389A3A}" name="Ingredients "/>
    <tableColumn id="2" xr3:uid="{A3338F57-0600-6A4B-A72E-2055286000B9}" name="Quantity" dataDxfId="1"/>
    <tableColumn id="3" xr3:uid="{882237B8-3E5B-7A49-B621-6139CF3B8D4A}" name="Unit "/>
    <tableColumn id="4" xr3:uid="{3A219A43-955D-E147-87AC-737B1E432271}" name="Cost Price " dataDxfId="0">
      <calculatedColumnFormula>INGREDIENTS!F315</calculatedColumnFormula>
    </tableColumn>
    <tableColumn id="5" xr3:uid="{E6A5B9FC-5114-7645-876F-98D188E6536D}" name="Total Price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4"/>
  <sheetViews>
    <sheetView workbookViewId="0">
      <selection activeCell="D117" sqref="D117"/>
    </sheetView>
  </sheetViews>
  <sheetFormatPr baseColWidth="10" defaultColWidth="14.5" defaultRowHeight="15.75" customHeight="1" x14ac:dyDescent="0.15"/>
  <cols>
    <col min="1" max="1" width="37" customWidth="1"/>
    <col min="2" max="2" width="16.83203125" customWidth="1"/>
    <col min="3" max="3" width="11.6640625" customWidth="1"/>
    <col min="4" max="4" width="17.83203125" customWidth="1"/>
  </cols>
  <sheetData>
    <row r="1" spans="1:5" ht="13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15">
      <c r="A2" s="4" t="s">
        <v>5</v>
      </c>
      <c r="B2" s="5">
        <f>'Menu item calculator'!F12</f>
        <v>15.227748669467786</v>
      </c>
      <c r="C2" s="5">
        <v>33</v>
      </c>
      <c r="D2" s="5">
        <f t="shared" ref="D2:D166" si="0">C2+(C2*6%)+(C2*10%)</f>
        <v>38.279999999999994</v>
      </c>
      <c r="E2" s="6">
        <f t="shared" ref="E2:E166" si="1">(C2-B2)/C2</f>
        <v>0.53855307062218827</v>
      </c>
    </row>
    <row r="3" spans="1:5" ht="15.75" customHeight="1" x14ac:dyDescent="0.15">
      <c r="A3" s="7" t="s">
        <v>6</v>
      </c>
      <c r="B3" s="5">
        <f>'Menu item calculator'!F26</f>
        <v>15.227748669467786</v>
      </c>
      <c r="C3" s="5">
        <v>33</v>
      </c>
      <c r="D3" s="5">
        <f t="shared" si="0"/>
        <v>38.279999999999994</v>
      </c>
      <c r="E3" s="6">
        <f t="shared" si="1"/>
        <v>0.53855307062218827</v>
      </c>
    </row>
    <row r="4" spans="1:5" ht="15.75" customHeight="1" x14ac:dyDescent="0.15">
      <c r="A4" s="7" t="s">
        <v>7</v>
      </c>
      <c r="B4" s="5">
        <f>'Menu item calculator'!F40</f>
        <v>15.227748669467786</v>
      </c>
      <c r="C4" s="5">
        <v>33</v>
      </c>
      <c r="D4" s="5">
        <f t="shared" si="0"/>
        <v>38.279999999999994</v>
      </c>
      <c r="E4" s="6">
        <f t="shared" si="1"/>
        <v>0.53855307062218827</v>
      </c>
    </row>
    <row r="5" spans="1:5" ht="15.75" customHeight="1" x14ac:dyDescent="0.15">
      <c r="A5" s="7" t="s">
        <v>8</v>
      </c>
      <c r="B5" s="5">
        <f>'Menu item calculator'!F54</f>
        <v>15.619248669467787</v>
      </c>
      <c r="C5" s="5">
        <v>33</v>
      </c>
      <c r="D5" s="5">
        <f t="shared" si="0"/>
        <v>38.279999999999994</v>
      </c>
      <c r="E5" s="6">
        <f t="shared" si="1"/>
        <v>0.52668943425855197</v>
      </c>
    </row>
    <row r="6" spans="1:5" ht="15.75" customHeight="1" x14ac:dyDescent="0.15">
      <c r="A6" s="7" t="s">
        <v>9</v>
      </c>
      <c r="B6" s="5">
        <f>'Menu item calculator'!F68</f>
        <v>12.302455072786691</v>
      </c>
      <c r="C6" s="5">
        <v>32</v>
      </c>
      <c r="D6" s="5">
        <f t="shared" si="0"/>
        <v>37.120000000000005</v>
      </c>
      <c r="E6" s="6">
        <f t="shared" si="1"/>
        <v>0.61554827897541586</v>
      </c>
    </row>
    <row r="7" spans="1:5" ht="15.75" customHeight="1" x14ac:dyDescent="0.15">
      <c r="A7" s="7" t="s">
        <v>10</v>
      </c>
      <c r="B7" s="5">
        <f>'Menu item calculator'!F82</f>
        <v>12.302455072786691</v>
      </c>
      <c r="C7" s="5">
        <v>32</v>
      </c>
      <c r="D7" s="5">
        <f t="shared" si="0"/>
        <v>37.120000000000005</v>
      </c>
      <c r="E7" s="6">
        <f t="shared" si="1"/>
        <v>0.61554827897541586</v>
      </c>
    </row>
    <row r="8" spans="1:5" ht="15.75" customHeight="1" x14ac:dyDescent="0.15">
      <c r="A8" s="7" t="s">
        <v>11</v>
      </c>
      <c r="B8" s="5">
        <f>'Menu item calculator'!F96</f>
        <v>12.302455072786691</v>
      </c>
      <c r="C8" s="5">
        <v>32</v>
      </c>
      <c r="D8" s="5">
        <f t="shared" si="0"/>
        <v>37.120000000000005</v>
      </c>
      <c r="E8" s="6">
        <f t="shared" si="1"/>
        <v>0.61554827897541586</v>
      </c>
    </row>
    <row r="9" spans="1:5" ht="15.75" customHeight="1" x14ac:dyDescent="0.15">
      <c r="A9" s="7" t="s">
        <v>12</v>
      </c>
      <c r="B9" s="5">
        <f>'Menu item calculator'!F110</f>
        <v>12.693955072786689</v>
      </c>
      <c r="C9" s="5">
        <v>32</v>
      </c>
      <c r="D9" s="5">
        <f t="shared" si="0"/>
        <v>37.120000000000005</v>
      </c>
      <c r="E9" s="6">
        <f t="shared" si="1"/>
        <v>0.60331390397541595</v>
      </c>
    </row>
    <row r="10" spans="1:5" ht="15.75" customHeight="1" x14ac:dyDescent="0.15">
      <c r="A10" s="7" t="s">
        <v>13</v>
      </c>
      <c r="B10" s="5">
        <f>'Menu item calculator'!F121</f>
        <v>3.7039399128540316</v>
      </c>
      <c r="C10" s="5">
        <v>24</v>
      </c>
      <c r="D10" s="5">
        <f t="shared" si="0"/>
        <v>27.840000000000003</v>
      </c>
      <c r="E10" s="6">
        <f t="shared" si="1"/>
        <v>0.84566917029774868</v>
      </c>
    </row>
    <row r="11" spans="1:5" ht="15.75" customHeight="1" x14ac:dyDescent="0.15">
      <c r="A11" s="7" t="s">
        <v>14</v>
      </c>
      <c r="B11" s="5">
        <f>'Menu item calculator'!F133</f>
        <v>2.8514399128540311</v>
      </c>
      <c r="C11" s="5">
        <v>24</v>
      </c>
      <c r="D11" s="5">
        <f t="shared" si="0"/>
        <v>27.840000000000003</v>
      </c>
      <c r="E11" s="6">
        <f t="shared" si="1"/>
        <v>0.88119000363108213</v>
      </c>
    </row>
    <row r="12" spans="1:5" ht="15.75" customHeight="1" x14ac:dyDescent="0.15">
      <c r="A12" s="7" t="s">
        <v>15</v>
      </c>
      <c r="B12" s="5">
        <f>'Menu item calculator'!F144</f>
        <v>4.210204618736384</v>
      </c>
      <c r="C12" s="5">
        <v>24</v>
      </c>
      <c r="D12" s="5">
        <f t="shared" si="0"/>
        <v>27.840000000000003</v>
      </c>
      <c r="E12" s="6">
        <f t="shared" si="1"/>
        <v>0.82457480755265067</v>
      </c>
    </row>
    <row r="13" spans="1:5" ht="15.75" customHeight="1" x14ac:dyDescent="0.15">
      <c r="A13" s="7" t="s">
        <v>16</v>
      </c>
      <c r="B13" s="5">
        <f>'Menu item calculator'!F156</f>
        <v>6.0332661176470594</v>
      </c>
      <c r="C13" s="5">
        <v>28</v>
      </c>
      <c r="D13" s="5">
        <f t="shared" si="0"/>
        <v>32.479999999999997</v>
      </c>
      <c r="E13" s="6">
        <f t="shared" si="1"/>
        <v>0.78452621008403356</v>
      </c>
    </row>
    <row r="14" spans="1:5" ht="15.75" customHeight="1" x14ac:dyDescent="0.15">
      <c r="A14" s="7" t="s">
        <v>17</v>
      </c>
      <c r="B14" s="5">
        <f>'Menu item calculator'!F169</f>
        <v>12.43326611764706</v>
      </c>
      <c r="C14" s="5">
        <v>32</v>
      </c>
      <c r="D14" s="5">
        <f t="shared" si="0"/>
        <v>37.120000000000005</v>
      </c>
      <c r="E14" s="6">
        <f t="shared" si="1"/>
        <v>0.61146043382352944</v>
      </c>
    </row>
    <row r="15" spans="1:5" ht="15.75" customHeight="1" x14ac:dyDescent="0.15">
      <c r="A15" s="7" t="s">
        <v>18</v>
      </c>
      <c r="B15" s="5">
        <f>'Menu item calculator'!F183</f>
        <v>8.7232661176470589</v>
      </c>
      <c r="C15" s="5">
        <v>28</v>
      </c>
      <c r="D15" s="5">
        <f t="shared" si="0"/>
        <v>32.479999999999997</v>
      </c>
      <c r="E15" s="6">
        <f t="shared" si="1"/>
        <v>0.68845478151260509</v>
      </c>
    </row>
    <row r="16" spans="1:5" ht="15.75" customHeight="1" x14ac:dyDescent="0.15">
      <c r="A16" s="7" t="s">
        <v>19</v>
      </c>
      <c r="B16" s="5">
        <f>'Menu item calculator'!F197</f>
        <v>10.626496050420169</v>
      </c>
      <c r="C16" s="5">
        <v>33</v>
      </c>
      <c r="D16" s="5">
        <f t="shared" si="0"/>
        <v>38.279999999999994</v>
      </c>
      <c r="E16" s="6">
        <f t="shared" si="1"/>
        <v>0.67798496816908582</v>
      </c>
    </row>
    <row r="17" spans="1:5" ht="15.75" customHeight="1" x14ac:dyDescent="0.15">
      <c r="A17" s="7" t="s">
        <v>20</v>
      </c>
      <c r="B17" s="5">
        <f>'Menu item calculator'!F211</f>
        <v>13.598996050420169</v>
      </c>
      <c r="C17" s="5">
        <v>33</v>
      </c>
      <c r="D17" s="5">
        <f t="shared" si="0"/>
        <v>38.279999999999994</v>
      </c>
      <c r="E17" s="6">
        <f t="shared" si="1"/>
        <v>0.58790921059332824</v>
      </c>
    </row>
    <row r="18" spans="1:5" ht="15.75" customHeight="1" x14ac:dyDescent="0.15">
      <c r="A18" s="7" t="s">
        <v>21</v>
      </c>
      <c r="B18" s="5">
        <f>'Menu item calculator'!F220</f>
        <v>0.2824686666666667</v>
      </c>
      <c r="C18" s="5">
        <v>13</v>
      </c>
      <c r="D18" s="5">
        <f t="shared" si="0"/>
        <v>15.08</v>
      </c>
      <c r="E18" s="6">
        <f t="shared" si="1"/>
        <v>0.97827164102564101</v>
      </c>
    </row>
    <row r="19" spans="1:5" ht="15.75" customHeight="1" x14ac:dyDescent="0.15">
      <c r="A19" s="7" t="s">
        <v>22</v>
      </c>
      <c r="B19" s="8" t="s">
        <v>23</v>
      </c>
      <c r="C19" s="5">
        <v>29</v>
      </c>
      <c r="D19" s="5">
        <f t="shared" si="0"/>
        <v>33.64</v>
      </c>
      <c r="E19" s="6" t="e">
        <f t="shared" si="1"/>
        <v>#VALUE!</v>
      </c>
    </row>
    <row r="20" spans="1:5" ht="13" x14ac:dyDescent="0.15">
      <c r="A20" s="7" t="s">
        <v>24</v>
      </c>
      <c r="B20" s="5">
        <f>'Menu item calculator'!F245</f>
        <v>4.7135224999999998</v>
      </c>
      <c r="C20" s="5">
        <v>25</v>
      </c>
      <c r="D20" s="5">
        <f t="shared" si="0"/>
        <v>29</v>
      </c>
      <c r="E20" s="6">
        <f t="shared" si="1"/>
        <v>0.81145909999999999</v>
      </c>
    </row>
    <row r="21" spans="1:5" ht="13" x14ac:dyDescent="0.15">
      <c r="A21" s="7" t="s">
        <v>25</v>
      </c>
      <c r="B21" s="5">
        <f>'Menu item calculator'!F255</f>
        <v>6.8936269503546104</v>
      </c>
      <c r="C21" s="5">
        <v>28</v>
      </c>
      <c r="D21" s="5">
        <f t="shared" si="0"/>
        <v>32.479999999999997</v>
      </c>
      <c r="E21" s="6">
        <f t="shared" si="1"/>
        <v>0.75379903748733545</v>
      </c>
    </row>
    <row r="22" spans="1:5" ht="13" x14ac:dyDescent="0.15">
      <c r="A22" s="7" t="s">
        <v>26</v>
      </c>
      <c r="B22" s="5">
        <f>'Menu item calculator'!F268</f>
        <v>3.5439748529411768</v>
      </c>
      <c r="C22" s="5">
        <v>20</v>
      </c>
      <c r="D22" s="5">
        <f t="shared" si="0"/>
        <v>23.2</v>
      </c>
      <c r="E22" s="6">
        <f t="shared" si="1"/>
        <v>0.82280125735294118</v>
      </c>
    </row>
    <row r="23" spans="1:5" ht="13" x14ac:dyDescent="0.15">
      <c r="A23" s="7" t="s">
        <v>27</v>
      </c>
      <c r="B23" s="5">
        <f>'Menu item calculator'!F279</f>
        <v>11.724652777777777</v>
      </c>
      <c r="C23" s="5">
        <v>28</v>
      </c>
      <c r="D23" s="5">
        <f t="shared" si="0"/>
        <v>32.479999999999997</v>
      </c>
      <c r="E23" s="6">
        <f t="shared" si="1"/>
        <v>0.58126240079365077</v>
      </c>
    </row>
    <row r="24" spans="1:5" ht="13" x14ac:dyDescent="0.15">
      <c r="A24" s="7" t="s">
        <v>28</v>
      </c>
      <c r="B24" s="5">
        <f>'Menu item calculator'!F291</f>
        <v>12.345572875816995</v>
      </c>
      <c r="C24" s="5">
        <v>32</v>
      </c>
      <c r="D24" s="5">
        <f t="shared" si="0"/>
        <v>37.120000000000005</v>
      </c>
      <c r="E24" s="6">
        <f t="shared" si="1"/>
        <v>0.61420084763071892</v>
      </c>
    </row>
    <row r="25" spans="1:5" ht="13" x14ac:dyDescent="0.15">
      <c r="A25" s="7" t="s">
        <v>29</v>
      </c>
      <c r="B25" s="5">
        <f>'Menu item calculator'!F298</f>
        <v>2.9466999999999999</v>
      </c>
      <c r="C25" s="5">
        <v>20</v>
      </c>
      <c r="D25" s="5">
        <f t="shared" si="0"/>
        <v>23.2</v>
      </c>
      <c r="E25" s="6">
        <f t="shared" si="1"/>
        <v>0.85266500000000001</v>
      </c>
    </row>
    <row r="26" spans="1:5" ht="13" x14ac:dyDescent="0.15">
      <c r="A26" s="7" t="s">
        <v>30</v>
      </c>
      <c r="B26" s="5">
        <f>'Menu item calculator'!F309</f>
        <v>5.3527634477124177</v>
      </c>
      <c r="C26" s="5">
        <v>28</v>
      </c>
      <c r="D26" s="5">
        <f t="shared" si="0"/>
        <v>32.479999999999997</v>
      </c>
      <c r="E26" s="6">
        <f t="shared" si="1"/>
        <v>0.80882987686741359</v>
      </c>
    </row>
    <row r="27" spans="1:5" ht="13" x14ac:dyDescent="0.15">
      <c r="A27" s="7" t="s">
        <v>31</v>
      </c>
      <c r="B27" s="5">
        <f>'Menu item calculator'!F320</f>
        <v>5.8647388888888896</v>
      </c>
      <c r="C27" s="5">
        <v>30</v>
      </c>
      <c r="D27" s="5">
        <f t="shared" si="0"/>
        <v>34.799999999999997</v>
      </c>
      <c r="E27" s="6">
        <f t="shared" si="1"/>
        <v>0.80450870370370364</v>
      </c>
    </row>
    <row r="28" spans="1:5" ht="13" x14ac:dyDescent="0.15">
      <c r="A28" s="7" t="s">
        <v>32</v>
      </c>
      <c r="B28" s="5">
        <f>'Menu item calculator'!F331</f>
        <v>5.7092388888888888</v>
      </c>
      <c r="C28" s="5">
        <v>30</v>
      </c>
      <c r="D28" s="5">
        <f t="shared" si="0"/>
        <v>34.799999999999997</v>
      </c>
      <c r="E28" s="6">
        <f t="shared" si="1"/>
        <v>0.80969203703703696</v>
      </c>
    </row>
    <row r="29" spans="1:5" ht="13" x14ac:dyDescent="0.15">
      <c r="A29" s="43" t="s">
        <v>33</v>
      </c>
      <c r="B29" s="5">
        <v>7.8397811111111109</v>
      </c>
      <c r="C29" s="5">
        <v>26</v>
      </c>
      <c r="D29" s="5">
        <f t="shared" si="0"/>
        <v>30.16</v>
      </c>
      <c r="E29" s="6">
        <f t="shared" si="1"/>
        <v>0.6984699572649572</v>
      </c>
    </row>
    <row r="30" spans="1:5" ht="13" x14ac:dyDescent="0.15">
      <c r="A30" s="7" t="s">
        <v>34</v>
      </c>
      <c r="B30" s="5">
        <f>'Menu item calculator'!F360</f>
        <v>6.7422916666666675</v>
      </c>
      <c r="C30" s="5">
        <v>29</v>
      </c>
      <c r="D30" s="5">
        <f t="shared" si="0"/>
        <v>33.64</v>
      </c>
      <c r="E30" s="6">
        <f t="shared" si="1"/>
        <v>0.76750718390804595</v>
      </c>
    </row>
    <row r="31" spans="1:5" ht="13" x14ac:dyDescent="0.15">
      <c r="A31" s="7" t="s">
        <v>35</v>
      </c>
      <c r="B31" s="5">
        <f>'Menu item calculator'!F378</f>
        <v>10.595722875816993</v>
      </c>
      <c r="C31" s="5">
        <v>30</v>
      </c>
      <c r="D31" s="5">
        <f t="shared" si="0"/>
        <v>34.799999999999997</v>
      </c>
      <c r="E31" s="6">
        <f t="shared" si="1"/>
        <v>0.64680923747276686</v>
      </c>
    </row>
    <row r="32" spans="1:5" ht="13" x14ac:dyDescent="0.15">
      <c r="A32" s="7" t="s">
        <v>36</v>
      </c>
      <c r="B32" s="5">
        <f>'Menu item calculator'!F389</f>
        <v>6.4831277777777769</v>
      </c>
      <c r="C32" s="5">
        <v>28</v>
      </c>
      <c r="D32" s="5">
        <f t="shared" si="0"/>
        <v>32.479999999999997</v>
      </c>
      <c r="E32" s="6">
        <f t="shared" si="1"/>
        <v>0.76845972222222225</v>
      </c>
    </row>
    <row r="33" spans="1:5" ht="13" x14ac:dyDescent="0.15">
      <c r="A33" s="7" t="s">
        <v>37</v>
      </c>
      <c r="B33" s="5">
        <f>'Menu item calculator'!F402</f>
        <v>3.4825109401709406</v>
      </c>
      <c r="C33" s="5">
        <v>33</v>
      </c>
      <c r="D33" s="5">
        <f t="shared" si="0"/>
        <v>38.279999999999994</v>
      </c>
      <c r="E33" s="6">
        <f t="shared" si="1"/>
        <v>0.89446936544936551</v>
      </c>
    </row>
    <row r="34" spans="1:5" ht="13" x14ac:dyDescent="0.15">
      <c r="A34" s="7" t="s">
        <v>38</v>
      </c>
      <c r="B34" s="5">
        <f>'Menu item calculator'!F415</f>
        <v>7.496184134615385</v>
      </c>
      <c r="C34" s="5">
        <v>33</v>
      </c>
      <c r="D34" s="5">
        <f t="shared" si="0"/>
        <v>38.279999999999994</v>
      </c>
      <c r="E34" s="6">
        <f t="shared" si="1"/>
        <v>0.77284290501165509</v>
      </c>
    </row>
    <row r="35" spans="1:5" ht="13" x14ac:dyDescent="0.15">
      <c r="A35" s="7" t="s">
        <v>39</v>
      </c>
      <c r="B35" s="5">
        <f>'Menu item calculator'!F430</f>
        <v>8.1066260538073038</v>
      </c>
      <c r="C35" s="5">
        <v>33</v>
      </c>
      <c r="D35" s="5">
        <f t="shared" si="0"/>
        <v>38.279999999999994</v>
      </c>
      <c r="E35" s="6">
        <f t="shared" si="1"/>
        <v>0.75434466503614228</v>
      </c>
    </row>
    <row r="36" spans="1:5" ht="13" x14ac:dyDescent="0.15">
      <c r="A36" s="7" t="s">
        <v>40</v>
      </c>
      <c r="B36" s="5">
        <f>'Menu item calculator'!F447</f>
        <v>5.6296128080447332</v>
      </c>
      <c r="C36" s="5">
        <v>34</v>
      </c>
      <c r="D36" s="5">
        <f t="shared" si="0"/>
        <v>39.44</v>
      </c>
      <c r="E36" s="6">
        <f t="shared" si="1"/>
        <v>0.83442315270456668</v>
      </c>
    </row>
    <row r="37" spans="1:5" ht="13" x14ac:dyDescent="0.15">
      <c r="A37" s="7" t="s">
        <v>41</v>
      </c>
      <c r="B37" s="5">
        <f>'Menu item calculator'!F459</f>
        <v>6.5508333333333333</v>
      </c>
      <c r="C37" s="5">
        <v>28</v>
      </c>
      <c r="D37" s="5">
        <f t="shared" si="0"/>
        <v>32.479999999999997</v>
      </c>
      <c r="E37" s="6">
        <f t="shared" si="1"/>
        <v>0.76604166666666662</v>
      </c>
    </row>
    <row r="38" spans="1:5" ht="13" x14ac:dyDescent="0.15">
      <c r="A38" s="7" t="s">
        <v>42</v>
      </c>
      <c r="B38" s="5">
        <f>'Menu item calculator'!F471</f>
        <v>6.0708333333333337</v>
      </c>
      <c r="C38" s="5">
        <v>28</v>
      </c>
      <c r="D38" s="5">
        <f t="shared" si="0"/>
        <v>32.479999999999997</v>
      </c>
      <c r="E38" s="6">
        <f t="shared" si="1"/>
        <v>0.78318452380952386</v>
      </c>
    </row>
    <row r="39" spans="1:5" ht="13" x14ac:dyDescent="0.15">
      <c r="A39" s="7" t="s">
        <v>43</v>
      </c>
      <c r="B39" s="5">
        <f>'Menu item calculator'!F483</f>
        <v>3.6417155555555554</v>
      </c>
      <c r="C39" s="5">
        <v>28</v>
      </c>
      <c r="D39" s="5">
        <f t="shared" si="0"/>
        <v>32.479999999999997</v>
      </c>
      <c r="E39" s="6">
        <f t="shared" si="1"/>
        <v>0.86993873015873013</v>
      </c>
    </row>
    <row r="40" spans="1:5" ht="13" x14ac:dyDescent="0.15">
      <c r="A40" s="7" t="s">
        <v>44</v>
      </c>
      <c r="B40" s="5">
        <f>'Menu item calculator'!F494</f>
        <v>4.7674817647058827</v>
      </c>
      <c r="C40" s="5">
        <v>26</v>
      </c>
      <c r="D40" s="5">
        <f t="shared" si="0"/>
        <v>30.16</v>
      </c>
      <c r="E40" s="6">
        <f t="shared" si="1"/>
        <v>0.81663531674208134</v>
      </c>
    </row>
    <row r="41" spans="1:5" ht="13" x14ac:dyDescent="0.15">
      <c r="A41" s="7" t="s">
        <v>45</v>
      </c>
      <c r="B41" s="5">
        <f>'Menu item calculator'!F510</f>
        <v>12.452476190476192</v>
      </c>
      <c r="C41" s="5">
        <v>26</v>
      </c>
      <c r="D41" s="5">
        <f t="shared" si="0"/>
        <v>30.16</v>
      </c>
      <c r="E41" s="6">
        <f t="shared" si="1"/>
        <v>0.52105860805860804</v>
      </c>
    </row>
    <row r="42" spans="1:5" ht="13" x14ac:dyDescent="0.15">
      <c r="A42" s="7" t="s">
        <v>46</v>
      </c>
      <c r="B42" s="5">
        <f>'Menu item calculator'!F522</f>
        <v>7.9840294117647037</v>
      </c>
      <c r="C42" s="5">
        <v>28</v>
      </c>
      <c r="D42" s="5">
        <f t="shared" si="0"/>
        <v>32.479999999999997</v>
      </c>
      <c r="E42" s="6">
        <f t="shared" si="1"/>
        <v>0.7148560924369749</v>
      </c>
    </row>
    <row r="43" spans="1:5" ht="13" x14ac:dyDescent="0.15">
      <c r="A43" s="7" t="s">
        <v>47</v>
      </c>
      <c r="B43" s="5">
        <f>'Menu item calculator'!F536</f>
        <v>6.2855288888888889</v>
      </c>
      <c r="C43" s="5">
        <v>28</v>
      </c>
      <c r="D43" s="5">
        <f t="shared" si="0"/>
        <v>32.479999999999997</v>
      </c>
      <c r="E43" s="6">
        <f t="shared" si="1"/>
        <v>0.77551682539682532</v>
      </c>
    </row>
    <row r="44" spans="1:5" ht="13" x14ac:dyDescent="0.15">
      <c r="A44" s="7" t="s">
        <v>48</v>
      </c>
      <c r="B44" s="5">
        <f>'Menu item calculator'!F550</f>
        <v>14.40424954248366</v>
      </c>
      <c r="C44" s="5">
        <v>34</v>
      </c>
      <c r="D44" s="5">
        <f t="shared" si="0"/>
        <v>39.44</v>
      </c>
      <c r="E44" s="6">
        <f t="shared" si="1"/>
        <v>0.57634560169165705</v>
      </c>
    </row>
    <row r="45" spans="1:5" ht="13" x14ac:dyDescent="0.15">
      <c r="A45" s="7" t="s">
        <v>49</v>
      </c>
      <c r="B45" s="5">
        <f>'Menu item calculator'!F557</f>
        <v>2.2880000000000003</v>
      </c>
      <c r="C45" s="5">
        <v>14</v>
      </c>
      <c r="D45" s="5">
        <f t="shared" si="0"/>
        <v>16.239999999999998</v>
      </c>
      <c r="E45" s="6">
        <f t="shared" si="1"/>
        <v>0.83657142857142852</v>
      </c>
    </row>
    <row r="46" spans="1:5" ht="13" x14ac:dyDescent="0.15">
      <c r="A46" s="7" t="s">
        <v>50</v>
      </c>
      <c r="B46" s="5">
        <f>'Menu item calculator'!F565</f>
        <v>3.791127083333333</v>
      </c>
      <c r="C46" s="5">
        <v>14</v>
      </c>
      <c r="D46" s="5">
        <f t="shared" si="0"/>
        <v>16.239999999999998</v>
      </c>
      <c r="E46" s="6">
        <f t="shared" si="1"/>
        <v>0.72920520833333335</v>
      </c>
    </row>
    <row r="47" spans="1:5" ht="13" x14ac:dyDescent="0.15">
      <c r="A47" s="7" t="s">
        <v>51</v>
      </c>
      <c r="B47" s="5">
        <f>'Menu item calculator'!F573</f>
        <v>1.0111270833333335</v>
      </c>
      <c r="C47" s="5">
        <v>14</v>
      </c>
      <c r="D47" s="5">
        <f t="shared" si="0"/>
        <v>16.239999999999998</v>
      </c>
      <c r="E47" s="6">
        <f t="shared" si="1"/>
        <v>0.92777663690476186</v>
      </c>
    </row>
    <row r="48" spans="1:5" ht="13" x14ac:dyDescent="0.15">
      <c r="A48" s="7" t="s">
        <v>52</v>
      </c>
      <c r="B48" s="5">
        <f>'Menu item calculator'!F585</f>
        <v>8.691076209150328</v>
      </c>
      <c r="C48" s="5">
        <v>34</v>
      </c>
      <c r="D48" s="5">
        <f t="shared" si="0"/>
        <v>39.44</v>
      </c>
      <c r="E48" s="6">
        <f t="shared" si="1"/>
        <v>0.74438011149557859</v>
      </c>
    </row>
    <row r="49" spans="1:5" ht="13" x14ac:dyDescent="0.15">
      <c r="A49" s="7" t="s">
        <v>53</v>
      </c>
      <c r="B49" s="5">
        <f>'Menu item calculator'!F597</f>
        <v>25.822881966726086</v>
      </c>
      <c r="C49" s="5">
        <v>42</v>
      </c>
      <c r="D49" s="5">
        <f t="shared" si="0"/>
        <v>48.720000000000006</v>
      </c>
      <c r="E49" s="6">
        <f t="shared" si="1"/>
        <v>0.3851694769827122</v>
      </c>
    </row>
    <row r="50" spans="1:5" ht="13" x14ac:dyDescent="0.15">
      <c r="A50" s="7" t="s">
        <v>54</v>
      </c>
      <c r="B50" s="5">
        <f>'Menu item calculator'!F609</f>
        <v>20.535477505446629</v>
      </c>
      <c r="C50" s="5">
        <v>42</v>
      </c>
      <c r="D50" s="5">
        <f t="shared" si="0"/>
        <v>48.720000000000006</v>
      </c>
      <c r="E50" s="6">
        <f t="shared" si="1"/>
        <v>0.51106005939412791</v>
      </c>
    </row>
    <row r="51" spans="1:5" ht="13" x14ac:dyDescent="0.15">
      <c r="A51" s="7" t="s">
        <v>55</v>
      </c>
      <c r="B51" s="5">
        <f>'Menu item calculator'!F624</f>
        <v>6.8691815266106442</v>
      </c>
      <c r="C51" s="5">
        <v>34</v>
      </c>
      <c r="D51" s="5">
        <f t="shared" si="0"/>
        <v>39.44</v>
      </c>
      <c r="E51" s="6">
        <f t="shared" si="1"/>
        <v>0.79796524921733392</v>
      </c>
    </row>
    <row r="52" spans="1:5" ht="13" x14ac:dyDescent="0.15">
      <c r="A52" s="7" t="s">
        <v>56</v>
      </c>
      <c r="B52" s="5">
        <f>'Menu item calculator'!F634</f>
        <v>4.729368611111112</v>
      </c>
      <c r="C52" s="5">
        <v>28</v>
      </c>
      <c r="D52" s="5">
        <f t="shared" si="0"/>
        <v>32.479999999999997</v>
      </c>
      <c r="E52" s="6">
        <f t="shared" si="1"/>
        <v>0.83109397817460307</v>
      </c>
    </row>
    <row r="53" spans="1:5" ht="13" x14ac:dyDescent="0.15">
      <c r="A53" s="7" t="s">
        <v>57</v>
      </c>
      <c r="B53" s="5">
        <f>'Menu item calculator'!F643</f>
        <v>2.4317298611111111</v>
      </c>
      <c r="C53" s="5">
        <v>18</v>
      </c>
      <c r="D53" s="5">
        <f t="shared" si="0"/>
        <v>20.88</v>
      </c>
      <c r="E53" s="6">
        <f t="shared" si="1"/>
        <v>0.86490389660493827</v>
      </c>
    </row>
    <row r="54" spans="1:5" ht="13" x14ac:dyDescent="0.15">
      <c r="A54" s="7" t="s">
        <v>58</v>
      </c>
      <c r="B54" s="5">
        <f>'Menu item calculator'!F653</f>
        <v>1.9642361111111111</v>
      </c>
      <c r="C54" s="5">
        <v>18</v>
      </c>
      <c r="D54" s="5">
        <f t="shared" si="0"/>
        <v>20.88</v>
      </c>
      <c r="E54" s="6">
        <f t="shared" si="1"/>
        <v>0.89087577160493814</v>
      </c>
    </row>
    <row r="55" spans="1:5" ht="13" x14ac:dyDescent="0.15">
      <c r="A55" s="7" t="s">
        <v>59</v>
      </c>
      <c r="B55" s="5"/>
      <c r="C55" s="5"/>
      <c r="D55" s="5">
        <f t="shared" si="0"/>
        <v>0</v>
      </c>
      <c r="E55" s="6" t="e">
        <f t="shared" si="1"/>
        <v>#DIV/0!</v>
      </c>
    </row>
    <row r="56" spans="1:5" ht="13" x14ac:dyDescent="0.15">
      <c r="A56" s="7" t="s">
        <v>60</v>
      </c>
      <c r="B56" s="5">
        <v>6.4</v>
      </c>
      <c r="C56" s="5">
        <v>14</v>
      </c>
      <c r="D56" s="5">
        <f t="shared" si="0"/>
        <v>16.239999999999998</v>
      </c>
      <c r="E56" s="6">
        <f t="shared" si="1"/>
        <v>0.54285714285714282</v>
      </c>
    </row>
    <row r="57" spans="1:5" ht="13" x14ac:dyDescent="0.15">
      <c r="A57" s="7" t="s">
        <v>61</v>
      </c>
      <c r="B57" s="5">
        <v>12.8</v>
      </c>
      <c r="C57" s="5">
        <v>28</v>
      </c>
      <c r="D57" s="5">
        <f t="shared" si="0"/>
        <v>32.479999999999997</v>
      </c>
      <c r="E57" s="6">
        <f t="shared" si="1"/>
        <v>0.54285714285714282</v>
      </c>
    </row>
    <row r="58" spans="1:5" ht="13" x14ac:dyDescent="0.15">
      <c r="A58" s="7" t="s">
        <v>62</v>
      </c>
      <c r="B58" s="5"/>
      <c r="C58" s="5">
        <v>14</v>
      </c>
      <c r="D58" s="5">
        <f t="shared" si="0"/>
        <v>16.239999999999998</v>
      </c>
      <c r="E58" s="6">
        <f t="shared" si="1"/>
        <v>1</v>
      </c>
    </row>
    <row r="59" spans="1:5" ht="13" x14ac:dyDescent="0.15">
      <c r="A59" s="7" t="s">
        <v>63</v>
      </c>
      <c r="B59" s="5">
        <v>2.1800000000000002</v>
      </c>
      <c r="C59" s="5">
        <v>14</v>
      </c>
      <c r="D59" s="5">
        <f t="shared" si="0"/>
        <v>16.239999999999998</v>
      </c>
      <c r="E59" s="6">
        <f t="shared" si="1"/>
        <v>0.84428571428571431</v>
      </c>
    </row>
    <row r="60" spans="1:5" ht="13" x14ac:dyDescent="0.15">
      <c r="A60" s="7" t="s">
        <v>64</v>
      </c>
      <c r="B60" s="5">
        <v>1.5</v>
      </c>
      <c r="C60" s="5">
        <v>13</v>
      </c>
      <c r="D60" s="5">
        <f t="shared" si="0"/>
        <v>15.08</v>
      </c>
      <c r="E60" s="6">
        <f t="shared" si="1"/>
        <v>0.88461538461538458</v>
      </c>
    </row>
    <row r="61" spans="1:5" ht="13" x14ac:dyDescent="0.15">
      <c r="A61" s="7" t="s">
        <v>65</v>
      </c>
      <c r="B61" s="5">
        <v>0.8</v>
      </c>
      <c r="C61" s="5">
        <v>14</v>
      </c>
      <c r="D61" s="5">
        <f t="shared" si="0"/>
        <v>16.239999999999998</v>
      </c>
      <c r="E61" s="6">
        <f t="shared" si="1"/>
        <v>0.94285714285714284</v>
      </c>
    </row>
    <row r="62" spans="1:5" ht="13" x14ac:dyDescent="0.15">
      <c r="A62" s="7" t="s">
        <v>66</v>
      </c>
      <c r="B62" s="5">
        <v>4.8</v>
      </c>
      <c r="C62" s="5">
        <v>14</v>
      </c>
      <c r="D62" s="5">
        <f t="shared" si="0"/>
        <v>16.239999999999998</v>
      </c>
      <c r="E62" s="6">
        <f t="shared" si="1"/>
        <v>0.65714285714285714</v>
      </c>
    </row>
    <row r="63" spans="1:5" ht="13" x14ac:dyDescent="0.15">
      <c r="A63" s="7" t="s">
        <v>67</v>
      </c>
      <c r="B63" s="5">
        <v>0.96</v>
      </c>
      <c r="C63" s="5">
        <v>13</v>
      </c>
      <c r="D63" s="5">
        <f t="shared" si="0"/>
        <v>15.08</v>
      </c>
      <c r="E63" s="6">
        <f t="shared" si="1"/>
        <v>0.92615384615384611</v>
      </c>
    </row>
    <row r="64" spans="1:5" ht="13" x14ac:dyDescent="0.15">
      <c r="A64" s="7" t="s">
        <v>68</v>
      </c>
      <c r="B64" s="5">
        <v>9.1999999999999993</v>
      </c>
      <c r="C64" s="5">
        <v>14</v>
      </c>
      <c r="D64" s="5">
        <f t="shared" si="0"/>
        <v>16.239999999999998</v>
      </c>
      <c r="E64" s="6">
        <f t="shared" si="1"/>
        <v>0.34285714285714292</v>
      </c>
    </row>
    <row r="65" spans="1:5" ht="13" x14ac:dyDescent="0.15">
      <c r="A65" s="7" t="s">
        <v>69</v>
      </c>
      <c r="B65" s="5">
        <v>9.4</v>
      </c>
      <c r="C65" s="5">
        <v>14</v>
      </c>
      <c r="D65" s="5">
        <f t="shared" si="0"/>
        <v>16.239999999999998</v>
      </c>
      <c r="E65" s="6">
        <f t="shared" si="1"/>
        <v>0.32857142857142857</v>
      </c>
    </row>
    <row r="66" spans="1:5" ht="13" x14ac:dyDescent="0.15">
      <c r="A66" s="7" t="s">
        <v>70</v>
      </c>
      <c r="B66" s="5">
        <v>16.3</v>
      </c>
      <c r="C66" s="5">
        <v>13</v>
      </c>
      <c r="D66" s="5">
        <f t="shared" si="0"/>
        <v>15.08</v>
      </c>
      <c r="E66" s="6">
        <f t="shared" si="1"/>
        <v>-0.25384615384615389</v>
      </c>
    </row>
    <row r="67" spans="1:5" ht="13" x14ac:dyDescent="0.15">
      <c r="A67" s="7" t="s">
        <v>71</v>
      </c>
      <c r="B67" s="5">
        <v>4.5599999999999996</v>
      </c>
      <c r="C67" s="5">
        <v>14</v>
      </c>
      <c r="D67" s="5">
        <f t="shared" si="0"/>
        <v>16.239999999999998</v>
      </c>
      <c r="E67" s="6">
        <f t="shared" si="1"/>
        <v>0.67428571428571438</v>
      </c>
    </row>
    <row r="68" spans="1:5" ht="13" x14ac:dyDescent="0.15">
      <c r="A68" s="7" t="s">
        <v>72</v>
      </c>
      <c r="B68" s="5">
        <v>5.0999999999999996</v>
      </c>
      <c r="C68" s="5">
        <v>14</v>
      </c>
      <c r="D68" s="5">
        <f t="shared" si="0"/>
        <v>16.239999999999998</v>
      </c>
      <c r="E68" s="6">
        <f t="shared" si="1"/>
        <v>0.63571428571428579</v>
      </c>
    </row>
    <row r="69" spans="1:5" ht="13" x14ac:dyDescent="0.15">
      <c r="A69" s="7" t="s">
        <v>73</v>
      </c>
      <c r="B69" s="5">
        <v>4.57</v>
      </c>
      <c r="C69" s="5">
        <v>14</v>
      </c>
      <c r="D69" s="5">
        <f t="shared" si="0"/>
        <v>16.239999999999998</v>
      </c>
      <c r="E69" s="6">
        <f t="shared" si="1"/>
        <v>0.6735714285714286</v>
      </c>
    </row>
    <row r="70" spans="1:5" ht="13" x14ac:dyDescent="0.15">
      <c r="A70" s="7" t="s">
        <v>74</v>
      </c>
      <c r="B70" s="5">
        <v>2.1800000000000002</v>
      </c>
      <c r="C70" s="5">
        <v>14</v>
      </c>
      <c r="D70" s="5">
        <f t="shared" si="0"/>
        <v>16.239999999999998</v>
      </c>
      <c r="E70" s="6">
        <f t="shared" si="1"/>
        <v>0.84428571428571431</v>
      </c>
    </row>
    <row r="71" spans="1:5" ht="13" x14ac:dyDescent="0.15">
      <c r="A71" s="7" t="s">
        <v>75</v>
      </c>
      <c r="B71" s="5">
        <v>2</v>
      </c>
      <c r="C71" s="5">
        <v>14</v>
      </c>
      <c r="D71" s="5">
        <f t="shared" si="0"/>
        <v>16.239999999999998</v>
      </c>
      <c r="E71" s="6">
        <f t="shared" si="1"/>
        <v>0.8571428571428571</v>
      </c>
    </row>
    <row r="72" spans="1:5" ht="13" x14ac:dyDescent="0.15">
      <c r="A72" s="7" t="s">
        <v>76</v>
      </c>
      <c r="B72" s="5">
        <v>2.5</v>
      </c>
      <c r="C72" s="5">
        <v>9</v>
      </c>
      <c r="D72" s="5">
        <f t="shared" si="0"/>
        <v>10.44</v>
      </c>
      <c r="E72" s="6">
        <f t="shared" si="1"/>
        <v>0.72222222222222221</v>
      </c>
    </row>
    <row r="73" spans="1:5" ht="13" x14ac:dyDescent="0.15">
      <c r="A73" s="7" t="s">
        <v>77</v>
      </c>
      <c r="B73" s="5">
        <v>1.5</v>
      </c>
      <c r="C73" s="5">
        <v>13</v>
      </c>
      <c r="D73" s="5">
        <f t="shared" si="0"/>
        <v>15.08</v>
      </c>
      <c r="E73" s="6">
        <f t="shared" si="1"/>
        <v>0.88461538461538458</v>
      </c>
    </row>
    <row r="74" spans="1:5" ht="13" x14ac:dyDescent="0.15">
      <c r="A74" s="7" t="s">
        <v>78</v>
      </c>
      <c r="B74" s="5"/>
      <c r="C74" s="5">
        <v>2</v>
      </c>
      <c r="D74" s="5">
        <f t="shared" si="0"/>
        <v>2.3200000000000003</v>
      </c>
      <c r="E74" s="6">
        <f t="shared" si="1"/>
        <v>1</v>
      </c>
    </row>
    <row r="75" spans="1:5" ht="13" x14ac:dyDescent="0.15">
      <c r="A75" s="7" t="s">
        <v>79</v>
      </c>
      <c r="B75" s="5">
        <f>'Menu item calculator'!F670</f>
        <v>15.2365935230529</v>
      </c>
      <c r="C75" s="5">
        <v>28</v>
      </c>
      <c r="D75" s="5">
        <f t="shared" si="0"/>
        <v>32.479999999999997</v>
      </c>
      <c r="E75" s="6">
        <f t="shared" si="1"/>
        <v>0.45583594560525359</v>
      </c>
    </row>
    <row r="76" spans="1:5" ht="13" x14ac:dyDescent="0.15">
      <c r="A76" s="7" t="s">
        <v>80</v>
      </c>
      <c r="B76" s="5">
        <f>'Menu item calculator'!F687</f>
        <v>12.068348451649207</v>
      </c>
      <c r="C76" s="5">
        <v>28</v>
      </c>
      <c r="D76" s="5">
        <f t="shared" si="0"/>
        <v>32.479999999999997</v>
      </c>
      <c r="E76" s="6">
        <f t="shared" si="1"/>
        <v>0.56898755529824263</v>
      </c>
    </row>
    <row r="77" spans="1:5" ht="13" x14ac:dyDescent="0.15">
      <c r="A77" s="7" t="s">
        <v>81</v>
      </c>
      <c r="B77" s="5"/>
      <c r="C77" s="5"/>
      <c r="D77" s="5">
        <f t="shared" si="0"/>
        <v>0</v>
      </c>
      <c r="E77" s="6" t="e">
        <f t="shared" si="1"/>
        <v>#DIV/0!</v>
      </c>
    </row>
    <row r="78" spans="1:5" ht="13" x14ac:dyDescent="0.15">
      <c r="A78" s="7" t="s">
        <v>82</v>
      </c>
      <c r="B78" s="5">
        <f>'Menu item calculator'!F702</f>
        <v>10.536879820261438</v>
      </c>
      <c r="C78" s="5">
        <v>29</v>
      </c>
      <c r="D78" s="5">
        <f t="shared" si="0"/>
        <v>33.64</v>
      </c>
      <c r="E78" s="6">
        <f t="shared" si="1"/>
        <v>0.63665931654270902</v>
      </c>
    </row>
    <row r="79" spans="1:5" ht="13" x14ac:dyDescent="0.15">
      <c r="A79" s="7" t="s">
        <v>83</v>
      </c>
      <c r="B79" s="5">
        <f>'Menu item calculator'!F717</f>
        <v>6.6146117647058835</v>
      </c>
      <c r="C79" s="5">
        <v>28</v>
      </c>
      <c r="D79" s="5">
        <f t="shared" si="0"/>
        <v>32.479999999999997</v>
      </c>
      <c r="E79" s="6">
        <f t="shared" si="1"/>
        <v>0.76376386554621845</v>
      </c>
    </row>
    <row r="80" spans="1:5" ht="13" x14ac:dyDescent="0.15">
      <c r="A80" s="7" t="s">
        <v>84</v>
      </c>
      <c r="B80" s="5">
        <f>'Menu item calculator'!F732</f>
        <v>9.3146290060851928</v>
      </c>
      <c r="C80" s="5">
        <v>29</v>
      </c>
      <c r="D80" s="5">
        <f t="shared" si="0"/>
        <v>33.64</v>
      </c>
      <c r="E80" s="6">
        <f t="shared" si="1"/>
        <v>0.67880589634188992</v>
      </c>
    </row>
    <row r="81" spans="1:5" ht="13" x14ac:dyDescent="0.15">
      <c r="A81" s="7" t="s">
        <v>85</v>
      </c>
      <c r="B81" s="5"/>
      <c r="C81" s="5"/>
      <c r="D81" s="5">
        <f t="shared" si="0"/>
        <v>0</v>
      </c>
      <c r="E81" s="6" t="e">
        <f t="shared" si="1"/>
        <v>#DIV/0!</v>
      </c>
    </row>
    <row r="82" spans="1:5" ht="13" x14ac:dyDescent="0.15">
      <c r="A82" s="7" t="s">
        <v>86</v>
      </c>
      <c r="B82" s="5">
        <f>'Menu item calculator'!F747</f>
        <v>8.7762663674780246</v>
      </c>
      <c r="C82" s="5">
        <v>28</v>
      </c>
      <c r="D82" s="5">
        <f t="shared" si="0"/>
        <v>32.479999999999997</v>
      </c>
      <c r="E82" s="6">
        <f t="shared" si="1"/>
        <v>0.68656191544721346</v>
      </c>
    </row>
    <row r="83" spans="1:5" ht="13" x14ac:dyDescent="0.15">
      <c r="A83" s="7" t="s">
        <v>87</v>
      </c>
      <c r="B83" s="5">
        <f>'Menu item calculator'!F759</f>
        <v>8.4688572008113603</v>
      </c>
      <c r="C83" s="5">
        <v>28</v>
      </c>
      <c r="D83" s="5">
        <f t="shared" si="0"/>
        <v>32.479999999999997</v>
      </c>
      <c r="E83" s="6">
        <f t="shared" si="1"/>
        <v>0.69754081425673709</v>
      </c>
    </row>
    <row r="84" spans="1:5" ht="13" x14ac:dyDescent="0.15">
      <c r="A84" s="7" t="s">
        <v>88</v>
      </c>
      <c r="B84" s="5">
        <f>'Menu item calculator'!F771</f>
        <v>6.775223867478025</v>
      </c>
      <c r="C84" s="5">
        <v>28</v>
      </c>
      <c r="D84" s="5">
        <f t="shared" si="0"/>
        <v>32.479999999999997</v>
      </c>
      <c r="E84" s="6">
        <f t="shared" si="1"/>
        <v>0.75802771901864197</v>
      </c>
    </row>
    <row r="85" spans="1:5" ht="13" x14ac:dyDescent="0.15">
      <c r="A85" s="7" t="s">
        <v>89</v>
      </c>
      <c r="B85" s="5">
        <f>'Menu item calculator'!F785</f>
        <v>11.938032414486571</v>
      </c>
      <c r="C85" s="5">
        <v>26</v>
      </c>
      <c r="D85" s="5">
        <f t="shared" si="0"/>
        <v>30.16</v>
      </c>
      <c r="E85" s="6">
        <f t="shared" si="1"/>
        <v>0.54084490713513189</v>
      </c>
    </row>
    <row r="86" spans="1:5" ht="13" x14ac:dyDescent="0.15">
      <c r="A86" s="7" t="s">
        <v>90</v>
      </c>
      <c r="B86" s="5">
        <f>'Menu item calculator'!F796</f>
        <v>7.8541173990772783</v>
      </c>
      <c r="C86" s="5">
        <v>16</v>
      </c>
      <c r="D86" s="5">
        <f t="shared" si="0"/>
        <v>18.560000000000002</v>
      </c>
      <c r="E86" s="6">
        <f t="shared" si="1"/>
        <v>0.5091176625576701</v>
      </c>
    </row>
    <row r="87" spans="1:5" ht="13" x14ac:dyDescent="0.15">
      <c r="A87" s="7" t="s">
        <v>91</v>
      </c>
      <c r="B87" s="5">
        <f>'Menu item calculator'!F804</f>
        <v>3.2159121027721431</v>
      </c>
      <c r="C87" s="5">
        <v>16</v>
      </c>
      <c r="D87" s="5">
        <f t="shared" si="0"/>
        <v>18.560000000000002</v>
      </c>
      <c r="E87" s="6">
        <f t="shared" si="1"/>
        <v>0.799005493576741</v>
      </c>
    </row>
    <row r="88" spans="1:5" ht="13" x14ac:dyDescent="0.15">
      <c r="A88" s="7" t="s">
        <v>92</v>
      </c>
      <c r="B88" s="5"/>
      <c r="C88" s="5"/>
      <c r="D88" s="5">
        <f t="shared" si="0"/>
        <v>0</v>
      </c>
      <c r="E88" s="6" t="e">
        <f t="shared" si="1"/>
        <v>#DIV/0!</v>
      </c>
    </row>
    <row r="89" spans="1:5" ht="13" x14ac:dyDescent="0.15">
      <c r="A89" s="7" t="s">
        <v>93</v>
      </c>
      <c r="B89" s="5">
        <f>'Menu item calculator'!F813</f>
        <v>1.5932233333333334</v>
      </c>
      <c r="C89" s="5">
        <v>16</v>
      </c>
      <c r="D89" s="5">
        <f t="shared" si="0"/>
        <v>18.560000000000002</v>
      </c>
      <c r="E89" s="6">
        <f t="shared" si="1"/>
        <v>0.9004235416666666</v>
      </c>
    </row>
    <row r="90" spans="1:5" ht="13" x14ac:dyDescent="0.15">
      <c r="A90" s="7" t="s">
        <v>94</v>
      </c>
      <c r="B90" s="5">
        <f>'Menu item calculator'!F823</f>
        <v>8.2742777777777778</v>
      </c>
      <c r="C90" s="5">
        <v>26</v>
      </c>
      <c r="D90" s="5">
        <f t="shared" si="0"/>
        <v>30.16</v>
      </c>
      <c r="E90" s="6">
        <f t="shared" si="1"/>
        <v>0.6817585470085471</v>
      </c>
    </row>
    <row r="91" spans="1:5" ht="13" x14ac:dyDescent="0.15">
      <c r="A91" s="7" t="s">
        <v>95</v>
      </c>
      <c r="B91" s="5">
        <f>'Menu item calculator'!F833</f>
        <v>8.6657777777777767</v>
      </c>
      <c r="C91" s="5">
        <v>26</v>
      </c>
      <c r="D91" s="5">
        <f t="shared" si="0"/>
        <v>30.16</v>
      </c>
      <c r="E91" s="6">
        <f t="shared" si="1"/>
        <v>0.66670085470085472</v>
      </c>
    </row>
    <row r="92" spans="1:5" ht="13" x14ac:dyDescent="0.15">
      <c r="A92" s="7" t="s">
        <v>96</v>
      </c>
      <c r="B92" s="5">
        <f>'Menu item calculator'!F843</f>
        <v>8.2742777777777778</v>
      </c>
      <c r="C92" s="5">
        <v>26</v>
      </c>
      <c r="D92" s="5">
        <f t="shared" si="0"/>
        <v>30.16</v>
      </c>
      <c r="E92" s="6">
        <f t="shared" si="1"/>
        <v>0.6817585470085471</v>
      </c>
    </row>
    <row r="93" spans="1:5" ht="13" x14ac:dyDescent="0.15">
      <c r="A93" s="7" t="s">
        <v>97</v>
      </c>
      <c r="B93" s="5">
        <f>'Menu item calculator'!F853</f>
        <v>8.2742777777777778</v>
      </c>
      <c r="C93" s="5">
        <v>27</v>
      </c>
      <c r="D93" s="5">
        <f t="shared" si="0"/>
        <v>31.32</v>
      </c>
      <c r="E93" s="6">
        <f t="shared" si="1"/>
        <v>0.69354526748971201</v>
      </c>
    </row>
    <row r="94" spans="1:5" ht="13" x14ac:dyDescent="0.15">
      <c r="A94" s="7" t="s">
        <v>98</v>
      </c>
      <c r="B94" s="5"/>
      <c r="C94" s="5"/>
      <c r="D94" s="5">
        <f t="shared" si="0"/>
        <v>0</v>
      </c>
      <c r="E94" s="6" t="e">
        <f t="shared" si="1"/>
        <v>#DIV/0!</v>
      </c>
    </row>
    <row r="95" spans="1:5" ht="13" x14ac:dyDescent="0.15">
      <c r="A95" s="7" t="s">
        <v>99</v>
      </c>
      <c r="B95" s="5">
        <f>'Menu item calculator'!F866</f>
        <v>2.0725221230158728</v>
      </c>
      <c r="C95" s="5">
        <v>25</v>
      </c>
      <c r="D95" s="5">
        <f t="shared" si="0"/>
        <v>29</v>
      </c>
      <c r="E95" s="6">
        <f t="shared" si="1"/>
        <v>0.91709911507936515</v>
      </c>
    </row>
    <row r="96" spans="1:5" ht="13" x14ac:dyDescent="0.15">
      <c r="A96" s="7" t="s">
        <v>100</v>
      </c>
      <c r="B96" s="5">
        <f>'Menu item calculator'!F875</f>
        <v>2.9904746527777775</v>
      </c>
      <c r="C96" s="5">
        <v>22</v>
      </c>
      <c r="D96" s="5">
        <f t="shared" si="0"/>
        <v>25.52</v>
      </c>
      <c r="E96" s="6">
        <f t="shared" si="1"/>
        <v>0.86406933396464647</v>
      </c>
    </row>
    <row r="97" spans="1:6" ht="13" x14ac:dyDescent="0.15">
      <c r="A97" s="7" t="s">
        <v>101</v>
      </c>
      <c r="B97" s="5">
        <f>'Menu item calculator'!F885</f>
        <v>4.2914642857142855</v>
      </c>
      <c r="C97" s="5">
        <v>28</v>
      </c>
      <c r="D97" s="5">
        <f t="shared" si="0"/>
        <v>32.479999999999997</v>
      </c>
      <c r="E97" s="6">
        <f t="shared" si="1"/>
        <v>0.84673341836734706</v>
      </c>
    </row>
    <row r="98" spans="1:6" ht="13" x14ac:dyDescent="0.15">
      <c r="A98" s="7" t="s">
        <v>102</v>
      </c>
      <c r="B98" s="5">
        <f>'Menu item calculator'!F902</f>
        <v>11.494404761904761</v>
      </c>
      <c r="C98" s="5">
        <v>30</v>
      </c>
      <c r="D98" s="5">
        <f t="shared" si="0"/>
        <v>34.799999999999997</v>
      </c>
      <c r="E98" s="6">
        <f t="shared" si="1"/>
        <v>0.61685317460317468</v>
      </c>
    </row>
    <row r="99" spans="1:6" ht="13" x14ac:dyDescent="0.15">
      <c r="A99" s="7" t="s">
        <v>103</v>
      </c>
      <c r="B99" s="5">
        <f>'Menu item calculator'!F914</f>
        <v>7.0877777777777773</v>
      </c>
      <c r="C99" s="5">
        <v>24</v>
      </c>
      <c r="D99" s="5">
        <f t="shared" si="0"/>
        <v>27.840000000000003</v>
      </c>
      <c r="E99" s="6">
        <f t="shared" si="1"/>
        <v>0.70467592592592598</v>
      </c>
    </row>
    <row r="100" spans="1:6" ht="13" x14ac:dyDescent="0.15">
      <c r="A100" s="7" t="s">
        <v>104</v>
      </c>
      <c r="B100" s="5">
        <v>3.3643375000000004</v>
      </c>
      <c r="C100" s="5">
        <v>24</v>
      </c>
      <c r="D100" s="5">
        <f t="shared" si="0"/>
        <v>27.840000000000003</v>
      </c>
      <c r="E100" s="6">
        <f t="shared" si="1"/>
        <v>0.85981927083333332</v>
      </c>
      <c r="F100" s="53" t="s">
        <v>105</v>
      </c>
    </row>
    <row r="101" spans="1:6" ht="13" x14ac:dyDescent="0.15">
      <c r="A101" s="7" t="s">
        <v>106</v>
      </c>
      <c r="B101" s="5">
        <f>'Menu item calculator'!F928</f>
        <v>3.4122727272727271</v>
      </c>
      <c r="C101" s="5">
        <v>24</v>
      </c>
      <c r="D101" s="5">
        <f t="shared" si="0"/>
        <v>27.840000000000003</v>
      </c>
      <c r="E101" s="6">
        <f t="shared" si="1"/>
        <v>0.85782196969696967</v>
      </c>
    </row>
    <row r="102" spans="1:6" ht="13" x14ac:dyDescent="0.15">
      <c r="A102" s="7" t="s">
        <v>107</v>
      </c>
      <c r="B102" s="5">
        <f>'Menu item calculator'!F940</f>
        <v>17.072000000000003</v>
      </c>
      <c r="C102" s="5">
        <v>30</v>
      </c>
      <c r="D102" s="5">
        <f t="shared" si="0"/>
        <v>34.799999999999997</v>
      </c>
      <c r="E102" s="6">
        <f t="shared" si="1"/>
        <v>0.43093333333333322</v>
      </c>
    </row>
    <row r="103" spans="1:6" ht="13" x14ac:dyDescent="0.15">
      <c r="A103" s="7" t="s">
        <v>108</v>
      </c>
      <c r="B103" s="5">
        <f>'Menu item calculator'!F953</f>
        <v>10.669278761061946</v>
      </c>
      <c r="C103" s="5">
        <v>30</v>
      </c>
      <c r="D103" s="5">
        <f t="shared" si="0"/>
        <v>34.799999999999997</v>
      </c>
      <c r="E103" s="6">
        <f t="shared" si="1"/>
        <v>0.64435737463126841</v>
      </c>
    </row>
    <row r="104" spans="1:6" ht="13" x14ac:dyDescent="0.15">
      <c r="A104" s="7" t="s">
        <v>109</v>
      </c>
      <c r="B104" s="5">
        <f>'Menu item calculator'!F967</f>
        <v>6.6424999999999992</v>
      </c>
      <c r="C104" s="5">
        <v>32</v>
      </c>
      <c r="D104" s="5">
        <f t="shared" si="0"/>
        <v>37.120000000000005</v>
      </c>
      <c r="E104" s="6">
        <f t="shared" si="1"/>
        <v>0.79242187500000005</v>
      </c>
    </row>
    <row r="105" spans="1:6" ht="13" x14ac:dyDescent="0.15">
      <c r="A105" s="7" t="s">
        <v>110</v>
      </c>
      <c r="B105" s="5">
        <f>'Menu item calculator'!F981</f>
        <v>11.714</v>
      </c>
      <c r="C105" s="5">
        <v>32</v>
      </c>
      <c r="D105" s="5">
        <f t="shared" si="0"/>
        <v>37.120000000000005</v>
      </c>
      <c r="E105" s="6">
        <f t="shared" si="1"/>
        <v>0.63393750000000004</v>
      </c>
    </row>
    <row r="106" spans="1:6" ht="13" x14ac:dyDescent="0.15">
      <c r="A106" s="7" t="s">
        <v>111</v>
      </c>
      <c r="B106" s="5"/>
      <c r="C106" s="5"/>
      <c r="D106" s="5">
        <f t="shared" si="0"/>
        <v>0</v>
      </c>
      <c r="E106" s="6" t="e">
        <f t="shared" si="1"/>
        <v>#DIV/0!</v>
      </c>
    </row>
    <row r="107" spans="1:6" ht="13" x14ac:dyDescent="0.15">
      <c r="A107" s="7" t="s">
        <v>112</v>
      </c>
      <c r="B107" s="5"/>
      <c r="C107" s="5">
        <v>10</v>
      </c>
      <c r="D107" s="5">
        <f t="shared" si="0"/>
        <v>11.6</v>
      </c>
      <c r="E107" s="6">
        <f t="shared" si="1"/>
        <v>1</v>
      </c>
    </row>
    <row r="108" spans="1:6" ht="13" x14ac:dyDescent="0.15">
      <c r="A108" s="7" t="s">
        <v>113</v>
      </c>
      <c r="B108" s="5"/>
      <c r="C108" s="5">
        <v>10</v>
      </c>
      <c r="D108" s="5">
        <f t="shared" si="0"/>
        <v>11.6</v>
      </c>
      <c r="E108" s="6">
        <f t="shared" si="1"/>
        <v>1</v>
      </c>
    </row>
    <row r="109" spans="1:6" ht="13" x14ac:dyDescent="0.15">
      <c r="A109" s="7" t="s">
        <v>114</v>
      </c>
      <c r="B109" s="5"/>
      <c r="C109" s="5">
        <v>10</v>
      </c>
      <c r="D109" s="5">
        <f t="shared" si="0"/>
        <v>11.6</v>
      </c>
      <c r="E109" s="6">
        <f t="shared" si="1"/>
        <v>1</v>
      </c>
    </row>
    <row r="110" spans="1:6" ht="13" x14ac:dyDescent="0.15">
      <c r="A110" s="7" t="s">
        <v>115</v>
      </c>
      <c r="B110" s="5"/>
      <c r="C110" s="5">
        <v>10</v>
      </c>
      <c r="D110" s="5">
        <f t="shared" si="0"/>
        <v>11.6</v>
      </c>
      <c r="E110" s="6">
        <f t="shared" si="1"/>
        <v>1</v>
      </c>
    </row>
    <row r="111" spans="1:6" ht="13" x14ac:dyDescent="0.15">
      <c r="A111" s="7" t="s">
        <v>116</v>
      </c>
      <c r="B111" s="5"/>
      <c r="C111" s="5">
        <v>10</v>
      </c>
      <c r="D111" s="5">
        <f t="shared" si="0"/>
        <v>11.6</v>
      </c>
      <c r="E111" s="6">
        <f t="shared" si="1"/>
        <v>1</v>
      </c>
    </row>
    <row r="112" spans="1:6" ht="13" x14ac:dyDescent="0.15">
      <c r="A112" s="7" t="s">
        <v>117</v>
      </c>
      <c r="B112" s="5"/>
      <c r="C112" s="5">
        <v>10</v>
      </c>
      <c r="D112" s="5">
        <f t="shared" si="0"/>
        <v>11.6</v>
      </c>
      <c r="E112" s="6">
        <f t="shared" si="1"/>
        <v>1</v>
      </c>
    </row>
    <row r="113" spans="1:5" ht="13" x14ac:dyDescent="0.15">
      <c r="A113" s="7" t="s">
        <v>118</v>
      </c>
      <c r="B113" s="5"/>
      <c r="C113" s="5">
        <v>10</v>
      </c>
      <c r="D113" s="5">
        <f t="shared" si="0"/>
        <v>11.6</v>
      </c>
      <c r="E113" s="6">
        <f t="shared" si="1"/>
        <v>1</v>
      </c>
    </row>
    <row r="114" spans="1:5" ht="13" x14ac:dyDescent="0.15">
      <c r="A114" s="7" t="s">
        <v>119</v>
      </c>
      <c r="B114" s="5"/>
      <c r="C114" s="5">
        <v>10</v>
      </c>
      <c r="D114" s="5">
        <f t="shared" si="0"/>
        <v>11.6</v>
      </c>
      <c r="E114" s="6">
        <f t="shared" si="1"/>
        <v>1</v>
      </c>
    </row>
    <row r="115" spans="1:5" ht="13" x14ac:dyDescent="0.15">
      <c r="A115" s="7" t="s">
        <v>120</v>
      </c>
      <c r="B115" s="5"/>
      <c r="C115" s="5">
        <v>10</v>
      </c>
      <c r="D115" s="5">
        <f t="shared" si="0"/>
        <v>11.6</v>
      </c>
      <c r="E115" s="6">
        <f t="shared" si="1"/>
        <v>1</v>
      </c>
    </row>
    <row r="116" spans="1:5" ht="13" x14ac:dyDescent="0.15">
      <c r="A116" s="7" t="s">
        <v>121</v>
      </c>
      <c r="B116" s="5"/>
      <c r="C116" s="5">
        <v>14</v>
      </c>
      <c r="D116" s="5">
        <f t="shared" si="0"/>
        <v>16.239999999999998</v>
      </c>
      <c r="E116" s="6">
        <f t="shared" si="1"/>
        <v>1</v>
      </c>
    </row>
    <row r="117" spans="1:5" ht="13" x14ac:dyDescent="0.15">
      <c r="A117" s="7" t="s">
        <v>122</v>
      </c>
      <c r="B117" s="5"/>
      <c r="C117" s="5">
        <v>10</v>
      </c>
      <c r="D117" s="5">
        <f t="shared" si="0"/>
        <v>11.6</v>
      </c>
      <c r="E117" s="6">
        <f t="shared" si="1"/>
        <v>1</v>
      </c>
    </row>
    <row r="118" spans="1:5" ht="13" x14ac:dyDescent="0.15">
      <c r="A118" s="7" t="s">
        <v>123</v>
      </c>
      <c r="B118" s="5"/>
      <c r="C118" s="5">
        <v>15</v>
      </c>
      <c r="D118" s="5">
        <f t="shared" si="0"/>
        <v>17.399999999999999</v>
      </c>
      <c r="E118" s="6">
        <f t="shared" si="1"/>
        <v>1</v>
      </c>
    </row>
    <row r="119" spans="1:5" ht="13" x14ac:dyDescent="0.15">
      <c r="A119" s="7" t="s">
        <v>124</v>
      </c>
      <c r="B119" s="5"/>
      <c r="C119" s="5">
        <v>10</v>
      </c>
      <c r="D119" s="5">
        <f t="shared" si="0"/>
        <v>11.6</v>
      </c>
      <c r="E119" s="6">
        <f t="shared" si="1"/>
        <v>1</v>
      </c>
    </row>
    <row r="120" spans="1:5" ht="13" x14ac:dyDescent="0.15">
      <c r="A120" s="7" t="s">
        <v>125</v>
      </c>
      <c r="B120" s="5"/>
      <c r="C120" s="5">
        <v>10</v>
      </c>
      <c r="D120" s="5">
        <f t="shared" si="0"/>
        <v>11.6</v>
      </c>
      <c r="E120" s="6">
        <f t="shared" si="1"/>
        <v>1</v>
      </c>
    </row>
    <row r="121" spans="1:5" ht="13" x14ac:dyDescent="0.15">
      <c r="A121" s="7" t="s">
        <v>126</v>
      </c>
      <c r="B121" s="5"/>
      <c r="C121" s="5">
        <v>10</v>
      </c>
      <c r="D121" s="5">
        <f t="shared" si="0"/>
        <v>11.6</v>
      </c>
      <c r="E121" s="6">
        <f t="shared" si="1"/>
        <v>1</v>
      </c>
    </row>
    <row r="122" spans="1:5" ht="13" x14ac:dyDescent="0.15">
      <c r="A122" s="7" t="s">
        <v>127</v>
      </c>
      <c r="B122" s="5"/>
      <c r="C122" s="5">
        <v>14</v>
      </c>
      <c r="D122" s="5">
        <f t="shared" si="0"/>
        <v>16.239999999999998</v>
      </c>
      <c r="E122" s="6">
        <f t="shared" si="1"/>
        <v>1</v>
      </c>
    </row>
    <row r="123" spans="1:5" ht="13" x14ac:dyDescent="0.15">
      <c r="A123" s="7" t="s">
        <v>128</v>
      </c>
      <c r="B123" s="5"/>
      <c r="C123" s="5">
        <v>14</v>
      </c>
      <c r="D123" s="5">
        <f t="shared" si="0"/>
        <v>16.239999999999998</v>
      </c>
      <c r="E123" s="6">
        <f t="shared" si="1"/>
        <v>1</v>
      </c>
    </row>
    <row r="124" spans="1:5" ht="13" x14ac:dyDescent="0.15">
      <c r="A124" s="7" t="s">
        <v>129</v>
      </c>
      <c r="B124" s="5"/>
      <c r="C124" s="5">
        <v>14</v>
      </c>
      <c r="D124" s="5">
        <f t="shared" si="0"/>
        <v>16.239999999999998</v>
      </c>
      <c r="E124" s="6">
        <f t="shared" si="1"/>
        <v>1</v>
      </c>
    </row>
    <row r="125" spans="1:5" ht="13" x14ac:dyDescent="0.15">
      <c r="A125" s="7" t="s">
        <v>130</v>
      </c>
      <c r="B125" s="5"/>
      <c r="C125" s="5">
        <v>14</v>
      </c>
      <c r="D125" s="5">
        <f t="shared" si="0"/>
        <v>16.239999999999998</v>
      </c>
      <c r="E125" s="6">
        <f t="shared" si="1"/>
        <v>1</v>
      </c>
    </row>
    <row r="126" spans="1:5" ht="13" x14ac:dyDescent="0.15">
      <c r="A126" s="7" t="s">
        <v>131</v>
      </c>
      <c r="B126" s="5"/>
      <c r="C126" s="5">
        <v>14</v>
      </c>
      <c r="D126" s="5">
        <f t="shared" si="0"/>
        <v>16.239999999999998</v>
      </c>
      <c r="E126" s="6">
        <f t="shared" si="1"/>
        <v>1</v>
      </c>
    </row>
    <row r="127" spans="1:5" ht="13" x14ac:dyDescent="0.15">
      <c r="A127" s="7" t="s">
        <v>132</v>
      </c>
      <c r="B127" s="5"/>
      <c r="C127" s="5">
        <v>10</v>
      </c>
      <c r="D127" s="5">
        <f t="shared" si="0"/>
        <v>11.6</v>
      </c>
      <c r="E127" s="6">
        <f t="shared" si="1"/>
        <v>1</v>
      </c>
    </row>
    <row r="128" spans="1:5" ht="13" x14ac:dyDescent="0.15">
      <c r="A128" s="7" t="s">
        <v>133</v>
      </c>
      <c r="B128" s="5"/>
      <c r="C128" s="5">
        <v>10</v>
      </c>
      <c r="D128" s="5">
        <f t="shared" si="0"/>
        <v>11.6</v>
      </c>
      <c r="E128" s="6">
        <f t="shared" si="1"/>
        <v>1</v>
      </c>
    </row>
    <row r="129" spans="1:5" ht="13" x14ac:dyDescent="0.15">
      <c r="A129" s="7" t="s">
        <v>134</v>
      </c>
      <c r="B129" s="5"/>
      <c r="C129" s="5">
        <v>10</v>
      </c>
      <c r="D129" s="5">
        <f t="shared" si="0"/>
        <v>11.6</v>
      </c>
      <c r="E129" s="6">
        <f t="shared" si="1"/>
        <v>1</v>
      </c>
    </row>
    <row r="130" spans="1:5" ht="13" x14ac:dyDescent="0.15">
      <c r="A130" s="7" t="s">
        <v>135</v>
      </c>
      <c r="B130" s="5"/>
      <c r="C130" s="5">
        <v>14</v>
      </c>
      <c r="D130" s="5">
        <f t="shared" si="0"/>
        <v>16.239999999999998</v>
      </c>
      <c r="E130" s="6">
        <f t="shared" si="1"/>
        <v>1</v>
      </c>
    </row>
    <row r="131" spans="1:5" ht="13" x14ac:dyDescent="0.15">
      <c r="A131" s="7" t="s">
        <v>136</v>
      </c>
      <c r="B131" s="5"/>
      <c r="C131" s="5">
        <v>14</v>
      </c>
      <c r="D131" s="5">
        <f t="shared" si="0"/>
        <v>16.239999999999998</v>
      </c>
      <c r="E131" s="6">
        <f t="shared" si="1"/>
        <v>1</v>
      </c>
    </row>
    <row r="132" spans="1:5" ht="13" x14ac:dyDescent="0.15">
      <c r="A132" s="7" t="s">
        <v>137</v>
      </c>
      <c r="B132" s="5"/>
      <c r="C132" s="5">
        <v>14</v>
      </c>
      <c r="D132" s="5">
        <f t="shared" si="0"/>
        <v>16.239999999999998</v>
      </c>
      <c r="E132" s="6">
        <f t="shared" si="1"/>
        <v>1</v>
      </c>
    </row>
    <row r="133" spans="1:5" ht="13" x14ac:dyDescent="0.15">
      <c r="A133" s="7" t="s">
        <v>138</v>
      </c>
      <c r="B133" s="5"/>
      <c r="C133" s="5">
        <v>14</v>
      </c>
      <c r="D133" s="5">
        <f t="shared" si="0"/>
        <v>16.239999999999998</v>
      </c>
      <c r="E133" s="6">
        <f t="shared" si="1"/>
        <v>1</v>
      </c>
    </row>
    <row r="134" spans="1:5" ht="13" x14ac:dyDescent="0.15">
      <c r="A134" s="7" t="s">
        <v>139</v>
      </c>
      <c r="B134" s="5"/>
      <c r="C134" s="5"/>
      <c r="D134" s="5">
        <f t="shared" si="0"/>
        <v>0</v>
      </c>
      <c r="E134" s="6" t="e">
        <f t="shared" si="1"/>
        <v>#DIV/0!</v>
      </c>
    </row>
    <row r="135" spans="1:5" ht="13" x14ac:dyDescent="0.15">
      <c r="A135" s="7" t="s">
        <v>140</v>
      </c>
      <c r="B135" s="5"/>
      <c r="C135" s="5">
        <v>10</v>
      </c>
      <c r="D135" s="5">
        <f t="shared" si="0"/>
        <v>11.6</v>
      </c>
      <c r="E135" s="6">
        <f t="shared" si="1"/>
        <v>1</v>
      </c>
    </row>
    <row r="136" spans="1:5" ht="13" x14ac:dyDescent="0.15">
      <c r="A136" s="7" t="s">
        <v>141</v>
      </c>
      <c r="B136" s="5"/>
      <c r="C136" s="5">
        <v>10</v>
      </c>
      <c r="D136" s="5">
        <f t="shared" si="0"/>
        <v>11.6</v>
      </c>
      <c r="E136" s="6">
        <f t="shared" si="1"/>
        <v>1</v>
      </c>
    </row>
    <row r="137" spans="1:5" ht="13" x14ac:dyDescent="0.15">
      <c r="A137" s="7" t="s">
        <v>142</v>
      </c>
      <c r="B137" s="5"/>
      <c r="C137" s="5">
        <v>10</v>
      </c>
      <c r="D137" s="5">
        <f t="shared" si="0"/>
        <v>11.6</v>
      </c>
      <c r="E137" s="6">
        <f t="shared" si="1"/>
        <v>1</v>
      </c>
    </row>
    <row r="138" spans="1:5" ht="13" x14ac:dyDescent="0.15">
      <c r="A138" s="7" t="s">
        <v>143</v>
      </c>
      <c r="B138" s="5"/>
      <c r="C138" s="5">
        <v>10</v>
      </c>
      <c r="D138" s="5">
        <f t="shared" si="0"/>
        <v>11.6</v>
      </c>
      <c r="E138" s="6">
        <f t="shared" si="1"/>
        <v>1</v>
      </c>
    </row>
    <row r="139" spans="1:5" ht="13" x14ac:dyDescent="0.15">
      <c r="A139" s="7" t="s">
        <v>144</v>
      </c>
      <c r="B139" s="5"/>
      <c r="C139" s="5">
        <v>10</v>
      </c>
      <c r="D139" s="5">
        <f t="shared" si="0"/>
        <v>11.6</v>
      </c>
      <c r="E139" s="6">
        <f t="shared" si="1"/>
        <v>1</v>
      </c>
    </row>
    <row r="140" spans="1:5" ht="13" x14ac:dyDescent="0.15">
      <c r="A140" s="7" t="s">
        <v>145</v>
      </c>
      <c r="B140" s="5"/>
      <c r="C140" s="5">
        <v>10</v>
      </c>
      <c r="D140" s="5">
        <f t="shared" si="0"/>
        <v>11.6</v>
      </c>
      <c r="E140" s="6">
        <f t="shared" si="1"/>
        <v>1</v>
      </c>
    </row>
    <row r="141" spans="1:5" ht="13" x14ac:dyDescent="0.15">
      <c r="A141" s="7" t="s">
        <v>146</v>
      </c>
      <c r="B141" s="5"/>
      <c r="C141" s="5">
        <v>10</v>
      </c>
      <c r="D141" s="5">
        <f t="shared" si="0"/>
        <v>11.6</v>
      </c>
      <c r="E141" s="6">
        <f t="shared" si="1"/>
        <v>1</v>
      </c>
    </row>
    <row r="142" spans="1:5" ht="13" x14ac:dyDescent="0.15">
      <c r="A142" s="7" t="s">
        <v>147</v>
      </c>
      <c r="B142" s="5"/>
      <c r="C142" s="5"/>
      <c r="D142" s="5">
        <f t="shared" si="0"/>
        <v>0</v>
      </c>
      <c r="E142" s="6" t="e">
        <f t="shared" si="1"/>
        <v>#DIV/0!</v>
      </c>
    </row>
    <row r="143" spans="1:5" ht="13" x14ac:dyDescent="0.15">
      <c r="A143" s="7" t="s">
        <v>148</v>
      </c>
      <c r="B143" s="5"/>
      <c r="C143" s="5">
        <v>140</v>
      </c>
      <c r="D143" s="5">
        <f t="shared" si="0"/>
        <v>162.4</v>
      </c>
      <c r="E143" s="6">
        <f t="shared" si="1"/>
        <v>1</v>
      </c>
    </row>
    <row r="144" spans="1:5" ht="13" x14ac:dyDescent="0.15">
      <c r="A144" s="7" t="s">
        <v>149</v>
      </c>
      <c r="B144" s="5"/>
      <c r="C144" s="5">
        <v>140</v>
      </c>
      <c r="D144" s="5">
        <f t="shared" si="0"/>
        <v>162.4</v>
      </c>
      <c r="E144" s="6">
        <f t="shared" si="1"/>
        <v>1</v>
      </c>
    </row>
    <row r="145" spans="1:10" ht="13" x14ac:dyDescent="0.15">
      <c r="A145" s="7" t="s">
        <v>150</v>
      </c>
      <c r="B145" s="5"/>
      <c r="C145" s="5">
        <v>100</v>
      </c>
      <c r="D145" s="5">
        <f t="shared" si="0"/>
        <v>116</v>
      </c>
      <c r="E145" s="6">
        <f t="shared" si="1"/>
        <v>1</v>
      </c>
    </row>
    <row r="146" spans="1:10" ht="13" x14ac:dyDescent="0.15">
      <c r="A146" s="7" t="s">
        <v>151</v>
      </c>
      <c r="B146" s="5"/>
      <c r="C146" s="5"/>
      <c r="D146" s="5">
        <f t="shared" si="0"/>
        <v>0</v>
      </c>
      <c r="E146" s="6" t="e">
        <f t="shared" si="1"/>
        <v>#DIV/0!</v>
      </c>
    </row>
    <row r="147" spans="1:10" ht="13" x14ac:dyDescent="0.15">
      <c r="A147" s="7" t="s">
        <v>152</v>
      </c>
      <c r="B147" s="5">
        <v>2.6502163120567372</v>
      </c>
      <c r="C147" s="5">
        <v>25</v>
      </c>
      <c r="D147" s="5">
        <f t="shared" si="0"/>
        <v>29</v>
      </c>
      <c r="E147" s="6">
        <f t="shared" si="1"/>
        <v>0.89399134751773046</v>
      </c>
    </row>
    <row r="148" spans="1:10" ht="13" x14ac:dyDescent="0.15">
      <c r="A148" s="7" t="s">
        <v>153</v>
      </c>
      <c r="B148" s="5">
        <v>3.9619444444444443</v>
      </c>
      <c r="C148" s="5">
        <v>26</v>
      </c>
      <c r="D148" s="5">
        <f t="shared" si="0"/>
        <v>30.16</v>
      </c>
      <c r="E148" s="6">
        <f t="shared" si="1"/>
        <v>0.84761752136752133</v>
      </c>
    </row>
    <row r="149" spans="1:10" ht="13" x14ac:dyDescent="0.15">
      <c r="A149" s="7" t="s">
        <v>154</v>
      </c>
      <c r="B149" s="5">
        <v>5.1507136752136757</v>
      </c>
      <c r="C149" s="5">
        <v>26</v>
      </c>
      <c r="D149" s="5">
        <f t="shared" si="0"/>
        <v>30.16</v>
      </c>
      <c r="E149" s="6">
        <f t="shared" si="1"/>
        <v>0.80189562787639701</v>
      </c>
    </row>
    <row r="150" spans="1:10" ht="13" x14ac:dyDescent="0.15">
      <c r="A150" s="7" t="s">
        <v>155</v>
      </c>
      <c r="B150" s="5"/>
      <c r="C150" s="5"/>
      <c r="D150" s="5">
        <f t="shared" si="0"/>
        <v>0</v>
      </c>
      <c r="E150" s="6" t="e">
        <f t="shared" si="1"/>
        <v>#DIV/0!</v>
      </c>
    </row>
    <row r="151" spans="1:10" ht="13" x14ac:dyDescent="0.15">
      <c r="A151" s="7" t="s">
        <v>156</v>
      </c>
      <c r="B151" s="5">
        <v>5.141770717893217</v>
      </c>
      <c r="C151" s="5">
        <v>28</v>
      </c>
      <c r="D151" s="5">
        <f t="shared" si="0"/>
        <v>32.479999999999997</v>
      </c>
      <c r="E151" s="6">
        <f t="shared" si="1"/>
        <v>0.81636533150381374</v>
      </c>
    </row>
    <row r="152" spans="1:10" ht="13" x14ac:dyDescent="0.15">
      <c r="A152" s="7" t="s">
        <v>157</v>
      </c>
      <c r="B152" s="5">
        <v>6.6514522178932181</v>
      </c>
      <c r="C152" s="5">
        <v>32</v>
      </c>
      <c r="D152" s="5">
        <f t="shared" si="0"/>
        <v>37.120000000000005</v>
      </c>
      <c r="E152" s="6">
        <f t="shared" si="1"/>
        <v>0.79214211819083691</v>
      </c>
      <c r="J152" t="s">
        <v>158</v>
      </c>
    </row>
    <row r="153" spans="1:10" ht="13" x14ac:dyDescent="0.15">
      <c r="A153" s="7" t="s">
        <v>159</v>
      </c>
      <c r="B153" s="8" t="s">
        <v>23</v>
      </c>
      <c r="C153" s="5">
        <v>32</v>
      </c>
      <c r="D153" s="5">
        <f t="shared" si="0"/>
        <v>37.120000000000005</v>
      </c>
      <c r="E153" s="6" t="e">
        <f t="shared" si="1"/>
        <v>#VALUE!</v>
      </c>
    </row>
    <row r="154" spans="1:10" ht="13" x14ac:dyDescent="0.15">
      <c r="A154" s="7" t="s">
        <v>160</v>
      </c>
      <c r="B154" s="5">
        <v>4.651270717893218</v>
      </c>
      <c r="C154" s="5">
        <v>28</v>
      </c>
      <c r="D154" s="5">
        <f t="shared" si="0"/>
        <v>32.479999999999997</v>
      </c>
      <c r="E154" s="6">
        <f t="shared" si="1"/>
        <v>0.83388318864667077</v>
      </c>
    </row>
    <row r="155" spans="1:10" ht="13" x14ac:dyDescent="0.15">
      <c r="A155" s="7" t="s">
        <v>161</v>
      </c>
      <c r="B155" s="5">
        <v>10.421187384559884</v>
      </c>
      <c r="C155" s="5">
        <v>38</v>
      </c>
      <c r="D155" s="5">
        <f t="shared" si="0"/>
        <v>44.08</v>
      </c>
      <c r="E155" s="6">
        <f t="shared" si="1"/>
        <v>0.72575822672210821</v>
      </c>
    </row>
    <row r="156" spans="1:10" ht="13" x14ac:dyDescent="0.15">
      <c r="A156" s="7" t="s">
        <v>162</v>
      </c>
      <c r="B156" s="8" t="s">
        <v>23</v>
      </c>
      <c r="C156" s="5">
        <v>29</v>
      </c>
      <c r="D156" s="5">
        <f t="shared" si="0"/>
        <v>33.64</v>
      </c>
      <c r="E156" s="6" t="e">
        <f t="shared" si="1"/>
        <v>#VALUE!</v>
      </c>
    </row>
    <row r="157" spans="1:10" ht="13" x14ac:dyDescent="0.15">
      <c r="A157" s="7" t="s">
        <v>163</v>
      </c>
      <c r="B157" s="8" t="s">
        <v>23</v>
      </c>
      <c r="C157" s="5">
        <v>32</v>
      </c>
      <c r="D157" s="5">
        <f t="shared" si="0"/>
        <v>37.120000000000005</v>
      </c>
      <c r="E157" s="6" t="e">
        <f t="shared" si="1"/>
        <v>#VALUE!</v>
      </c>
    </row>
    <row r="158" spans="1:10" ht="13" x14ac:dyDescent="0.15">
      <c r="A158" s="7" t="s">
        <v>164</v>
      </c>
      <c r="B158" s="5">
        <v>10.861682334054834</v>
      </c>
      <c r="C158" s="5">
        <v>36</v>
      </c>
      <c r="D158" s="5">
        <f t="shared" si="0"/>
        <v>41.76</v>
      </c>
      <c r="E158" s="6">
        <f t="shared" si="1"/>
        <v>0.69828660183181013</v>
      </c>
    </row>
    <row r="159" spans="1:10" ht="13" x14ac:dyDescent="0.15">
      <c r="A159" s="7" t="s">
        <v>165</v>
      </c>
      <c r="B159" s="8" t="s">
        <v>23</v>
      </c>
      <c r="C159" s="5">
        <v>32</v>
      </c>
      <c r="D159" s="5">
        <f t="shared" si="0"/>
        <v>37.120000000000005</v>
      </c>
      <c r="E159" s="6" t="e">
        <f t="shared" si="1"/>
        <v>#VALUE!</v>
      </c>
    </row>
    <row r="160" spans="1:10" ht="13" x14ac:dyDescent="0.15">
      <c r="A160" s="7" t="s">
        <v>166</v>
      </c>
      <c r="B160" s="5"/>
      <c r="C160" s="5"/>
      <c r="D160" s="5">
        <f t="shared" si="0"/>
        <v>0</v>
      </c>
      <c r="E160" s="6" t="e">
        <f t="shared" si="1"/>
        <v>#DIV/0!</v>
      </c>
    </row>
    <row r="161" spans="1:5" ht="13" x14ac:dyDescent="0.15">
      <c r="A161" s="7" t="s">
        <v>167</v>
      </c>
      <c r="B161" s="5">
        <v>6.9725000000000001</v>
      </c>
      <c r="C161" s="5">
        <v>29</v>
      </c>
      <c r="D161" s="5">
        <f t="shared" si="0"/>
        <v>33.64</v>
      </c>
      <c r="E161" s="6">
        <f t="shared" si="1"/>
        <v>0.7595689655172414</v>
      </c>
    </row>
    <row r="162" spans="1:5" ht="13" x14ac:dyDescent="0.15">
      <c r="A162" s="7" t="s">
        <v>168</v>
      </c>
      <c r="B162" s="5">
        <v>2.6040555555555556</v>
      </c>
      <c r="C162" s="5">
        <v>29</v>
      </c>
      <c r="D162" s="5">
        <f t="shared" si="0"/>
        <v>33.64</v>
      </c>
      <c r="E162" s="6">
        <f t="shared" si="1"/>
        <v>0.9102049808429119</v>
      </c>
    </row>
    <row r="163" spans="1:5" ht="13" x14ac:dyDescent="0.15">
      <c r="A163" s="7" t="s">
        <v>169</v>
      </c>
      <c r="B163" s="5">
        <v>8.5482676587301594</v>
      </c>
      <c r="C163" s="5">
        <v>32</v>
      </c>
      <c r="D163" s="5">
        <f t="shared" si="0"/>
        <v>37.120000000000005</v>
      </c>
      <c r="E163" s="6">
        <f t="shared" si="1"/>
        <v>0.73286663566468246</v>
      </c>
    </row>
    <row r="164" spans="1:5" ht="13" x14ac:dyDescent="0.15">
      <c r="A164" s="7" t="s">
        <v>170</v>
      </c>
      <c r="B164" s="5">
        <v>3.710118308080808</v>
      </c>
      <c r="C164" s="5">
        <v>26</v>
      </c>
      <c r="D164" s="5">
        <f t="shared" si="0"/>
        <v>30.16</v>
      </c>
      <c r="E164" s="6">
        <f t="shared" si="1"/>
        <v>0.85730314199689195</v>
      </c>
    </row>
    <row r="165" spans="1:5" ht="13" x14ac:dyDescent="0.15">
      <c r="A165" s="7" t="s">
        <v>171</v>
      </c>
      <c r="B165" s="5">
        <v>6.6775374469696969</v>
      </c>
      <c r="C165" s="5">
        <v>33</v>
      </c>
      <c r="D165" s="5">
        <f t="shared" si="0"/>
        <v>38.279999999999994</v>
      </c>
      <c r="E165" s="6">
        <f t="shared" si="1"/>
        <v>0.79765038039485769</v>
      </c>
    </row>
    <row r="166" spans="1:5" ht="13" x14ac:dyDescent="0.15">
      <c r="A166" s="7" t="s">
        <v>172</v>
      </c>
      <c r="B166" s="5">
        <v>2.2450555555555556</v>
      </c>
      <c r="C166" s="5">
        <v>26</v>
      </c>
      <c r="D166" s="5">
        <f t="shared" si="0"/>
        <v>30.16</v>
      </c>
      <c r="E166" s="6">
        <f t="shared" si="1"/>
        <v>0.91365170940170937</v>
      </c>
    </row>
    <row r="167" spans="1:5" ht="13" x14ac:dyDescent="0.15">
      <c r="B167" s="9"/>
      <c r="C167" s="9"/>
      <c r="D167" s="9"/>
      <c r="E167" s="3"/>
    </row>
    <row r="168" spans="1:5" ht="13" x14ac:dyDescent="0.15">
      <c r="B168" s="9"/>
      <c r="C168" s="9"/>
      <c r="D168" s="9"/>
      <c r="E168" s="3"/>
    </row>
    <row r="169" spans="1:5" ht="13" x14ac:dyDescent="0.15">
      <c r="B169" s="9"/>
      <c r="C169" s="9"/>
      <c r="D169" s="9"/>
      <c r="E169" s="3"/>
    </row>
    <row r="170" spans="1:5" ht="13" x14ac:dyDescent="0.15">
      <c r="B170" s="9"/>
      <c r="C170" s="9"/>
      <c r="D170" s="9"/>
      <c r="E170" s="3"/>
    </row>
    <row r="171" spans="1:5" ht="13" x14ac:dyDescent="0.15">
      <c r="B171" s="9"/>
      <c r="C171" s="9"/>
      <c r="D171" s="9"/>
      <c r="E171" s="3"/>
    </row>
    <row r="172" spans="1:5" ht="13" x14ac:dyDescent="0.15">
      <c r="B172" s="9"/>
      <c r="C172" s="9"/>
      <c r="D172" s="9"/>
      <c r="E172" s="3"/>
    </row>
    <row r="173" spans="1:5" ht="13" x14ac:dyDescent="0.15">
      <c r="B173" s="9"/>
      <c r="C173" s="9"/>
      <c r="D173" s="9"/>
      <c r="E173" s="3"/>
    </row>
    <row r="174" spans="1:5" ht="13" x14ac:dyDescent="0.15">
      <c r="B174" s="9"/>
      <c r="C174" s="9"/>
      <c r="D174" s="9"/>
      <c r="E17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29"/>
  <sheetViews>
    <sheetView workbookViewId="0">
      <selection activeCell="C13" sqref="C13"/>
    </sheetView>
  </sheetViews>
  <sheetFormatPr baseColWidth="10" defaultColWidth="14.5" defaultRowHeight="15.75" customHeight="1" x14ac:dyDescent="0.15"/>
  <cols>
    <col min="1" max="1" width="45" customWidth="1"/>
    <col min="2" max="2" width="19.5" customWidth="1"/>
    <col min="3" max="3" width="51.1640625" customWidth="1"/>
    <col min="4" max="4" width="20.5" customWidth="1"/>
    <col min="5" max="5" width="19.33203125" customWidth="1"/>
    <col min="6" max="6" width="19" customWidth="1"/>
    <col min="7" max="7" width="21" customWidth="1"/>
  </cols>
  <sheetData>
    <row r="1" spans="1:7" ht="13" x14ac:dyDescent="0.15">
      <c r="A1" s="10" t="s">
        <v>173</v>
      </c>
      <c r="B1" s="10" t="s">
        <v>174</v>
      </c>
      <c r="C1" s="10" t="s">
        <v>175</v>
      </c>
      <c r="D1" s="10" t="s">
        <v>176</v>
      </c>
      <c r="E1" s="1" t="s">
        <v>177</v>
      </c>
      <c r="F1" s="11" t="s">
        <v>178</v>
      </c>
      <c r="G1" s="1" t="s">
        <v>179</v>
      </c>
    </row>
    <row r="2" spans="1:7" ht="15.75" customHeight="1" x14ac:dyDescent="0.15">
      <c r="A2" s="7" t="s">
        <v>180</v>
      </c>
      <c r="B2" s="7" t="s">
        <v>181</v>
      </c>
      <c r="C2" s="7" t="s">
        <v>182</v>
      </c>
      <c r="D2" s="7" t="s">
        <v>183</v>
      </c>
      <c r="E2" s="12" t="s">
        <v>183</v>
      </c>
      <c r="F2" s="13">
        <v>56</v>
      </c>
      <c r="G2" s="14">
        <v>56</v>
      </c>
    </row>
    <row r="3" spans="1:7" ht="15.75" customHeight="1" x14ac:dyDescent="0.15">
      <c r="A3" s="7" t="s">
        <v>180</v>
      </c>
      <c r="B3" s="7" t="s">
        <v>184</v>
      </c>
      <c r="C3" s="7" t="s">
        <v>185</v>
      </c>
      <c r="D3" s="7" t="s">
        <v>183</v>
      </c>
      <c r="E3" s="12" t="s">
        <v>183</v>
      </c>
      <c r="F3" s="13">
        <v>100</v>
      </c>
      <c r="G3" s="14">
        <v>100</v>
      </c>
    </row>
    <row r="4" spans="1:7" ht="15.75" customHeight="1" x14ac:dyDescent="0.15">
      <c r="A4" s="7" t="s">
        <v>186</v>
      </c>
      <c r="B4" s="7" t="s">
        <v>187</v>
      </c>
      <c r="C4" s="7" t="s">
        <v>188</v>
      </c>
      <c r="D4" s="7" t="s">
        <v>183</v>
      </c>
      <c r="E4" s="12" t="s">
        <v>183</v>
      </c>
      <c r="F4" s="13">
        <v>71</v>
      </c>
      <c r="G4" s="14">
        <v>71</v>
      </c>
    </row>
    <row r="5" spans="1:7" ht="15.75" customHeight="1" x14ac:dyDescent="0.15">
      <c r="A5" s="7" t="s">
        <v>186</v>
      </c>
      <c r="B5" s="7" t="s">
        <v>189</v>
      </c>
      <c r="C5" s="7" t="s">
        <v>190</v>
      </c>
      <c r="D5" s="7" t="s">
        <v>183</v>
      </c>
      <c r="E5" s="12" t="s">
        <v>183</v>
      </c>
      <c r="F5" s="13">
        <v>40</v>
      </c>
      <c r="G5" s="14">
        <v>40</v>
      </c>
    </row>
    <row r="6" spans="1:7" ht="15.75" customHeight="1" x14ac:dyDescent="0.15">
      <c r="A6" s="7" t="s">
        <v>186</v>
      </c>
      <c r="B6" s="7" t="s">
        <v>191</v>
      </c>
      <c r="C6" s="7" t="s">
        <v>192</v>
      </c>
      <c r="D6" s="7" t="s">
        <v>183</v>
      </c>
      <c r="E6" s="12" t="s">
        <v>183</v>
      </c>
      <c r="F6" s="13">
        <v>56.5</v>
      </c>
      <c r="G6" s="14">
        <v>56.5</v>
      </c>
    </row>
    <row r="7" spans="1:7" ht="15.75" customHeight="1" x14ac:dyDescent="0.15">
      <c r="A7" s="7" t="s">
        <v>193</v>
      </c>
      <c r="B7" s="7" t="s">
        <v>194</v>
      </c>
      <c r="C7" s="7" t="s">
        <v>195</v>
      </c>
      <c r="D7" s="7" t="s">
        <v>183</v>
      </c>
      <c r="E7" s="12" t="s">
        <v>183</v>
      </c>
      <c r="F7" s="13">
        <v>45.7</v>
      </c>
      <c r="G7" s="14">
        <v>45.7</v>
      </c>
    </row>
    <row r="8" spans="1:7" ht="15.75" customHeight="1" x14ac:dyDescent="0.15">
      <c r="A8" s="7" t="s">
        <v>193</v>
      </c>
      <c r="B8" s="7" t="s">
        <v>196</v>
      </c>
      <c r="C8" s="7" t="s">
        <v>197</v>
      </c>
      <c r="D8" s="7" t="s">
        <v>183</v>
      </c>
      <c r="E8" s="12" t="s">
        <v>183</v>
      </c>
      <c r="F8" s="13">
        <v>47</v>
      </c>
      <c r="G8" s="14">
        <v>39.380000000000003</v>
      </c>
    </row>
    <row r="9" spans="1:7" ht="15.75" customHeight="1" x14ac:dyDescent="0.15">
      <c r="A9" s="7" t="s">
        <v>198</v>
      </c>
      <c r="B9" s="7" t="s">
        <v>199</v>
      </c>
      <c r="C9" s="7" t="s">
        <v>200</v>
      </c>
      <c r="D9" s="7" t="s">
        <v>183</v>
      </c>
      <c r="E9" s="12" t="s">
        <v>183</v>
      </c>
      <c r="F9" s="13">
        <v>50.92</v>
      </c>
      <c r="G9" s="14">
        <v>50.92</v>
      </c>
    </row>
    <row r="10" spans="1:7" ht="15.75" customHeight="1" x14ac:dyDescent="0.15">
      <c r="A10" s="7" t="s">
        <v>198</v>
      </c>
      <c r="B10" s="7" t="s">
        <v>201</v>
      </c>
      <c r="C10" s="7" t="s">
        <v>202</v>
      </c>
      <c r="D10" s="7" t="s">
        <v>183</v>
      </c>
      <c r="E10" s="12" t="s">
        <v>183</v>
      </c>
      <c r="F10" s="13">
        <v>42.94</v>
      </c>
      <c r="G10" s="14">
        <v>42.94</v>
      </c>
    </row>
    <row r="11" spans="1:7" ht="15.75" customHeight="1" x14ac:dyDescent="0.15">
      <c r="A11" s="7" t="s">
        <v>198</v>
      </c>
      <c r="B11" s="7" t="s">
        <v>203</v>
      </c>
      <c r="C11" s="7" t="s">
        <v>204</v>
      </c>
      <c r="D11" s="7" t="s">
        <v>183</v>
      </c>
      <c r="E11" s="12" t="s">
        <v>183</v>
      </c>
      <c r="F11" s="13">
        <v>45.7</v>
      </c>
      <c r="G11" s="14">
        <v>45.7</v>
      </c>
    </row>
    <row r="12" spans="1:7" ht="15.75" customHeight="1" x14ac:dyDescent="0.15">
      <c r="A12" s="7" t="s">
        <v>205</v>
      </c>
      <c r="B12" s="7" t="s">
        <v>206</v>
      </c>
      <c r="C12" s="7" t="s">
        <v>207</v>
      </c>
      <c r="D12" s="7" t="s">
        <v>208</v>
      </c>
      <c r="E12" s="12" t="s">
        <v>183</v>
      </c>
      <c r="F12" s="13">
        <v>18</v>
      </c>
      <c r="G12" s="14">
        <f t="shared" ref="G12:G13" si="0">F12/2</f>
        <v>9</v>
      </c>
    </row>
    <row r="13" spans="1:7" ht="15.75" customHeight="1" x14ac:dyDescent="0.15">
      <c r="A13" s="7" t="s">
        <v>205</v>
      </c>
      <c r="B13" s="7" t="s">
        <v>209</v>
      </c>
      <c r="C13" s="7" t="s">
        <v>210</v>
      </c>
      <c r="D13" s="7" t="s">
        <v>208</v>
      </c>
      <c r="E13" s="12" t="s">
        <v>183</v>
      </c>
      <c r="F13" s="13">
        <v>20.6</v>
      </c>
      <c r="G13" s="14">
        <f t="shared" si="0"/>
        <v>10.3</v>
      </c>
    </row>
    <row r="14" spans="1:7" ht="15.75" customHeight="1" x14ac:dyDescent="0.15">
      <c r="A14" s="7" t="s">
        <v>198</v>
      </c>
      <c r="B14" s="7" t="s">
        <v>211</v>
      </c>
      <c r="C14" s="7" t="s">
        <v>212</v>
      </c>
      <c r="D14" s="7" t="s">
        <v>183</v>
      </c>
      <c r="E14" s="12" t="s">
        <v>183</v>
      </c>
      <c r="F14" s="13">
        <v>45.7</v>
      </c>
      <c r="G14" s="14">
        <v>45.7</v>
      </c>
    </row>
    <row r="15" spans="1:7" ht="15.75" customHeight="1" x14ac:dyDescent="0.15">
      <c r="A15" s="7" t="s">
        <v>193</v>
      </c>
      <c r="B15" s="7" t="s">
        <v>213</v>
      </c>
      <c r="C15" s="7" t="s">
        <v>214</v>
      </c>
      <c r="D15" s="7" t="s">
        <v>183</v>
      </c>
      <c r="E15" s="12" t="s">
        <v>183</v>
      </c>
      <c r="F15" s="13">
        <v>26.57</v>
      </c>
      <c r="G15" s="14">
        <v>26.57</v>
      </c>
    </row>
    <row r="16" spans="1:7" ht="15.75" customHeight="1" x14ac:dyDescent="0.15">
      <c r="A16" s="7" t="s">
        <v>186</v>
      </c>
      <c r="B16" s="15" t="s">
        <v>215</v>
      </c>
      <c r="C16" s="7" t="s">
        <v>216</v>
      </c>
      <c r="D16" s="7" t="s">
        <v>183</v>
      </c>
      <c r="E16" s="12" t="s">
        <v>183</v>
      </c>
      <c r="F16" s="13">
        <v>80</v>
      </c>
      <c r="G16" s="14">
        <v>80</v>
      </c>
    </row>
    <row r="17" spans="1:7" ht="15.75" customHeight="1" x14ac:dyDescent="0.15">
      <c r="A17" s="7" t="s">
        <v>186</v>
      </c>
      <c r="B17" s="15" t="s">
        <v>217</v>
      </c>
      <c r="C17" s="7" t="s">
        <v>218</v>
      </c>
      <c r="D17" s="7" t="s">
        <v>183</v>
      </c>
      <c r="E17" s="12" t="s">
        <v>183</v>
      </c>
      <c r="F17" s="13">
        <v>128</v>
      </c>
      <c r="G17" s="14">
        <v>128</v>
      </c>
    </row>
    <row r="18" spans="1:7" ht="15.75" customHeight="1" x14ac:dyDescent="0.15">
      <c r="A18" s="7" t="s">
        <v>219</v>
      </c>
      <c r="B18" s="15" t="s">
        <v>220</v>
      </c>
      <c r="C18" s="7" t="s">
        <v>221</v>
      </c>
      <c r="D18" s="7" t="s">
        <v>183</v>
      </c>
      <c r="E18" s="12" t="s">
        <v>183</v>
      </c>
      <c r="F18" s="13">
        <v>41</v>
      </c>
      <c r="G18" s="14">
        <v>41</v>
      </c>
    </row>
    <row r="19" spans="1:7" ht="15.75" customHeight="1" x14ac:dyDescent="0.15">
      <c r="A19" s="7" t="s">
        <v>186</v>
      </c>
      <c r="B19" s="15" t="s">
        <v>222</v>
      </c>
      <c r="C19" s="7" t="s">
        <v>223</v>
      </c>
      <c r="D19" s="7" t="s">
        <v>224</v>
      </c>
      <c r="E19" s="12" t="s">
        <v>183</v>
      </c>
      <c r="F19" s="13">
        <v>43.9</v>
      </c>
      <c r="G19" s="14">
        <f>F19/750*1000</f>
        <v>58.533333333333331</v>
      </c>
    </row>
    <row r="20" spans="1:7" ht="13" x14ac:dyDescent="0.15">
      <c r="A20" s="7" t="s">
        <v>225</v>
      </c>
      <c r="B20" s="7" t="s">
        <v>226</v>
      </c>
      <c r="C20" s="7" t="s">
        <v>227</v>
      </c>
      <c r="D20" s="7" t="s">
        <v>228</v>
      </c>
      <c r="E20" s="12" t="s">
        <v>229</v>
      </c>
      <c r="F20" s="13">
        <v>15</v>
      </c>
      <c r="G20" s="14">
        <v>15</v>
      </c>
    </row>
    <row r="21" spans="1:7" ht="13" x14ac:dyDescent="0.15">
      <c r="A21" s="7" t="s">
        <v>230</v>
      </c>
      <c r="B21" s="7" t="s">
        <v>231</v>
      </c>
      <c r="C21" s="7" t="s">
        <v>232</v>
      </c>
      <c r="D21" s="7" t="s">
        <v>233</v>
      </c>
      <c r="E21" s="12" t="s">
        <v>183</v>
      </c>
      <c r="F21" s="13">
        <v>980</v>
      </c>
      <c r="G21" s="14">
        <f>F21/25</f>
        <v>39.200000000000003</v>
      </c>
    </row>
    <row r="22" spans="1:7" ht="13" x14ac:dyDescent="0.15">
      <c r="A22" s="7" t="s">
        <v>230</v>
      </c>
      <c r="B22" s="7" t="s">
        <v>234</v>
      </c>
      <c r="C22" s="7" t="s">
        <v>235</v>
      </c>
      <c r="D22" s="7" t="s">
        <v>236</v>
      </c>
      <c r="E22" s="12" t="s">
        <v>183</v>
      </c>
      <c r="F22" s="13">
        <v>68.2</v>
      </c>
      <c r="G22" s="14">
        <f>F22/1800*1000</f>
        <v>37.888888888888886</v>
      </c>
    </row>
    <row r="23" spans="1:7" ht="13" x14ac:dyDescent="0.15">
      <c r="A23" s="7" t="s">
        <v>225</v>
      </c>
      <c r="B23" s="7" t="s">
        <v>237</v>
      </c>
      <c r="C23" s="7" t="s">
        <v>238</v>
      </c>
      <c r="D23" s="7" t="s">
        <v>228</v>
      </c>
      <c r="E23" s="12" t="s">
        <v>183</v>
      </c>
      <c r="F23" s="13">
        <v>16.5</v>
      </c>
      <c r="G23" s="14">
        <f>F23/125*1000</f>
        <v>132</v>
      </c>
    </row>
    <row r="24" spans="1:7" ht="13" x14ac:dyDescent="0.15">
      <c r="A24" s="7" t="s">
        <v>230</v>
      </c>
      <c r="B24" s="7" t="s">
        <v>239</v>
      </c>
      <c r="C24" s="7" t="s">
        <v>240</v>
      </c>
      <c r="D24" s="7" t="s">
        <v>241</v>
      </c>
      <c r="E24" s="12" t="s">
        <v>183</v>
      </c>
      <c r="F24" s="13">
        <v>100</v>
      </c>
      <c r="G24" s="14">
        <f>F24/2</f>
        <v>50</v>
      </c>
    </row>
    <row r="25" spans="1:7" ht="13" x14ac:dyDescent="0.15">
      <c r="A25" s="7" t="s">
        <v>242</v>
      </c>
      <c r="B25" s="7" t="s">
        <v>243</v>
      </c>
      <c r="C25" s="7" t="s">
        <v>244</v>
      </c>
      <c r="D25" s="7" t="s">
        <v>245</v>
      </c>
      <c r="E25" s="12" t="s">
        <v>183</v>
      </c>
      <c r="F25" s="13">
        <v>17.899999999999999</v>
      </c>
      <c r="G25" s="14">
        <f>F25/5</f>
        <v>3.5799999999999996</v>
      </c>
    </row>
    <row r="26" spans="1:7" ht="13" x14ac:dyDescent="0.15">
      <c r="A26" s="7" t="s">
        <v>242</v>
      </c>
      <c r="B26" s="7" t="s">
        <v>246</v>
      </c>
      <c r="C26" s="7" t="s">
        <v>247</v>
      </c>
      <c r="D26" s="7" t="s">
        <v>248</v>
      </c>
      <c r="E26" s="12" t="s">
        <v>183</v>
      </c>
      <c r="F26" s="13">
        <v>50.8</v>
      </c>
      <c r="G26" s="14">
        <v>50.8</v>
      </c>
    </row>
    <row r="27" spans="1:7" ht="13" x14ac:dyDescent="0.15">
      <c r="A27" s="7" t="s">
        <v>249</v>
      </c>
      <c r="B27" s="7" t="s">
        <v>250</v>
      </c>
      <c r="C27" s="7" t="s">
        <v>251</v>
      </c>
      <c r="D27" s="7" t="s">
        <v>252</v>
      </c>
      <c r="E27" s="12" t="s">
        <v>183</v>
      </c>
      <c r="F27" s="13">
        <v>108</v>
      </c>
      <c r="G27" s="14">
        <f t="shared" ref="G27:G28" si="1">F27/12</f>
        <v>9</v>
      </c>
    </row>
    <row r="28" spans="1:7" ht="13" x14ac:dyDescent="0.15">
      <c r="A28" s="7" t="s">
        <v>249</v>
      </c>
      <c r="B28" s="7" t="s">
        <v>253</v>
      </c>
      <c r="C28" s="7" t="s">
        <v>254</v>
      </c>
      <c r="D28" s="7" t="s">
        <v>252</v>
      </c>
      <c r="E28" s="12" t="s">
        <v>183</v>
      </c>
      <c r="F28" s="13"/>
      <c r="G28" s="14">
        <f t="shared" si="1"/>
        <v>0</v>
      </c>
    </row>
    <row r="29" spans="1:7" ht="13" x14ac:dyDescent="0.15">
      <c r="A29" s="7" t="s">
        <v>230</v>
      </c>
      <c r="B29" s="7" t="s">
        <v>255</v>
      </c>
      <c r="C29" s="7" t="s">
        <v>256</v>
      </c>
      <c r="D29" s="7" t="s">
        <v>257</v>
      </c>
      <c r="E29" s="12" t="s">
        <v>183</v>
      </c>
      <c r="F29" s="13">
        <v>17</v>
      </c>
      <c r="G29" s="14">
        <f>F29/200*1000</f>
        <v>85</v>
      </c>
    </row>
    <row r="30" spans="1:7" ht="13" x14ac:dyDescent="0.15">
      <c r="A30" s="7" t="s">
        <v>225</v>
      </c>
      <c r="B30" s="7" t="s">
        <v>258</v>
      </c>
      <c r="C30" s="7" t="s">
        <v>259</v>
      </c>
      <c r="D30" s="7" t="s">
        <v>260</v>
      </c>
      <c r="E30" s="12" t="s">
        <v>183</v>
      </c>
      <c r="F30" s="13">
        <v>26</v>
      </c>
      <c r="G30" s="14">
        <f>F30/180*1000</f>
        <v>144.44444444444443</v>
      </c>
    </row>
    <row r="31" spans="1:7" ht="13" x14ac:dyDescent="0.15">
      <c r="A31" s="7" t="s">
        <v>225</v>
      </c>
      <c r="B31" s="7" t="s">
        <v>261</v>
      </c>
      <c r="C31" s="7" t="s">
        <v>262</v>
      </c>
      <c r="D31" s="7" t="s">
        <v>248</v>
      </c>
      <c r="E31" s="12" t="s">
        <v>183</v>
      </c>
      <c r="F31" s="13">
        <v>38.1</v>
      </c>
      <c r="G31" s="14">
        <v>38.1</v>
      </c>
    </row>
    <row r="32" spans="1:7" ht="13" x14ac:dyDescent="0.15">
      <c r="A32" s="7" t="s">
        <v>230</v>
      </c>
      <c r="B32" s="7" t="s">
        <v>263</v>
      </c>
      <c r="C32" s="7" t="s">
        <v>264</v>
      </c>
      <c r="D32" s="7" t="s">
        <v>241</v>
      </c>
      <c r="E32" s="12" t="s">
        <v>183</v>
      </c>
      <c r="F32" s="13">
        <v>81.5</v>
      </c>
      <c r="G32" s="14">
        <f>F32/2</f>
        <v>40.75</v>
      </c>
    </row>
    <row r="33" spans="1:7" ht="13" x14ac:dyDescent="0.15">
      <c r="A33" s="7" t="s">
        <v>225</v>
      </c>
      <c r="B33" s="7" t="s">
        <v>265</v>
      </c>
      <c r="C33" s="7" t="s">
        <v>266</v>
      </c>
      <c r="D33" s="7" t="s">
        <v>183</v>
      </c>
      <c r="E33" s="12" t="s">
        <v>183</v>
      </c>
      <c r="F33" s="13">
        <v>95</v>
      </c>
      <c r="G33" s="14">
        <v>95</v>
      </c>
    </row>
    <row r="34" spans="1:7" ht="13" x14ac:dyDescent="0.15">
      <c r="A34" s="7" t="s">
        <v>225</v>
      </c>
      <c r="B34" s="7" t="s">
        <v>267</v>
      </c>
      <c r="C34" s="7" t="s">
        <v>268</v>
      </c>
      <c r="D34" s="7" t="s">
        <v>248</v>
      </c>
      <c r="E34" s="12" t="s">
        <v>183</v>
      </c>
      <c r="F34" s="13">
        <v>20.5</v>
      </c>
      <c r="G34" s="14">
        <v>20.5</v>
      </c>
    </row>
    <row r="35" spans="1:7" ht="13" x14ac:dyDescent="0.15">
      <c r="A35" s="7" t="s">
        <v>230</v>
      </c>
      <c r="B35" s="7" t="s">
        <v>269</v>
      </c>
      <c r="C35" s="7" t="s">
        <v>270</v>
      </c>
      <c r="D35" s="7" t="s">
        <v>271</v>
      </c>
      <c r="E35" s="12" t="s">
        <v>183</v>
      </c>
      <c r="F35" s="13">
        <v>29</v>
      </c>
      <c r="G35" s="14">
        <v>29</v>
      </c>
    </row>
    <row r="36" spans="1:7" ht="13" x14ac:dyDescent="0.15">
      <c r="A36" s="7" t="s">
        <v>225</v>
      </c>
      <c r="B36" s="7" t="s">
        <v>272</v>
      </c>
      <c r="C36" s="7" t="s">
        <v>273</v>
      </c>
      <c r="D36" s="7" t="s">
        <v>274</v>
      </c>
      <c r="E36" s="12" t="s">
        <v>183</v>
      </c>
      <c r="F36" s="13">
        <v>22</v>
      </c>
      <c r="G36" s="14">
        <v>22</v>
      </c>
    </row>
    <row r="37" spans="1:7" ht="13" x14ac:dyDescent="0.15">
      <c r="A37" s="7" t="s">
        <v>225</v>
      </c>
      <c r="B37" s="7" t="s">
        <v>275</v>
      </c>
      <c r="C37" s="7" t="s">
        <v>276</v>
      </c>
      <c r="D37" s="7" t="s">
        <v>277</v>
      </c>
      <c r="E37" s="12" t="s">
        <v>183</v>
      </c>
      <c r="F37" s="13">
        <v>22</v>
      </c>
      <c r="G37" s="14">
        <f>F37/400*1000</f>
        <v>55</v>
      </c>
    </row>
    <row r="38" spans="1:7" ht="13" x14ac:dyDescent="0.15">
      <c r="A38" s="7" t="s">
        <v>242</v>
      </c>
      <c r="B38" s="7" t="s">
        <v>278</v>
      </c>
      <c r="C38" s="7" t="s">
        <v>279</v>
      </c>
      <c r="D38" s="7" t="s">
        <v>248</v>
      </c>
      <c r="E38" s="12" t="s">
        <v>183</v>
      </c>
      <c r="F38" s="13">
        <v>67.3</v>
      </c>
      <c r="G38" s="14">
        <v>67.3</v>
      </c>
    </row>
    <row r="39" spans="1:7" ht="13" x14ac:dyDescent="0.15">
      <c r="A39" s="7" t="s">
        <v>280</v>
      </c>
      <c r="B39" s="7" t="s">
        <v>281</v>
      </c>
      <c r="C39" s="7" t="s">
        <v>282</v>
      </c>
      <c r="D39" s="7" t="s">
        <v>248</v>
      </c>
      <c r="E39" s="12" t="s">
        <v>183</v>
      </c>
      <c r="F39" s="13">
        <v>15</v>
      </c>
      <c r="G39" s="14">
        <v>15</v>
      </c>
    </row>
    <row r="40" spans="1:7" ht="13" x14ac:dyDescent="0.15">
      <c r="A40" s="7" t="s">
        <v>280</v>
      </c>
      <c r="B40" s="7" t="s">
        <v>283</v>
      </c>
      <c r="C40" s="7" t="s">
        <v>284</v>
      </c>
      <c r="D40" s="7" t="s">
        <v>248</v>
      </c>
      <c r="E40" s="12" t="s">
        <v>183</v>
      </c>
      <c r="F40" s="13">
        <v>48</v>
      </c>
      <c r="G40" s="14">
        <v>48</v>
      </c>
    </row>
    <row r="41" spans="1:7" ht="13" x14ac:dyDescent="0.15">
      <c r="A41" s="7" t="s">
        <v>285</v>
      </c>
      <c r="B41" s="7" t="s">
        <v>286</v>
      </c>
      <c r="C41" s="7" t="s">
        <v>287</v>
      </c>
      <c r="D41" s="7" t="s">
        <v>288</v>
      </c>
      <c r="E41" s="12" t="s">
        <v>183</v>
      </c>
      <c r="F41" s="13">
        <v>28</v>
      </c>
      <c r="G41" s="14">
        <f t="shared" ref="G41:G42" si="2">F41*2</f>
        <v>56</v>
      </c>
    </row>
    <row r="42" spans="1:7" ht="13" x14ac:dyDescent="0.15">
      <c r="A42" s="7" t="s">
        <v>285</v>
      </c>
      <c r="B42" s="7" t="s">
        <v>289</v>
      </c>
      <c r="C42" s="7" t="s">
        <v>290</v>
      </c>
      <c r="D42" s="7" t="s">
        <v>288</v>
      </c>
      <c r="E42" s="12" t="s">
        <v>183</v>
      </c>
      <c r="F42" s="13">
        <v>24.5</v>
      </c>
      <c r="G42" s="14">
        <f t="shared" si="2"/>
        <v>49</v>
      </c>
    </row>
    <row r="43" spans="1:7" ht="15" x14ac:dyDescent="0.2">
      <c r="A43" s="7"/>
      <c r="B43" s="7" t="s">
        <v>291</v>
      </c>
      <c r="C43" s="7" t="s">
        <v>292</v>
      </c>
      <c r="D43" s="7" t="s">
        <v>248</v>
      </c>
      <c r="E43" s="12" t="s">
        <v>183</v>
      </c>
      <c r="F43" s="16">
        <v>115</v>
      </c>
      <c r="G43" s="17">
        <v>215</v>
      </c>
    </row>
    <row r="44" spans="1:7" ht="13" x14ac:dyDescent="0.15">
      <c r="A44" s="7" t="s">
        <v>280</v>
      </c>
      <c r="B44" s="7" t="s">
        <v>293</v>
      </c>
      <c r="C44" s="7" t="s">
        <v>294</v>
      </c>
      <c r="D44" s="7" t="s">
        <v>248</v>
      </c>
      <c r="E44" s="12" t="s">
        <v>183</v>
      </c>
      <c r="F44" s="13">
        <v>35</v>
      </c>
      <c r="G44" s="14">
        <v>35</v>
      </c>
    </row>
    <row r="45" spans="1:7" ht="13" x14ac:dyDescent="0.15">
      <c r="A45" s="7" t="s">
        <v>285</v>
      </c>
      <c r="B45" s="7" t="s">
        <v>295</v>
      </c>
      <c r="C45" s="7" t="s">
        <v>296</v>
      </c>
      <c r="D45" s="7" t="s">
        <v>248</v>
      </c>
      <c r="E45" s="12" t="s">
        <v>183</v>
      </c>
      <c r="F45" s="13">
        <v>28</v>
      </c>
      <c r="G45" s="14">
        <v>28</v>
      </c>
    </row>
    <row r="46" spans="1:7" ht="13" x14ac:dyDescent="0.15">
      <c r="A46" s="7" t="s">
        <v>280</v>
      </c>
      <c r="B46" s="7" t="s">
        <v>297</v>
      </c>
      <c r="C46" s="7" t="s">
        <v>298</v>
      </c>
      <c r="D46" s="7" t="s">
        <v>248</v>
      </c>
      <c r="E46" s="12" t="s">
        <v>183</v>
      </c>
      <c r="F46" s="13">
        <v>29.5</v>
      </c>
      <c r="G46" s="14">
        <v>29.5</v>
      </c>
    </row>
    <row r="47" spans="1:7" ht="13" x14ac:dyDescent="0.15">
      <c r="A47" s="7" t="s">
        <v>285</v>
      </c>
      <c r="B47" s="7" t="s">
        <v>299</v>
      </c>
      <c r="C47" s="7" t="s">
        <v>300</v>
      </c>
      <c r="D47" s="7" t="s">
        <v>248</v>
      </c>
      <c r="E47" s="12" t="s">
        <v>183</v>
      </c>
      <c r="F47" s="13">
        <v>35</v>
      </c>
      <c r="G47" s="14">
        <v>35</v>
      </c>
    </row>
    <row r="48" spans="1:7" ht="13" x14ac:dyDescent="0.15">
      <c r="A48" s="7" t="s">
        <v>280</v>
      </c>
      <c r="B48" s="7" t="s">
        <v>301</v>
      </c>
      <c r="C48" s="7" t="s">
        <v>302</v>
      </c>
      <c r="D48" s="7" t="s">
        <v>248</v>
      </c>
      <c r="E48" s="12" t="s">
        <v>183</v>
      </c>
      <c r="F48" s="13">
        <v>12</v>
      </c>
      <c r="G48" s="14">
        <v>12</v>
      </c>
    </row>
    <row r="49" spans="1:7" ht="13" x14ac:dyDescent="0.15">
      <c r="A49" s="7" t="s">
        <v>280</v>
      </c>
      <c r="B49" s="7" t="s">
        <v>303</v>
      </c>
      <c r="C49" s="7" t="s">
        <v>304</v>
      </c>
      <c r="D49" s="7" t="s">
        <v>248</v>
      </c>
      <c r="E49" s="12" t="s">
        <v>183</v>
      </c>
      <c r="F49" s="13">
        <v>22</v>
      </c>
      <c r="G49" s="14">
        <v>22</v>
      </c>
    </row>
    <row r="50" spans="1:7" ht="13" x14ac:dyDescent="0.15">
      <c r="A50" s="7" t="s">
        <v>280</v>
      </c>
      <c r="B50" s="7" t="s">
        <v>305</v>
      </c>
      <c r="C50" s="7" t="s">
        <v>306</v>
      </c>
      <c r="D50" s="7" t="s">
        <v>248</v>
      </c>
      <c r="E50" s="12" t="s">
        <v>183</v>
      </c>
      <c r="F50" s="13">
        <v>23</v>
      </c>
      <c r="G50" s="14">
        <v>23</v>
      </c>
    </row>
    <row r="51" spans="1:7" ht="13" x14ac:dyDescent="0.15">
      <c r="A51" s="7" t="s">
        <v>280</v>
      </c>
      <c r="B51" s="7" t="s">
        <v>307</v>
      </c>
      <c r="C51" s="7" t="s">
        <v>308</v>
      </c>
      <c r="D51" s="7" t="s">
        <v>248</v>
      </c>
      <c r="E51" s="12" t="s">
        <v>183</v>
      </c>
      <c r="F51" s="13">
        <v>56</v>
      </c>
      <c r="G51" s="14">
        <v>56</v>
      </c>
    </row>
    <row r="52" spans="1:7" ht="13" x14ac:dyDescent="0.15">
      <c r="A52" s="7" t="s">
        <v>280</v>
      </c>
      <c r="B52" s="7" t="s">
        <v>309</v>
      </c>
      <c r="C52" s="7" t="s">
        <v>310</v>
      </c>
      <c r="D52" s="7" t="s">
        <v>248</v>
      </c>
      <c r="E52" s="12" t="s">
        <v>183</v>
      </c>
      <c r="F52" s="13">
        <v>28</v>
      </c>
      <c r="G52" s="14">
        <v>28</v>
      </c>
    </row>
    <row r="53" spans="1:7" ht="13" x14ac:dyDescent="0.15">
      <c r="A53" s="7" t="s">
        <v>311</v>
      </c>
      <c r="B53" s="7" t="s">
        <v>312</v>
      </c>
      <c r="C53" s="7" t="s">
        <v>313</v>
      </c>
      <c r="D53" s="7" t="s">
        <v>314</v>
      </c>
      <c r="E53" s="12" t="s">
        <v>183</v>
      </c>
      <c r="F53" s="13">
        <v>60</v>
      </c>
      <c r="G53" s="14">
        <f>F53/700*1000</f>
        <v>85.714285714285708</v>
      </c>
    </row>
    <row r="54" spans="1:7" ht="13" x14ac:dyDescent="0.15">
      <c r="A54" s="7" t="s">
        <v>285</v>
      </c>
      <c r="B54" s="7" t="s">
        <v>315</v>
      </c>
      <c r="C54" s="7" t="s">
        <v>316</v>
      </c>
      <c r="D54" s="7" t="s">
        <v>248</v>
      </c>
      <c r="E54" s="12" t="s">
        <v>183</v>
      </c>
      <c r="F54" s="13">
        <v>43.8</v>
      </c>
      <c r="G54" s="14">
        <v>43.8</v>
      </c>
    </row>
    <row r="55" spans="1:7" ht="13" x14ac:dyDescent="0.15">
      <c r="A55" s="7" t="s">
        <v>285</v>
      </c>
      <c r="B55" s="7" t="s">
        <v>317</v>
      </c>
      <c r="C55" s="7" t="s">
        <v>318</v>
      </c>
      <c r="D55" s="7" t="s">
        <v>248</v>
      </c>
      <c r="E55" s="12" t="s">
        <v>183</v>
      </c>
      <c r="F55" s="13">
        <v>45</v>
      </c>
      <c r="G55" s="14">
        <v>45</v>
      </c>
    </row>
    <row r="56" spans="1:7" ht="13" x14ac:dyDescent="0.15">
      <c r="A56" s="7" t="s">
        <v>319</v>
      </c>
      <c r="B56" s="7" t="s">
        <v>320</v>
      </c>
      <c r="C56" s="7" t="s">
        <v>321</v>
      </c>
      <c r="D56" s="7" t="s">
        <v>322</v>
      </c>
      <c r="E56" s="12" t="s">
        <v>183</v>
      </c>
      <c r="F56" s="13">
        <v>12</v>
      </c>
      <c r="G56" s="14">
        <f>F56/290*1000</f>
        <v>41.379310344827587</v>
      </c>
    </row>
    <row r="57" spans="1:7" ht="13" x14ac:dyDescent="0.15">
      <c r="A57" s="7" t="s">
        <v>285</v>
      </c>
      <c r="B57" s="7" t="s">
        <v>323</v>
      </c>
      <c r="C57" s="7" t="s">
        <v>324</v>
      </c>
      <c r="D57" s="7" t="s">
        <v>248</v>
      </c>
      <c r="E57" s="12" t="s">
        <v>183</v>
      </c>
      <c r="F57" s="13">
        <v>70</v>
      </c>
      <c r="G57" s="14">
        <v>70</v>
      </c>
    </row>
    <row r="58" spans="1:7" ht="13" x14ac:dyDescent="0.15">
      <c r="A58" s="7" t="s">
        <v>285</v>
      </c>
      <c r="B58" s="7" t="s">
        <v>325</v>
      </c>
      <c r="C58" s="7" t="s">
        <v>326</v>
      </c>
      <c r="D58" s="7" t="s">
        <v>288</v>
      </c>
      <c r="E58" s="12" t="s">
        <v>183</v>
      </c>
      <c r="F58" s="13">
        <v>31</v>
      </c>
      <c r="G58" s="14">
        <f>F58*2</f>
        <v>62</v>
      </c>
    </row>
    <row r="59" spans="1:7" ht="13" x14ac:dyDescent="0.15">
      <c r="A59" s="7" t="s">
        <v>280</v>
      </c>
      <c r="B59" s="7" t="s">
        <v>327</v>
      </c>
      <c r="C59" s="7" t="s">
        <v>328</v>
      </c>
      <c r="D59" s="7" t="s">
        <v>248</v>
      </c>
      <c r="E59" s="12" t="s">
        <v>183</v>
      </c>
      <c r="F59" s="13">
        <v>24</v>
      </c>
      <c r="G59" s="14">
        <v>24</v>
      </c>
    </row>
    <row r="60" spans="1:7" ht="13" x14ac:dyDescent="0.15">
      <c r="A60" s="7" t="s">
        <v>280</v>
      </c>
      <c r="B60" s="7" t="s">
        <v>329</v>
      </c>
      <c r="C60" s="7" t="s">
        <v>330</v>
      </c>
      <c r="D60" s="7" t="s">
        <v>248</v>
      </c>
      <c r="E60" s="12" t="s">
        <v>183</v>
      </c>
      <c r="F60" s="13">
        <v>42</v>
      </c>
      <c r="G60" s="14">
        <v>42</v>
      </c>
    </row>
    <row r="61" spans="1:7" ht="13" x14ac:dyDescent="0.15">
      <c r="A61" s="7" t="s">
        <v>285</v>
      </c>
      <c r="B61" s="7" t="s">
        <v>331</v>
      </c>
      <c r="C61" s="7" t="s">
        <v>332</v>
      </c>
      <c r="D61" s="7" t="s">
        <v>248</v>
      </c>
      <c r="E61" s="12" t="s">
        <v>183</v>
      </c>
      <c r="F61" s="13">
        <v>75</v>
      </c>
      <c r="G61" s="14">
        <v>75</v>
      </c>
    </row>
    <row r="62" spans="1:7" ht="13" x14ac:dyDescent="0.15">
      <c r="A62" s="7" t="s">
        <v>319</v>
      </c>
      <c r="B62" s="7" t="s">
        <v>333</v>
      </c>
      <c r="C62" s="7" t="s">
        <v>334</v>
      </c>
      <c r="D62" s="7" t="s">
        <v>335</v>
      </c>
      <c r="E62" s="12" t="s">
        <v>183</v>
      </c>
      <c r="F62" s="13">
        <v>2</v>
      </c>
      <c r="G62" s="14">
        <f>F62/450*1000</f>
        <v>4.4444444444444446</v>
      </c>
    </row>
    <row r="63" spans="1:7" ht="13" x14ac:dyDescent="0.15">
      <c r="A63" s="7" t="s">
        <v>319</v>
      </c>
      <c r="B63" s="7" t="s">
        <v>336</v>
      </c>
      <c r="C63" s="7" t="s">
        <v>337</v>
      </c>
      <c r="D63" s="7" t="s">
        <v>338</v>
      </c>
      <c r="E63" s="12" t="s">
        <v>183</v>
      </c>
      <c r="F63" s="13">
        <v>75</v>
      </c>
      <c r="G63" s="14">
        <f>F63/100*1000</f>
        <v>750</v>
      </c>
    </row>
    <row r="64" spans="1:7" ht="13" x14ac:dyDescent="0.15">
      <c r="A64" s="7" t="s">
        <v>285</v>
      </c>
      <c r="B64" s="7" t="s">
        <v>339</v>
      </c>
      <c r="C64" s="7" t="s">
        <v>340</v>
      </c>
      <c r="D64" s="7" t="s">
        <v>248</v>
      </c>
      <c r="E64" s="12" t="s">
        <v>183</v>
      </c>
      <c r="F64" s="13">
        <v>28</v>
      </c>
      <c r="G64" s="14">
        <v>28</v>
      </c>
    </row>
    <row r="65" spans="1:7" ht="13" x14ac:dyDescent="0.15">
      <c r="A65" s="7" t="s">
        <v>285</v>
      </c>
      <c r="B65" s="7" t="s">
        <v>341</v>
      </c>
      <c r="C65" s="7" t="s">
        <v>342</v>
      </c>
      <c r="D65" s="7" t="s">
        <v>288</v>
      </c>
      <c r="E65" s="12" t="s">
        <v>183</v>
      </c>
      <c r="F65" s="13">
        <v>27</v>
      </c>
      <c r="G65" s="14">
        <f>F65*2</f>
        <v>54</v>
      </c>
    </row>
    <row r="66" spans="1:7" ht="13" x14ac:dyDescent="0.15">
      <c r="A66" s="7" t="s">
        <v>319</v>
      </c>
      <c r="B66" s="7" t="s">
        <v>343</v>
      </c>
      <c r="C66" s="7" t="s">
        <v>344</v>
      </c>
      <c r="D66" s="7" t="s">
        <v>345</v>
      </c>
      <c r="E66" s="12" t="s">
        <v>183</v>
      </c>
      <c r="F66" s="13">
        <v>80</v>
      </c>
      <c r="G66" s="14">
        <f>F66/150*1000</f>
        <v>533.33333333333337</v>
      </c>
    </row>
    <row r="67" spans="1:7" ht="13" x14ac:dyDescent="0.15">
      <c r="A67" s="7" t="s">
        <v>346</v>
      </c>
      <c r="B67" s="7" t="s">
        <v>347</v>
      </c>
      <c r="C67" s="7" t="s">
        <v>348</v>
      </c>
      <c r="D67" s="7" t="s">
        <v>349</v>
      </c>
      <c r="E67" s="12" t="s">
        <v>350</v>
      </c>
      <c r="F67" s="13">
        <v>68.400000000000006</v>
      </c>
      <c r="G67" s="14">
        <f>F67/36</f>
        <v>1.9000000000000001</v>
      </c>
    </row>
    <row r="68" spans="1:7" ht="13" x14ac:dyDescent="0.15">
      <c r="A68" s="7" t="s">
        <v>351</v>
      </c>
      <c r="B68" s="7" t="s">
        <v>352</v>
      </c>
      <c r="C68" s="7" t="s">
        <v>353</v>
      </c>
      <c r="D68" s="7" t="s">
        <v>354</v>
      </c>
      <c r="E68" s="12" t="s">
        <v>350</v>
      </c>
      <c r="F68" s="13">
        <v>40.1</v>
      </c>
      <c r="G68" s="18">
        <f>F68/60</f>
        <v>0.66833333333333333</v>
      </c>
    </row>
    <row r="69" spans="1:7" ht="13" x14ac:dyDescent="0.15">
      <c r="A69" s="7" t="s">
        <v>351</v>
      </c>
      <c r="B69" s="7" t="s">
        <v>355</v>
      </c>
      <c r="C69" s="7" t="s">
        <v>356</v>
      </c>
      <c r="D69" s="7" t="s">
        <v>357</v>
      </c>
      <c r="E69" s="12" t="s">
        <v>350</v>
      </c>
      <c r="F69" s="13">
        <v>79.81</v>
      </c>
      <c r="G69" s="14">
        <f>(F69/12)/10</f>
        <v>0.66508333333333336</v>
      </c>
    </row>
    <row r="70" spans="1:7" ht="13" x14ac:dyDescent="0.15">
      <c r="A70" s="7" t="s">
        <v>358</v>
      </c>
      <c r="B70" s="7" t="s">
        <v>359</v>
      </c>
      <c r="C70" s="7" t="s">
        <v>360</v>
      </c>
      <c r="D70" s="7" t="s">
        <v>361</v>
      </c>
      <c r="E70" s="12" t="s">
        <v>362</v>
      </c>
      <c r="F70" s="13">
        <v>8.5</v>
      </c>
      <c r="G70" s="14">
        <f>F70/10</f>
        <v>0.85</v>
      </c>
    </row>
    <row r="71" spans="1:7" ht="13" x14ac:dyDescent="0.15">
      <c r="A71" s="7" t="s">
        <v>351</v>
      </c>
      <c r="B71" s="7" t="s">
        <v>363</v>
      </c>
      <c r="C71" s="7" t="s">
        <v>364</v>
      </c>
      <c r="D71" s="7" t="s">
        <v>365</v>
      </c>
      <c r="E71" s="12" t="s">
        <v>366</v>
      </c>
      <c r="F71" s="13">
        <v>128.69999999999999</v>
      </c>
      <c r="G71" s="18">
        <f>(F71/12)/10</f>
        <v>1.0725</v>
      </c>
    </row>
    <row r="72" spans="1:7" ht="13" x14ac:dyDescent="0.15">
      <c r="A72" s="7" t="s">
        <v>319</v>
      </c>
      <c r="B72" s="7" t="s">
        <v>367</v>
      </c>
      <c r="C72" s="7" t="s">
        <v>368</v>
      </c>
      <c r="D72" s="7" t="s">
        <v>369</v>
      </c>
      <c r="E72" s="12" t="s">
        <v>183</v>
      </c>
      <c r="F72" s="13">
        <v>9.5</v>
      </c>
      <c r="G72" s="14">
        <v>9.5</v>
      </c>
    </row>
    <row r="73" spans="1:7" ht="13" x14ac:dyDescent="0.15">
      <c r="A73" s="7" t="s">
        <v>285</v>
      </c>
      <c r="B73" s="7" t="s">
        <v>370</v>
      </c>
      <c r="C73" s="7" t="s">
        <v>371</v>
      </c>
      <c r="D73" s="7" t="s">
        <v>372</v>
      </c>
      <c r="E73" s="12" t="s">
        <v>372</v>
      </c>
      <c r="F73" s="13">
        <v>12</v>
      </c>
      <c r="G73" s="14">
        <v>12</v>
      </c>
    </row>
    <row r="74" spans="1:7" ht="13" x14ac:dyDescent="0.15">
      <c r="A74" s="7" t="s">
        <v>242</v>
      </c>
      <c r="B74" s="7" t="s">
        <v>373</v>
      </c>
      <c r="C74" s="7" t="s">
        <v>374</v>
      </c>
      <c r="D74" s="7" t="s">
        <v>248</v>
      </c>
      <c r="E74" s="12" t="s">
        <v>183</v>
      </c>
      <c r="F74" s="13">
        <v>18.95</v>
      </c>
      <c r="G74" s="14">
        <v>18.95</v>
      </c>
    </row>
    <row r="75" spans="1:7" ht="13" x14ac:dyDescent="0.15">
      <c r="A75" s="7" t="s">
        <v>285</v>
      </c>
      <c r="B75" s="7" t="s">
        <v>375</v>
      </c>
      <c r="C75" s="7" t="s">
        <v>376</v>
      </c>
      <c r="D75" s="7" t="s">
        <v>248</v>
      </c>
      <c r="E75" s="12" t="s">
        <v>183</v>
      </c>
      <c r="F75" s="13">
        <v>9.1999999999999993</v>
      </c>
      <c r="G75" s="14">
        <v>9.1999999999999993</v>
      </c>
    </row>
    <row r="76" spans="1:7" ht="13" x14ac:dyDescent="0.15">
      <c r="A76" s="7" t="s">
        <v>377</v>
      </c>
      <c r="B76" s="7" t="s">
        <v>378</v>
      </c>
      <c r="C76" s="7" t="s">
        <v>379</v>
      </c>
      <c r="D76" s="7" t="s">
        <v>380</v>
      </c>
      <c r="E76" s="12" t="s">
        <v>183</v>
      </c>
      <c r="F76" s="13">
        <v>39.5</v>
      </c>
      <c r="G76" s="14">
        <f>F76/936*1000</f>
        <v>42.200854700854705</v>
      </c>
    </row>
    <row r="77" spans="1:7" ht="13" x14ac:dyDescent="0.15">
      <c r="A77" s="7" t="s">
        <v>225</v>
      </c>
      <c r="B77" s="7" t="s">
        <v>381</v>
      </c>
      <c r="C77" s="7" t="s">
        <v>382</v>
      </c>
      <c r="D77" s="7" t="s">
        <v>383</v>
      </c>
      <c r="E77" s="12" t="s">
        <v>183</v>
      </c>
      <c r="F77" s="13">
        <v>4.5</v>
      </c>
      <c r="G77" s="14">
        <f>F77/400*1000</f>
        <v>11.25</v>
      </c>
    </row>
    <row r="78" spans="1:7" ht="13" x14ac:dyDescent="0.15">
      <c r="A78" s="7" t="s">
        <v>319</v>
      </c>
      <c r="B78" s="7" t="s">
        <v>384</v>
      </c>
      <c r="C78" s="7" t="s">
        <v>385</v>
      </c>
      <c r="D78" s="7" t="s">
        <v>386</v>
      </c>
      <c r="E78" s="12" t="s">
        <v>183</v>
      </c>
      <c r="F78" s="13">
        <v>2.2999999999999998</v>
      </c>
      <c r="G78" s="14">
        <f>F78*2</f>
        <v>4.5999999999999996</v>
      </c>
    </row>
    <row r="79" spans="1:7" ht="13" x14ac:dyDescent="0.15">
      <c r="A79" s="7" t="s">
        <v>225</v>
      </c>
      <c r="B79" s="7" t="s">
        <v>387</v>
      </c>
      <c r="C79" s="7" t="s">
        <v>388</v>
      </c>
      <c r="D79" s="7" t="s">
        <v>248</v>
      </c>
      <c r="E79" s="12" t="s">
        <v>183</v>
      </c>
      <c r="F79" s="13">
        <v>12</v>
      </c>
      <c r="G79" s="14">
        <v>12</v>
      </c>
    </row>
    <row r="80" spans="1:7" ht="13" x14ac:dyDescent="0.15">
      <c r="A80" s="7" t="s">
        <v>377</v>
      </c>
      <c r="B80" s="7" t="s">
        <v>389</v>
      </c>
      <c r="C80" s="7" t="s">
        <v>390</v>
      </c>
      <c r="D80" s="7" t="s">
        <v>391</v>
      </c>
      <c r="E80" s="12" t="s">
        <v>183</v>
      </c>
      <c r="F80" s="13">
        <v>42</v>
      </c>
      <c r="G80" s="14">
        <v>42</v>
      </c>
    </row>
    <row r="81" spans="1:7" ht="13" x14ac:dyDescent="0.15">
      <c r="A81" s="7" t="s">
        <v>242</v>
      </c>
      <c r="B81" s="7" t="s">
        <v>392</v>
      </c>
      <c r="C81" s="7" t="s">
        <v>393</v>
      </c>
      <c r="D81" s="7" t="s">
        <v>248</v>
      </c>
      <c r="E81" s="12" t="s">
        <v>183</v>
      </c>
      <c r="F81" s="13">
        <v>44.7</v>
      </c>
      <c r="G81" s="14">
        <v>44.7</v>
      </c>
    </row>
    <row r="82" spans="1:7" ht="13" x14ac:dyDescent="0.15">
      <c r="A82" s="7" t="s">
        <v>377</v>
      </c>
      <c r="B82" s="7" t="s">
        <v>394</v>
      </c>
      <c r="C82" s="7" t="s">
        <v>395</v>
      </c>
      <c r="D82" s="7" t="s">
        <v>396</v>
      </c>
      <c r="E82" s="12" t="s">
        <v>183</v>
      </c>
      <c r="F82" s="13">
        <v>8.5</v>
      </c>
      <c r="G82" s="14">
        <f>F82/680*1000</f>
        <v>12.5</v>
      </c>
    </row>
    <row r="83" spans="1:7" ht="13" x14ac:dyDescent="0.15">
      <c r="A83" s="7" t="s">
        <v>319</v>
      </c>
      <c r="B83" s="7" t="s">
        <v>397</v>
      </c>
      <c r="C83" s="7" t="s">
        <v>398</v>
      </c>
      <c r="D83" s="7" t="s">
        <v>248</v>
      </c>
      <c r="E83" s="12" t="s">
        <v>183</v>
      </c>
      <c r="F83" s="13">
        <v>29.5</v>
      </c>
      <c r="G83" s="14">
        <v>29.5</v>
      </c>
    </row>
    <row r="84" spans="1:7" ht="13" x14ac:dyDescent="0.15">
      <c r="A84" s="7" t="s">
        <v>285</v>
      </c>
      <c r="B84" s="7" t="s">
        <v>399</v>
      </c>
      <c r="C84" s="7" t="s">
        <v>400</v>
      </c>
      <c r="D84" s="7" t="s">
        <v>401</v>
      </c>
      <c r="E84" s="12" t="s">
        <v>183</v>
      </c>
      <c r="F84" s="13">
        <v>75</v>
      </c>
      <c r="G84" s="14">
        <f>F84/3300*1000</f>
        <v>22.727272727272727</v>
      </c>
    </row>
    <row r="85" spans="1:7" ht="13" x14ac:dyDescent="0.15">
      <c r="A85" s="7" t="s">
        <v>285</v>
      </c>
      <c r="B85" s="7" t="s">
        <v>402</v>
      </c>
      <c r="C85" s="7" t="s">
        <v>403</v>
      </c>
      <c r="D85" s="7" t="s">
        <v>404</v>
      </c>
      <c r="E85" s="12" t="s">
        <v>183</v>
      </c>
      <c r="F85" s="13">
        <v>4.8</v>
      </c>
      <c r="G85" s="14">
        <f>F85/565*1000</f>
        <v>8.495575221238937</v>
      </c>
    </row>
    <row r="86" spans="1:7" ht="13" x14ac:dyDescent="0.15">
      <c r="A86" s="7" t="s">
        <v>319</v>
      </c>
      <c r="B86" s="7" t="s">
        <v>405</v>
      </c>
      <c r="C86" s="7" t="s">
        <v>406</v>
      </c>
      <c r="D86" s="7"/>
      <c r="E86" s="12"/>
      <c r="F86" s="19">
        <v>5.3</v>
      </c>
      <c r="G86" s="12">
        <v>5.3</v>
      </c>
    </row>
    <row r="87" spans="1:7" ht="13" x14ac:dyDescent="0.15">
      <c r="A87" s="7" t="s">
        <v>225</v>
      </c>
      <c r="B87" s="7" t="s">
        <v>407</v>
      </c>
      <c r="C87" s="7" t="s">
        <v>408</v>
      </c>
      <c r="D87" s="7" t="s">
        <v>409</v>
      </c>
      <c r="E87" s="12" t="s">
        <v>409</v>
      </c>
      <c r="F87" s="13">
        <v>6</v>
      </c>
      <c r="G87" s="14">
        <f>F87</f>
        <v>6</v>
      </c>
    </row>
    <row r="88" spans="1:7" ht="13" x14ac:dyDescent="0.15">
      <c r="A88" s="7" t="s">
        <v>319</v>
      </c>
      <c r="B88" s="7" t="s">
        <v>410</v>
      </c>
      <c r="C88" s="7" t="s">
        <v>411</v>
      </c>
      <c r="D88" s="7"/>
      <c r="E88" s="12"/>
      <c r="F88" s="19"/>
      <c r="G88" s="12"/>
    </row>
    <row r="89" spans="1:7" ht="13" x14ac:dyDescent="0.15">
      <c r="A89" s="7" t="s">
        <v>285</v>
      </c>
      <c r="B89" s="7" t="s">
        <v>412</v>
      </c>
      <c r="C89" s="7" t="s">
        <v>413</v>
      </c>
      <c r="D89" s="7" t="s">
        <v>414</v>
      </c>
      <c r="E89" s="12" t="s">
        <v>414</v>
      </c>
      <c r="F89" s="13">
        <v>9.5500000000000007</v>
      </c>
      <c r="G89" s="20">
        <v>9.5500000000000007</v>
      </c>
    </row>
    <row r="90" spans="1:7" ht="13" x14ac:dyDescent="0.15">
      <c r="A90" s="7" t="s">
        <v>242</v>
      </c>
      <c r="B90" s="7" t="s">
        <v>415</v>
      </c>
      <c r="C90" s="7" t="s">
        <v>416</v>
      </c>
      <c r="D90" s="7" t="s">
        <v>248</v>
      </c>
      <c r="E90" s="12" t="s">
        <v>183</v>
      </c>
      <c r="F90" s="13">
        <v>10.3</v>
      </c>
      <c r="G90" s="20">
        <v>10.3</v>
      </c>
    </row>
    <row r="91" spans="1:7" ht="13" x14ac:dyDescent="0.15">
      <c r="A91" s="7" t="s">
        <v>285</v>
      </c>
      <c r="B91" s="7" t="s">
        <v>417</v>
      </c>
      <c r="C91" s="7" t="s">
        <v>418</v>
      </c>
      <c r="D91" s="7" t="s">
        <v>419</v>
      </c>
      <c r="E91" s="12" t="s">
        <v>183</v>
      </c>
      <c r="F91" s="13">
        <v>9.5</v>
      </c>
      <c r="G91" s="14">
        <f>F91*2</f>
        <v>19</v>
      </c>
    </row>
    <row r="92" spans="1:7" ht="13" x14ac:dyDescent="0.15">
      <c r="A92" s="7" t="s">
        <v>242</v>
      </c>
      <c r="B92" s="7" t="s">
        <v>420</v>
      </c>
      <c r="C92" s="7" t="s">
        <v>421</v>
      </c>
      <c r="D92" s="7" t="s">
        <v>248</v>
      </c>
      <c r="E92" s="12" t="s">
        <v>183</v>
      </c>
      <c r="F92" s="13">
        <v>10.4</v>
      </c>
      <c r="G92" s="20">
        <v>10.4</v>
      </c>
    </row>
    <row r="93" spans="1:7" ht="13" x14ac:dyDescent="0.15">
      <c r="A93" s="7" t="s">
        <v>285</v>
      </c>
      <c r="B93" s="7" t="s">
        <v>422</v>
      </c>
      <c r="C93" s="7" t="s">
        <v>423</v>
      </c>
      <c r="D93" s="7" t="s">
        <v>409</v>
      </c>
      <c r="E93" s="12" t="s">
        <v>409</v>
      </c>
      <c r="F93" s="13">
        <v>4</v>
      </c>
      <c r="G93" s="14">
        <f>F93</f>
        <v>4</v>
      </c>
    </row>
    <row r="94" spans="1:7" ht="13" x14ac:dyDescent="0.15">
      <c r="A94" s="7" t="s">
        <v>319</v>
      </c>
      <c r="B94" s="7" t="s">
        <v>424</v>
      </c>
      <c r="C94" s="7" t="s">
        <v>425</v>
      </c>
      <c r="D94" s="7" t="s">
        <v>426</v>
      </c>
      <c r="E94" s="12" t="s">
        <v>183</v>
      </c>
      <c r="F94" s="13">
        <v>8.9</v>
      </c>
      <c r="G94" s="14">
        <f>F94/750*1000</f>
        <v>11.866666666666667</v>
      </c>
    </row>
    <row r="95" spans="1:7" ht="13" x14ac:dyDescent="0.15">
      <c r="A95" s="7" t="s">
        <v>225</v>
      </c>
      <c r="B95" s="7" t="s">
        <v>427</v>
      </c>
      <c r="C95" s="7" t="s">
        <v>428</v>
      </c>
      <c r="D95" s="7" t="s">
        <v>409</v>
      </c>
      <c r="E95" s="12" t="s">
        <v>409</v>
      </c>
      <c r="F95" s="13">
        <v>6</v>
      </c>
      <c r="G95" s="14">
        <f>F95</f>
        <v>6</v>
      </c>
    </row>
    <row r="96" spans="1:7" ht="13" x14ac:dyDescent="0.15">
      <c r="A96" s="7" t="s">
        <v>377</v>
      </c>
      <c r="B96" s="7" t="s">
        <v>429</v>
      </c>
      <c r="C96" s="7" t="s">
        <v>430</v>
      </c>
      <c r="D96" s="7" t="s">
        <v>431</v>
      </c>
      <c r="E96" s="12" t="s">
        <v>183</v>
      </c>
      <c r="F96" s="13">
        <v>135</v>
      </c>
      <c r="G96" s="14">
        <f>F96/2900*1000</f>
        <v>46.551724137931039</v>
      </c>
    </row>
    <row r="97" spans="1:7" ht="13" x14ac:dyDescent="0.15">
      <c r="A97" s="7" t="s">
        <v>285</v>
      </c>
      <c r="B97" s="7" t="s">
        <v>432</v>
      </c>
      <c r="C97" s="7" t="s">
        <v>433</v>
      </c>
      <c r="D97" s="7" t="s">
        <v>434</v>
      </c>
      <c r="E97" s="12" t="s">
        <v>183</v>
      </c>
      <c r="F97" s="13">
        <v>27</v>
      </c>
      <c r="G97" s="14">
        <f>F97/2</f>
        <v>13.5</v>
      </c>
    </row>
    <row r="98" spans="1:7" ht="13" x14ac:dyDescent="0.15">
      <c r="A98" s="7" t="s">
        <v>285</v>
      </c>
      <c r="B98" s="7" t="s">
        <v>435</v>
      </c>
      <c r="C98" s="7" t="s">
        <v>436</v>
      </c>
      <c r="D98" s="7" t="s">
        <v>437</v>
      </c>
      <c r="E98" s="12" t="s">
        <v>183</v>
      </c>
      <c r="F98" s="13">
        <v>3.1</v>
      </c>
      <c r="G98" s="14">
        <f>F98/425*1000</f>
        <v>7.2941176470588234</v>
      </c>
    </row>
    <row r="99" spans="1:7" ht="13" x14ac:dyDescent="0.15">
      <c r="A99" s="7" t="s">
        <v>225</v>
      </c>
      <c r="B99" s="7" t="s">
        <v>438</v>
      </c>
      <c r="C99" s="7" t="s">
        <v>439</v>
      </c>
      <c r="D99" s="7" t="s">
        <v>440</v>
      </c>
      <c r="E99" s="12" t="s">
        <v>183</v>
      </c>
      <c r="F99" s="13">
        <v>36</v>
      </c>
      <c r="G99" s="14">
        <f>F99/2200*1000</f>
        <v>16.363636363636363</v>
      </c>
    </row>
    <row r="100" spans="1:7" ht="13" x14ac:dyDescent="0.15">
      <c r="A100" s="7" t="s">
        <v>319</v>
      </c>
      <c r="B100" s="7" t="s">
        <v>441</v>
      </c>
      <c r="C100" s="7" t="s">
        <v>442</v>
      </c>
      <c r="D100" s="7" t="s">
        <v>443</v>
      </c>
      <c r="E100" s="12" t="s">
        <v>183</v>
      </c>
      <c r="F100" s="13">
        <v>11.75</v>
      </c>
      <c r="G100" s="14">
        <f>F100/600*1000</f>
        <v>19.583333333333336</v>
      </c>
    </row>
    <row r="101" spans="1:7" ht="13" x14ac:dyDescent="0.15">
      <c r="A101" s="7" t="s">
        <v>319</v>
      </c>
      <c r="B101" s="7" t="s">
        <v>444</v>
      </c>
      <c r="C101" s="7" t="s">
        <v>445</v>
      </c>
      <c r="D101" s="7" t="s">
        <v>446</v>
      </c>
      <c r="E101" s="12" t="s">
        <v>183</v>
      </c>
      <c r="F101" s="13">
        <v>28</v>
      </c>
      <c r="G101" s="14">
        <f>F101/1800*1000</f>
        <v>15.555555555555555</v>
      </c>
    </row>
    <row r="102" spans="1:7" ht="13" x14ac:dyDescent="0.15">
      <c r="A102" s="7" t="s">
        <v>319</v>
      </c>
      <c r="B102" s="7" t="s">
        <v>447</v>
      </c>
      <c r="C102" s="7" t="s">
        <v>448</v>
      </c>
      <c r="D102" s="7" t="s">
        <v>449</v>
      </c>
      <c r="E102" s="12" t="s">
        <v>183</v>
      </c>
      <c r="F102" s="13">
        <v>7.5</v>
      </c>
      <c r="G102" s="14">
        <f>F102/3500*1000</f>
        <v>2.1428571428571428</v>
      </c>
    </row>
    <row r="103" spans="1:7" ht="13" x14ac:dyDescent="0.15">
      <c r="A103" s="7" t="s">
        <v>225</v>
      </c>
      <c r="B103" s="7" t="s">
        <v>450</v>
      </c>
      <c r="C103" s="7" t="s">
        <v>451</v>
      </c>
      <c r="D103" s="7" t="s">
        <v>452</v>
      </c>
      <c r="E103" s="12" t="s">
        <v>452</v>
      </c>
      <c r="F103" s="13">
        <v>27</v>
      </c>
      <c r="G103" s="14">
        <f>F103/2.5</f>
        <v>10.8</v>
      </c>
    </row>
    <row r="104" spans="1:7" ht="13" x14ac:dyDescent="0.15">
      <c r="A104" s="7" t="s">
        <v>319</v>
      </c>
      <c r="B104" s="7" t="s">
        <v>453</v>
      </c>
      <c r="C104" s="7" t="s">
        <v>454</v>
      </c>
      <c r="D104" s="7" t="s">
        <v>455</v>
      </c>
      <c r="E104" s="12" t="s">
        <v>183</v>
      </c>
      <c r="F104" s="13">
        <v>1.85</v>
      </c>
      <c r="G104" s="14">
        <f>F104/850*1000</f>
        <v>2.1764705882352939</v>
      </c>
    </row>
    <row r="105" spans="1:7" ht="13" x14ac:dyDescent="0.15">
      <c r="A105" s="7" t="s">
        <v>242</v>
      </c>
      <c r="B105" s="7" t="s">
        <v>456</v>
      </c>
      <c r="C105" s="7" t="s">
        <v>457</v>
      </c>
      <c r="D105" s="7" t="s">
        <v>458</v>
      </c>
      <c r="E105" s="12" t="s">
        <v>183</v>
      </c>
      <c r="F105" s="13">
        <v>65.3</v>
      </c>
      <c r="G105" s="14">
        <f>F105/3</f>
        <v>21.766666666666666</v>
      </c>
    </row>
    <row r="106" spans="1:7" ht="13" x14ac:dyDescent="0.15">
      <c r="A106" s="7" t="s">
        <v>242</v>
      </c>
      <c r="B106" s="7" t="s">
        <v>459</v>
      </c>
      <c r="C106" s="7" t="s">
        <v>460</v>
      </c>
      <c r="D106" s="7" t="s">
        <v>248</v>
      </c>
      <c r="E106" s="12" t="s">
        <v>183</v>
      </c>
      <c r="F106" s="13">
        <v>5.8</v>
      </c>
      <c r="G106" s="14">
        <v>5.8</v>
      </c>
    </row>
    <row r="107" spans="1:7" ht="13" x14ac:dyDescent="0.15">
      <c r="A107" s="7" t="s">
        <v>242</v>
      </c>
      <c r="B107" s="7" t="s">
        <v>461</v>
      </c>
      <c r="C107" s="7" t="s">
        <v>462</v>
      </c>
      <c r="D107" s="7" t="s">
        <v>245</v>
      </c>
      <c r="E107" s="12" t="s">
        <v>183</v>
      </c>
      <c r="F107" s="13">
        <v>32</v>
      </c>
      <c r="G107" s="14">
        <f t="shared" ref="G107:G108" si="3">F107/5</f>
        <v>6.4</v>
      </c>
    </row>
    <row r="108" spans="1:7" ht="13" x14ac:dyDescent="0.15">
      <c r="A108" s="7" t="s">
        <v>242</v>
      </c>
      <c r="B108" s="7" t="s">
        <v>463</v>
      </c>
      <c r="C108" s="7" t="s">
        <v>464</v>
      </c>
      <c r="D108" s="7" t="s">
        <v>245</v>
      </c>
      <c r="E108" s="12" t="s">
        <v>183</v>
      </c>
      <c r="F108" s="13">
        <v>99.5</v>
      </c>
      <c r="G108" s="14">
        <f t="shared" si="3"/>
        <v>19.899999999999999</v>
      </c>
    </row>
    <row r="109" spans="1:7" ht="13" x14ac:dyDescent="0.15">
      <c r="A109" s="7" t="s">
        <v>242</v>
      </c>
      <c r="B109" s="7" t="s">
        <v>465</v>
      </c>
      <c r="C109" s="7" t="s">
        <v>466</v>
      </c>
      <c r="D109" s="7" t="s">
        <v>248</v>
      </c>
      <c r="E109" s="12" t="s">
        <v>183</v>
      </c>
      <c r="F109" s="13">
        <v>10.4</v>
      </c>
      <c r="G109" s="14">
        <v>10.4</v>
      </c>
    </row>
    <row r="110" spans="1:7" ht="13" x14ac:dyDescent="0.15">
      <c r="A110" s="7" t="s">
        <v>242</v>
      </c>
      <c r="B110" s="7" t="s">
        <v>467</v>
      </c>
      <c r="C110" s="7" t="s">
        <v>468</v>
      </c>
      <c r="D110" s="7" t="s">
        <v>229</v>
      </c>
      <c r="E110" s="12" t="s">
        <v>229</v>
      </c>
      <c r="F110" s="13">
        <v>15.75</v>
      </c>
      <c r="G110" s="14">
        <v>15.75</v>
      </c>
    </row>
    <row r="111" spans="1:7" ht="13" x14ac:dyDescent="0.15">
      <c r="A111" s="7" t="s">
        <v>242</v>
      </c>
      <c r="B111" s="7" t="s">
        <v>469</v>
      </c>
      <c r="C111" s="7" t="s">
        <v>470</v>
      </c>
      <c r="D111" s="7" t="s">
        <v>471</v>
      </c>
      <c r="E111" s="12" t="s">
        <v>472</v>
      </c>
      <c r="F111" s="13">
        <v>19.600000000000001</v>
      </c>
      <c r="G111" s="14">
        <v>19.600000000000001</v>
      </c>
    </row>
    <row r="112" spans="1:7" ht="13" x14ac:dyDescent="0.15">
      <c r="A112" s="7" t="s">
        <v>242</v>
      </c>
      <c r="B112" s="7" t="s">
        <v>473</v>
      </c>
      <c r="C112" s="7" t="s">
        <v>474</v>
      </c>
      <c r="D112" s="7" t="s">
        <v>475</v>
      </c>
      <c r="E112" s="12" t="s">
        <v>183</v>
      </c>
      <c r="F112" s="13">
        <v>12</v>
      </c>
      <c r="G112" s="14">
        <f>F112/240*1000</f>
        <v>50</v>
      </c>
    </row>
    <row r="113" spans="1:7" ht="13" x14ac:dyDescent="0.15">
      <c r="A113" s="7" t="s">
        <v>242</v>
      </c>
      <c r="B113" s="7" t="s">
        <v>476</v>
      </c>
      <c r="C113" s="7" t="s">
        <v>477</v>
      </c>
      <c r="D113" s="7" t="s">
        <v>478</v>
      </c>
      <c r="E113" s="12" t="s">
        <v>183</v>
      </c>
      <c r="F113" s="13">
        <v>10.15</v>
      </c>
      <c r="G113" s="14">
        <f>F113*2</f>
        <v>20.3</v>
      </c>
    </row>
    <row r="114" spans="1:7" ht="13" x14ac:dyDescent="0.15">
      <c r="A114" s="7" t="s">
        <v>242</v>
      </c>
      <c r="B114" s="7" t="s">
        <v>479</v>
      </c>
      <c r="C114" s="7" t="s">
        <v>480</v>
      </c>
      <c r="D114" s="7" t="s">
        <v>245</v>
      </c>
      <c r="E114" s="12" t="s">
        <v>183</v>
      </c>
      <c r="F114" s="13">
        <v>22.5</v>
      </c>
      <c r="G114" s="14">
        <f t="shared" ref="G114:G116" si="4">F114/5</f>
        <v>4.5</v>
      </c>
    </row>
    <row r="115" spans="1:7" ht="13" x14ac:dyDescent="0.15">
      <c r="A115" s="7" t="s">
        <v>242</v>
      </c>
      <c r="B115" s="7" t="s">
        <v>481</v>
      </c>
      <c r="C115" s="7" t="s">
        <v>482</v>
      </c>
      <c r="D115" s="7" t="s">
        <v>245</v>
      </c>
      <c r="E115" s="12" t="s">
        <v>183</v>
      </c>
      <c r="F115" s="13">
        <v>36</v>
      </c>
      <c r="G115" s="14">
        <f t="shared" si="4"/>
        <v>7.2</v>
      </c>
    </row>
    <row r="116" spans="1:7" ht="13" x14ac:dyDescent="0.15">
      <c r="A116" s="7" t="s">
        <v>242</v>
      </c>
      <c r="B116" s="7" t="s">
        <v>483</v>
      </c>
      <c r="C116" s="7" t="s">
        <v>484</v>
      </c>
      <c r="D116" s="7" t="s">
        <v>245</v>
      </c>
      <c r="E116" s="12" t="s">
        <v>183</v>
      </c>
      <c r="F116" s="13">
        <v>22.55</v>
      </c>
      <c r="G116" s="14">
        <f t="shared" si="4"/>
        <v>4.51</v>
      </c>
    </row>
    <row r="117" spans="1:7" ht="13" x14ac:dyDescent="0.15">
      <c r="A117" s="7" t="s">
        <v>319</v>
      </c>
      <c r="B117" s="7" t="s">
        <v>485</v>
      </c>
      <c r="C117" s="7" t="s">
        <v>486</v>
      </c>
      <c r="D117" s="7" t="s">
        <v>455</v>
      </c>
      <c r="E117" s="12" t="s">
        <v>183</v>
      </c>
      <c r="F117" s="13">
        <v>12.8</v>
      </c>
      <c r="G117" s="14">
        <f>F117/800*1000</f>
        <v>16</v>
      </c>
    </row>
    <row r="118" spans="1:7" ht="13" x14ac:dyDescent="0.15">
      <c r="A118" s="7" t="s">
        <v>242</v>
      </c>
      <c r="B118" s="7" t="s">
        <v>487</v>
      </c>
      <c r="C118" s="7" t="s">
        <v>488</v>
      </c>
      <c r="D118" s="7" t="s">
        <v>245</v>
      </c>
      <c r="E118" s="12" t="s">
        <v>183</v>
      </c>
      <c r="F118" s="13">
        <v>25.5</v>
      </c>
      <c r="G118" s="14">
        <f t="shared" ref="G118:G119" si="5">F118/5</f>
        <v>5.0999999999999996</v>
      </c>
    </row>
    <row r="119" spans="1:7" ht="13" x14ac:dyDescent="0.15">
      <c r="A119" s="7" t="s">
        <v>242</v>
      </c>
      <c r="B119" s="7" t="s">
        <v>489</v>
      </c>
      <c r="C119" s="7" t="s">
        <v>490</v>
      </c>
      <c r="D119" s="7" t="s">
        <v>245</v>
      </c>
      <c r="E119" s="12" t="s">
        <v>183</v>
      </c>
      <c r="F119" s="13">
        <v>24</v>
      </c>
      <c r="G119" s="14">
        <f t="shared" si="5"/>
        <v>4.8</v>
      </c>
    </row>
    <row r="120" spans="1:7" ht="13" x14ac:dyDescent="0.15">
      <c r="A120" s="7" t="s">
        <v>242</v>
      </c>
      <c r="B120" s="7" t="s">
        <v>491</v>
      </c>
      <c r="C120" s="7" t="s">
        <v>492</v>
      </c>
      <c r="D120" s="7" t="s">
        <v>248</v>
      </c>
      <c r="E120" s="12" t="s">
        <v>183</v>
      </c>
      <c r="F120" s="13">
        <v>4.5999999999999996</v>
      </c>
      <c r="G120" s="14">
        <v>4.5999999999999996</v>
      </c>
    </row>
    <row r="121" spans="1:7" ht="13" x14ac:dyDescent="0.15">
      <c r="A121" s="7" t="s">
        <v>242</v>
      </c>
      <c r="B121" s="7" t="s">
        <v>493</v>
      </c>
      <c r="C121" s="7" t="s">
        <v>494</v>
      </c>
      <c r="D121" s="7" t="s">
        <v>495</v>
      </c>
      <c r="E121" s="12" t="s">
        <v>183</v>
      </c>
      <c r="F121" s="13">
        <v>39.6</v>
      </c>
      <c r="G121" s="14">
        <v>39.6</v>
      </c>
    </row>
    <row r="122" spans="1:7" ht="13" x14ac:dyDescent="0.15">
      <c r="A122" s="7" t="s">
        <v>242</v>
      </c>
      <c r="B122" s="7" t="s">
        <v>496</v>
      </c>
      <c r="C122" s="7" t="s">
        <v>497</v>
      </c>
      <c r="D122" s="7" t="s">
        <v>409</v>
      </c>
      <c r="E122" s="12" t="s">
        <v>183</v>
      </c>
      <c r="F122" s="13">
        <v>3.7</v>
      </c>
      <c r="G122" s="14">
        <f>F122*2</f>
        <v>7.4</v>
      </c>
    </row>
    <row r="123" spans="1:7" ht="13" x14ac:dyDescent="0.15">
      <c r="A123" s="7" t="s">
        <v>319</v>
      </c>
      <c r="B123" s="7" t="s">
        <v>498</v>
      </c>
      <c r="C123" s="7" t="s">
        <v>499</v>
      </c>
      <c r="D123" s="7" t="s">
        <v>500</v>
      </c>
      <c r="E123" s="12" t="s">
        <v>183</v>
      </c>
      <c r="F123" s="19">
        <v>10.9</v>
      </c>
      <c r="G123" s="12">
        <f>F123/450*1000</f>
        <v>24.222222222222221</v>
      </c>
    </row>
    <row r="124" spans="1:7" ht="13" x14ac:dyDescent="0.15">
      <c r="A124" s="7" t="s">
        <v>501</v>
      </c>
      <c r="B124" s="7" t="s">
        <v>502</v>
      </c>
      <c r="C124" s="7" t="s">
        <v>503</v>
      </c>
      <c r="D124" s="7" t="s">
        <v>504</v>
      </c>
      <c r="E124" s="12" t="s">
        <v>183</v>
      </c>
      <c r="F124" s="13">
        <v>44.1</v>
      </c>
      <c r="G124" s="14">
        <f t="shared" ref="G124:G125" si="6">F124/340*1000</f>
        <v>129.70588235294116</v>
      </c>
    </row>
    <row r="125" spans="1:7" ht="13" x14ac:dyDescent="0.15">
      <c r="A125" s="7" t="s">
        <v>501</v>
      </c>
      <c r="B125" s="7" t="s">
        <v>505</v>
      </c>
      <c r="C125" s="7" t="s">
        <v>506</v>
      </c>
      <c r="D125" s="7" t="s">
        <v>504</v>
      </c>
      <c r="E125" s="12" t="s">
        <v>183</v>
      </c>
      <c r="F125" s="13">
        <v>19.899999999999999</v>
      </c>
      <c r="G125" s="14">
        <f t="shared" si="6"/>
        <v>58.529411764705877</v>
      </c>
    </row>
    <row r="126" spans="1:7" ht="13" x14ac:dyDescent="0.15">
      <c r="A126" s="7" t="s">
        <v>507</v>
      </c>
      <c r="B126" s="7" t="s">
        <v>508</v>
      </c>
      <c r="C126" s="7" t="s">
        <v>509</v>
      </c>
      <c r="D126" s="7" t="s">
        <v>510</v>
      </c>
      <c r="E126" s="12" t="s">
        <v>183</v>
      </c>
      <c r="F126" s="13">
        <v>28.6</v>
      </c>
      <c r="G126" s="14">
        <f t="shared" ref="G126:G127" si="7">F126/2500*1000</f>
        <v>11.440000000000001</v>
      </c>
    </row>
    <row r="127" spans="1:7" ht="13" x14ac:dyDescent="0.15">
      <c r="A127" s="7" t="s">
        <v>507</v>
      </c>
      <c r="B127" s="7" t="s">
        <v>511</v>
      </c>
      <c r="C127" s="7" t="s">
        <v>512</v>
      </c>
      <c r="D127" s="7" t="s">
        <v>510</v>
      </c>
      <c r="E127" s="12" t="s">
        <v>183</v>
      </c>
      <c r="F127" s="13">
        <v>46</v>
      </c>
      <c r="G127" s="14">
        <f t="shared" si="7"/>
        <v>18.399999999999999</v>
      </c>
    </row>
    <row r="128" spans="1:7" ht="13" x14ac:dyDescent="0.15">
      <c r="A128" s="7" t="s">
        <v>242</v>
      </c>
      <c r="B128" s="7" t="s">
        <v>513</v>
      </c>
      <c r="C128" s="7" t="s">
        <v>514</v>
      </c>
      <c r="D128" s="7" t="s">
        <v>515</v>
      </c>
      <c r="E128" s="12" t="s">
        <v>183</v>
      </c>
      <c r="F128" s="13">
        <v>42.62</v>
      </c>
      <c r="G128" s="14">
        <f>F128/2</f>
        <v>21.31</v>
      </c>
    </row>
    <row r="129" spans="1:7" ht="13" x14ac:dyDescent="0.15">
      <c r="A129" s="7" t="s">
        <v>501</v>
      </c>
      <c r="B129" s="7" t="s">
        <v>516</v>
      </c>
      <c r="C129" s="7" t="s">
        <v>517</v>
      </c>
      <c r="D129" s="7" t="s">
        <v>409</v>
      </c>
      <c r="E129" s="12" t="s">
        <v>183</v>
      </c>
      <c r="F129" s="13">
        <v>61.9</v>
      </c>
      <c r="G129" s="14">
        <f>F129*2</f>
        <v>123.8</v>
      </c>
    </row>
    <row r="130" spans="1:7" ht="13" x14ac:dyDescent="0.15">
      <c r="A130" s="7" t="s">
        <v>518</v>
      </c>
      <c r="B130" s="7" t="s">
        <v>519</v>
      </c>
      <c r="C130" s="7" t="s">
        <v>520</v>
      </c>
      <c r="D130" s="7" t="s">
        <v>183</v>
      </c>
      <c r="E130" s="12" t="s">
        <v>183</v>
      </c>
      <c r="F130" s="13">
        <v>21</v>
      </c>
      <c r="G130" s="14">
        <v>21</v>
      </c>
    </row>
    <row r="131" spans="1:7" ht="13" x14ac:dyDescent="0.15">
      <c r="A131" s="7" t="s">
        <v>242</v>
      </c>
      <c r="B131" s="7" t="s">
        <v>521</v>
      </c>
      <c r="C131" s="7" t="s">
        <v>522</v>
      </c>
      <c r="D131" s="7" t="s">
        <v>248</v>
      </c>
      <c r="E131" s="12" t="s">
        <v>183</v>
      </c>
      <c r="F131" s="13">
        <v>50.95</v>
      </c>
      <c r="G131" s="14">
        <v>50.95</v>
      </c>
    </row>
    <row r="132" spans="1:7" ht="13" x14ac:dyDescent="0.15">
      <c r="A132" s="7" t="s">
        <v>242</v>
      </c>
      <c r="B132" s="7" t="s">
        <v>523</v>
      </c>
      <c r="C132" s="7" t="s">
        <v>524</v>
      </c>
      <c r="D132" s="7" t="s">
        <v>248</v>
      </c>
      <c r="E132" s="12" t="s">
        <v>183</v>
      </c>
      <c r="F132" s="13">
        <v>120.35</v>
      </c>
      <c r="G132" s="14">
        <v>120.35</v>
      </c>
    </row>
    <row r="133" spans="1:7" ht="13" x14ac:dyDescent="0.15">
      <c r="A133" s="7" t="s">
        <v>319</v>
      </c>
      <c r="B133" s="7" t="s">
        <v>525</v>
      </c>
      <c r="C133" s="7" t="s">
        <v>526</v>
      </c>
      <c r="D133" s="7"/>
      <c r="E133" s="12"/>
      <c r="F133" s="19"/>
      <c r="G133" s="12"/>
    </row>
    <row r="134" spans="1:7" ht="13" x14ac:dyDescent="0.15">
      <c r="A134" s="7" t="s">
        <v>242</v>
      </c>
      <c r="B134" s="7" t="s">
        <v>527</v>
      </c>
      <c r="C134" s="7" t="s">
        <v>528</v>
      </c>
      <c r="D134" s="7" t="s">
        <v>248</v>
      </c>
      <c r="E134" s="12" t="s">
        <v>183</v>
      </c>
      <c r="F134" s="13">
        <v>168.25</v>
      </c>
      <c r="G134" s="14">
        <v>168.25</v>
      </c>
    </row>
    <row r="135" spans="1:7" ht="13" x14ac:dyDescent="0.15">
      <c r="A135" s="7" t="s">
        <v>242</v>
      </c>
      <c r="B135" s="7" t="s">
        <v>529</v>
      </c>
      <c r="C135" s="7" t="s">
        <v>530</v>
      </c>
      <c r="D135" s="7" t="s">
        <v>248</v>
      </c>
      <c r="E135" s="12" t="s">
        <v>183</v>
      </c>
      <c r="F135" s="13">
        <v>29.95</v>
      </c>
      <c r="G135" s="14">
        <v>29.95</v>
      </c>
    </row>
    <row r="136" spans="1:7" ht="13" x14ac:dyDescent="0.15">
      <c r="A136" s="7" t="s">
        <v>242</v>
      </c>
      <c r="B136" s="7" t="s">
        <v>531</v>
      </c>
      <c r="C136" s="7" t="s">
        <v>532</v>
      </c>
      <c r="D136" s="7" t="s">
        <v>248</v>
      </c>
      <c r="E136" s="12" t="s">
        <v>183</v>
      </c>
      <c r="F136" s="13">
        <v>14.25</v>
      </c>
      <c r="G136" s="14">
        <v>14.25</v>
      </c>
    </row>
    <row r="137" spans="1:7" ht="13" x14ac:dyDescent="0.15">
      <c r="A137" s="7" t="s">
        <v>242</v>
      </c>
      <c r="B137" s="7" t="s">
        <v>533</v>
      </c>
      <c r="C137" s="7" t="s">
        <v>534</v>
      </c>
      <c r="D137" s="7" t="s">
        <v>248</v>
      </c>
      <c r="E137" s="12" t="s">
        <v>183</v>
      </c>
      <c r="F137" s="13">
        <v>45.2</v>
      </c>
      <c r="G137" s="14">
        <v>45.2</v>
      </c>
    </row>
    <row r="138" spans="1:7" ht="13" x14ac:dyDescent="0.15">
      <c r="A138" s="7" t="s">
        <v>242</v>
      </c>
      <c r="B138" s="7" t="s">
        <v>535</v>
      </c>
      <c r="C138" s="7" t="s">
        <v>536</v>
      </c>
      <c r="D138" s="7" t="s">
        <v>248</v>
      </c>
      <c r="E138" s="12" t="s">
        <v>183</v>
      </c>
      <c r="F138" s="13">
        <v>17.5</v>
      </c>
      <c r="G138" s="14">
        <v>17.5</v>
      </c>
    </row>
    <row r="139" spans="1:7" ht="13" x14ac:dyDescent="0.15">
      <c r="A139" s="7" t="s">
        <v>225</v>
      </c>
      <c r="B139" s="7" t="s">
        <v>537</v>
      </c>
      <c r="C139" s="7" t="s">
        <v>538</v>
      </c>
      <c r="D139" s="7" t="s">
        <v>539</v>
      </c>
      <c r="E139" s="12" t="s">
        <v>369</v>
      </c>
      <c r="F139" s="13">
        <v>23</v>
      </c>
      <c r="G139" s="14">
        <v>23</v>
      </c>
    </row>
    <row r="140" spans="1:7" ht="13" x14ac:dyDescent="0.15">
      <c r="A140" s="7" t="s">
        <v>225</v>
      </c>
      <c r="B140" s="7" t="s">
        <v>540</v>
      </c>
      <c r="C140" s="7" t="s">
        <v>541</v>
      </c>
      <c r="D140" s="7" t="s">
        <v>419</v>
      </c>
      <c r="E140" s="12" t="s">
        <v>419</v>
      </c>
      <c r="F140" s="13">
        <v>30</v>
      </c>
      <c r="G140" s="14">
        <f>F140*2</f>
        <v>60</v>
      </c>
    </row>
    <row r="141" spans="1:7" ht="13" x14ac:dyDescent="0.15">
      <c r="A141" s="7" t="s">
        <v>319</v>
      </c>
      <c r="B141" s="7" t="s">
        <v>542</v>
      </c>
      <c r="C141" s="7" t="s">
        <v>543</v>
      </c>
      <c r="D141" s="7" t="s">
        <v>248</v>
      </c>
      <c r="E141" s="12" t="s">
        <v>248</v>
      </c>
      <c r="F141" s="13">
        <v>4.3</v>
      </c>
      <c r="G141" s="14">
        <v>4.3</v>
      </c>
    </row>
    <row r="142" spans="1:7" ht="13" x14ac:dyDescent="0.15">
      <c r="A142" s="7" t="s">
        <v>319</v>
      </c>
      <c r="B142" s="7" t="s">
        <v>544</v>
      </c>
      <c r="C142" s="7" t="s">
        <v>545</v>
      </c>
      <c r="D142" s="7" t="s">
        <v>546</v>
      </c>
      <c r="E142" s="12" t="s">
        <v>546</v>
      </c>
      <c r="F142" s="13">
        <v>2.7</v>
      </c>
      <c r="G142" s="14">
        <f>F142/340*1000</f>
        <v>7.9411764705882364</v>
      </c>
    </row>
    <row r="143" spans="1:7" ht="13" x14ac:dyDescent="0.15">
      <c r="A143" s="7" t="s">
        <v>225</v>
      </c>
      <c r="B143" s="7" t="s">
        <v>547</v>
      </c>
      <c r="C143" s="7" t="s">
        <v>548</v>
      </c>
      <c r="D143" s="7" t="s">
        <v>271</v>
      </c>
      <c r="E143" s="12" t="s">
        <v>271</v>
      </c>
      <c r="F143" s="13">
        <v>31</v>
      </c>
      <c r="G143" s="14">
        <v>31</v>
      </c>
    </row>
    <row r="144" spans="1:7" ht="13" x14ac:dyDescent="0.15">
      <c r="A144" s="7" t="s">
        <v>285</v>
      </c>
      <c r="B144" s="7" t="s">
        <v>549</v>
      </c>
      <c r="C144" s="7" t="s">
        <v>550</v>
      </c>
      <c r="D144" s="7" t="s">
        <v>551</v>
      </c>
      <c r="E144" s="12" t="s">
        <v>551</v>
      </c>
      <c r="F144" s="13">
        <v>15.58</v>
      </c>
      <c r="G144" s="14">
        <f>F144/650*1000</f>
        <v>23.969230769230769</v>
      </c>
    </row>
    <row r="145" spans="1:7" ht="13" x14ac:dyDescent="0.15">
      <c r="A145" s="7" t="s">
        <v>285</v>
      </c>
      <c r="B145" s="7" t="s">
        <v>552</v>
      </c>
      <c r="C145" s="7" t="s">
        <v>553</v>
      </c>
      <c r="D145" s="7" t="s">
        <v>554</v>
      </c>
      <c r="E145" s="12" t="s">
        <v>554</v>
      </c>
      <c r="F145" s="13">
        <v>7.5</v>
      </c>
      <c r="G145" s="14">
        <f>F145/255*1000</f>
        <v>29.411764705882351</v>
      </c>
    </row>
    <row r="146" spans="1:7" ht="13" x14ac:dyDescent="0.15">
      <c r="A146" s="7" t="s">
        <v>242</v>
      </c>
      <c r="B146" s="7" t="s">
        <v>555</v>
      </c>
      <c r="C146" s="7" t="s">
        <v>556</v>
      </c>
      <c r="D146" s="7" t="s">
        <v>557</v>
      </c>
      <c r="E146" s="12" t="s">
        <v>271</v>
      </c>
      <c r="F146" s="13">
        <v>15.8</v>
      </c>
      <c r="G146" s="14">
        <v>15.8</v>
      </c>
    </row>
    <row r="147" spans="1:7" ht="13" x14ac:dyDescent="0.15">
      <c r="A147" s="7" t="s">
        <v>186</v>
      </c>
      <c r="B147" s="7" t="s">
        <v>558</v>
      </c>
      <c r="C147" s="7" t="s">
        <v>559</v>
      </c>
      <c r="D147" s="7" t="s">
        <v>560</v>
      </c>
      <c r="E147" s="12" t="s">
        <v>560</v>
      </c>
      <c r="F147" s="13">
        <v>34</v>
      </c>
      <c r="G147" s="14">
        <f>F147/3</f>
        <v>11.333333333333334</v>
      </c>
    </row>
    <row r="148" spans="1:7" ht="13" x14ac:dyDescent="0.15">
      <c r="A148" s="7" t="s">
        <v>319</v>
      </c>
      <c r="B148" s="7" t="s">
        <v>561</v>
      </c>
      <c r="C148" s="7" t="s">
        <v>562</v>
      </c>
      <c r="D148" s="7" t="s">
        <v>563</v>
      </c>
      <c r="E148" s="12" t="s">
        <v>563</v>
      </c>
      <c r="F148" s="13">
        <v>32</v>
      </c>
      <c r="G148" s="14">
        <f t="shared" ref="G148:G149" si="8">F148/680*1000</f>
        <v>47.058823529411761</v>
      </c>
    </row>
    <row r="149" spans="1:7" ht="13" x14ac:dyDescent="0.15">
      <c r="A149" s="7" t="s">
        <v>285</v>
      </c>
      <c r="B149" s="7" t="s">
        <v>564</v>
      </c>
      <c r="C149" s="7" t="s">
        <v>565</v>
      </c>
      <c r="D149" s="7" t="s">
        <v>396</v>
      </c>
      <c r="E149" s="12" t="s">
        <v>566</v>
      </c>
      <c r="F149" s="13">
        <v>17</v>
      </c>
      <c r="G149" s="14">
        <f t="shared" si="8"/>
        <v>25</v>
      </c>
    </row>
    <row r="150" spans="1:7" ht="13" x14ac:dyDescent="0.15">
      <c r="A150" s="7" t="s">
        <v>285</v>
      </c>
      <c r="B150" s="7" t="s">
        <v>567</v>
      </c>
      <c r="C150" s="7" t="s">
        <v>568</v>
      </c>
      <c r="D150" s="7" t="s">
        <v>569</v>
      </c>
      <c r="E150" s="12" t="s">
        <v>569</v>
      </c>
      <c r="F150" s="13">
        <v>10.199999999999999</v>
      </c>
      <c r="G150" s="14">
        <f>F150/60*1000</f>
        <v>169.99999999999997</v>
      </c>
    </row>
    <row r="151" spans="1:7" ht="13" x14ac:dyDescent="0.15">
      <c r="A151" s="7" t="s">
        <v>311</v>
      </c>
      <c r="B151" s="7" t="s">
        <v>570</v>
      </c>
      <c r="C151" s="7" t="s">
        <v>571</v>
      </c>
      <c r="D151" s="7" t="s">
        <v>572</v>
      </c>
      <c r="E151" s="12" t="s">
        <v>573</v>
      </c>
      <c r="F151" s="13">
        <v>113</v>
      </c>
      <c r="G151" s="14">
        <v>113</v>
      </c>
    </row>
    <row r="152" spans="1:7" ht="13" x14ac:dyDescent="0.15">
      <c r="A152" s="7" t="s">
        <v>319</v>
      </c>
      <c r="B152" s="7" t="s">
        <v>574</v>
      </c>
      <c r="C152" s="7" t="s">
        <v>575</v>
      </c>
      <c r="D152" s="7" t="s">
        <v>248</v>
      </c>
      <c r="E152" s="12" t="s">
        <v>248</v>
      </c>
      <c r="F152" s="13">
        <v>4.0999999999999996</v>
      </c>
      <c r="G152" s="14">
        <v>4.0999999999999996</v>
      </c>
    </row>
    <row r="153" spans="1:7" ht="13" x14ac:dyDescent="0.15">
      <c r="A153" s="7" t="s">
        <v>319</v>
      </c>
      <c r="B153" s="7" t="s">
        <v>576</v>
      </c>
      <c r="C153" s="7" t="s">
        <v>577</v>
      </c>
      <c r="D153" s="7" t="s">
        <v>578</v>
      </c>
      <c r="E153" s="12" t="s">
        <v>578</v>
      </c>
      <c r="F153" s="13">
        <v>2.4</v>
      </c>
      <c r="G153" s="14">
        <v>2.4</v>
      </c>
    </row>
    <row r="154" spans="1:7" ht="13" x14ac:dyDescent="0.15">
      <c r="A154" s="7" t="s">
        <v>225</v>
      </c>
      <c r="B154" s="7" t="s">
        <v>579</v>
      </c>
      <c r="C154" s="7" t="s">
        <v>580</v>
      </c>
      <c r="D154" s="7" t="s">
        <v>581</v>
      </c>
      <c r="E154" s="12" t="s">
        <v>581</v>
      </c>
      <c r="F154" s="13">
        <v>31</v>
      </c>
      <c r="G154" s="14">
        <v>31</v>
      </c>
    </row>
    <row r="155" spans="1:7" ht="13" x14ac:dyDescent="0.15">
      <c r="A155" s="7" t="s">
        <v>501</v>
      </c>
      <c r="B155" s="7" t="s">
        <v>582</v>
      </c>
      <c r="C155" s="7" t="s">
        <v>583</v>
      </c>
      <c r="D155" s="7" t="s">
        <v>183</v>
      </c>
      <c r="E155" s="12" t="s">
        <v>183</v>
      </c>
      <c r="F155" s="13">
        <v>35</v>
      </c>
      <c r="G155" s="14">
        <v>35</v>
      </c>
    </row>
    <row r="156" spans="1:7" ht="13" x14ac:dyDescent="0.15">
      <c r="A156" s="7" t="s">
        <v>501</v>
      </c>
      <c r="B156" s="7" t="s">
        <v>584</v>
      </c>
      <c r="C156" s="7" t="s">
        <v>75</v>
      </c>
      <c r="D156" s="7" t="s">
        <v>183</v>
      </c>
      <c r="E156" s="12" t="s">
        <v>183</v>
      </c>
      <c r="F156" s="13">
        <v>4</v>
      </c>
      <c r="G156" s="14">
        <v>4</v>
      </c>
    </row>
    <row r="157" spans="1:7" ht="13" x14ac:dyDescent="0.15">
      <c r="A157" s="7" t="s">
        <v>501</v>
      </c>
      <c r="B157" s="7" t="s">
        <v>585</v>
      </c>
      <c r="C157" s="7" t="s">
        <v>586</v>
      </c>
      <c r="D157" s="7" t="s">
        <v>183</v>
      </c>
      <c r="E157" s="12" t="s">
        <v>183</v>
      </c>
      <c r="F157" s="13">
        <v>55</v>
      </c>
      <c r="G157" s="14">
        <v>55</v>
      </c>
    </row>
    <row r="158" spans="1:7" ht="13" x14ac:dyDescent="0.15">
      <c r="A158" s="7" t="s">
        <v>501</v>
      </c>
      <c r="B158" s="7" t="s">
        <v>587</v>
      </c>
      <c r="C158" s="7" t="s">
        <v>588</v>
      </c>
      <c r="D158" s="7" t="s">
        <v>183</v>
      </c>
      <c r="E158" s="12" t="s">
        <v>183</v>
      </c>
      <c r="F158" s="13">
        <v>5.3</v>
      </c>
      <c r="G158" s="14">
        <v>5.3</v>
      </c>
    </row>
    <row r="159" spans="1:7" ht="13" x14ac:dyDescent="0.15">
      <c r="A159" s="7" t="s">
        <v>501</v>
      </c>
      <c r="B159" s="7" t="s">
        <v>589</v>
      </c>
      <c r="C159" s="7" t="s">
        <v>590</v>
      </c>
      <c r="D159" s="7" t="s">
        <v>183</v>
      </c>
      <c r="E159" s="12" t="s">
        <v>183</v>
      </c>
      <c r="F159" s="13">
        <v>4.5</v>
      </c>
      <c r="G159" s="14">
        <v>4.5</v>
      </c>
    </row>
    <row r="160" spans="1:7" ht="13" x14ac:dyDescent="0.15">
      <c r="A160" s="7" t="s">
        <v>501</v>
      </c>
      <c r="B160" s="7" t="s">
        <v>591</v>
      </c>
      <c r="C160" s="7" t="s">
        <v>592</v>
      </c>
      <c r="D160" s="7" t="s">
        <v>229</v>
      </c>
      <c r="E160" s="12" t="s">
        <v>183</v>
      </c>
      <c r="F160" s="13">
        <v>4.3</v>
      </c>
      <c r="G160" s="14">
        <f>F160*20</f>
        <v>86</v>
      </c>
    </row>
    <row r="161" spans="1:7" ht="13" x14ac:dyDescent="0.15">
      <c r="A161" s="7" t="s">
        <v>501</v>
      </c>
      <c r="B161" s="7" t="s">
        <v>593</v>
      </c>
      <c r="C161" s="7" t="s">
        <v>594</v>
      </c>
      <c r="D161" s="7" t="s">
        <v>183</v>
      </c>
      <c r="E161" s="12" t="s">
        <v>183</v>
      </c>
      <c r="F161" s="13">
        <v>3.2</v>
      </c>
      <c r="G161" s="14">
        <v>3.2</v>
      </c>
    </row>
    <row r="162" spans="1:7" ht="13" x14ac:dyDescent="0.15">
      <c r="A162" s="7" t="s">
        <v>501</v>
      </c>
      <c r="B162" s="7" t="s">
        <v>595</v>
      </c>
      <c r="C162" s="7" t="s">
        <v>596</v>
      </c>
      <c r="D162" s="7" t="s">
        <v>183</v>
      </c>
      <c r="E162" s="12" t="s">
        <v>183</v>
      </c>
      <c r="F162" s="13">
        <v>7.5</v>
      </c>
      <c r="G162" s="14">
        <v>7.5</v>
      </c>
    </row>
    <row r="163" spans="1:7" ht="13" x14ac:dyDescent="0.15">
      <c r="A163" s="7" t="s">
        <v>501</v>
      </c>
      <c r="B163" s="7" t="s">
        <v>597</v>
      </c>
      <c r="C163" s="7" t="s">
        <v>598</v>
      </c>
      <c r="D163" s="7" t="s">
        <v>229</v>
      </c>
      <c r="E163" s="12" t="s">
        <v>183</v>
      </c>
      <c r="F163" s="13">
        <v>11</v>
      </c>
      <c r="G163" s="14">
        <f>F163*5</f>
        <v>55</v>
      </c>
    </row>
    <row r="164" spans="1:7" ht="13" x14ac:dyDescent="0.15">
      <c r="A164" s="7" t="s">
        <v>501</v>
      </c>
      <c r="B164" s="7" t="s">
        <v>599</v>
      </c>
      <c r="C164" s="7" t="s">
        <v>600</v>
      </c>
      <c r="D164" s="7" t="s">
        <v>183</v>
      </c>
      <c r="E164" s="12" t="s">
        <v>183</v>
      </c>
      <c r="F164" s="13">
        <v>3.6</v>
      </c>
      <c r="G164" s="14">
        <v>3.6</v>
      </c>
    </row>
    <row r="165" spans="1:7" ht="13" x14ac:dyDescent="0.15">
      <c r="A165" s="7" t="s">
        <v>501</v>
      </c>
      <c r="B165" s="7" t="s">
        <v>601</v>
      </c>
      <c r="C165" s="7" t="s">
        <v>602</v>
      </c>
      <c r="D165" s="7" t="s">
        <v>183</v>
      </c>
      <c r="E165" s="12" t="s">
        <v>183</v>
      </c>
      <c r="F165" s="13">
        <v>12</v>
      </c>
      <c r="G165" s="14">
        <v>12</v>
      </c>
    </row>
    <row r="166" spans="1:7" ht="13" x14ac:dyDescent="0.15">
      <c r="A166" s="7" t="s">
        <v>501</v>
      </c>
      <c r="B166" s="7" t="s">
        <v>603</v>
      </c>
      <c r="C166" s="7" t="s">
        <v>604</v>
      </c>
      <c r="D166" s="7" t="s">
        <v>183</v>
      </c>
      <c r="E166" s="12" t="s">
        <v>605</v>
      </c>
      <c r="F166" s="13">
        <v>17</v>
      </c>
      <c r="G166" s="14">
        <v>17</v>
      </c>
    </row>
    <row r="167" spans="1:7" ht="13" x14ac:dyDescent="0.15">
      <c r="A167" s="7" t="s">
        <v>501</v>
      </c>
      <c r="B167" s="7" t="s">
        <v>606</v>
      </c>
      <c r="C167" s="7" t="s">
        <v>607</v>
      </c>
      <c r="D167" s="7" t="s">
        <v>183</v>
      </c>
      <c r="E167" s="12" t="s">
        <v>183</v>
      </c>
      <c r="F167" s="13">
        <v>3.8</v>
      </c>
      <c r="G167" s="14">
        <v>3.8</v>
      </c>
    </row>
    <row r="168" spans="1:7" ht="13" x14ac:dyDescent="0.15">
      <c r="A168" s="7" t="s">
        <v>501</v>
      </c>
      <c r="B168" s="7" t="s">
        <v>608</v>
      </c>
      <c r="C168" s="7" t="s">
        <v>609</v>
      </c>
      <c r="D168" s="7" t="s">
        <v>183</v>
      </c>
      <c r="E168" s="12" t="s">
        <v>183</v>
      </c>
      <c r="F168" s="13">
        <v>7.5</v>
      </c>
      <c r="G168" s="14">
        <v>7.5</v>
      </c>
    </row>
    <row r="169" spans="1:7" ht="13" x14ac:dyDescent="0.15">
      <c r="A169" s="7" t="s">
        <v>501</v>
      </c>
      <c r="B169" s="7" t="s">
        <v>610</v>
      </c>
      <c r="C169" s="7" t="s">
        <v>611</v>
      </c>
      <c r="D169" s="7" t="s">
        <v>183</v>
      </c>
      <c r="E169" s="12" t="s">
        <v>183</v>
      </c>
      <c r="F169" s="13">
        <v>11.5</v>
      </c>
      <c r="G169" s="14">
        <v>11.5</v>
      </c>
    </row>
    <row r="170" spans="1:7" ht="13" x14ac:dyDescent="0.15">
      <c r="A170" s="7" t="s">
        <v>501</v>
      </c>
      <c r="B170" s="7" t="s">
        <v>612</v>
      </c>
      <c r="C170" s="7" t="s">
        <v>613</v>
      </c>
      <c r="D170" s="7" t="s">
        <v>183</v>
      </c>
      <c r="E170" s="12" t="s">
        <v>183</v>
      </c>
      <c r="F170" s="13">
        <v>11</v>
      </c>
      <c r="G170" s="14">
        <v>11</v>
      </c>
    </row>
    <row r="171" spans="1:7" ht="13" x14ac:dyDescent="0.15">
      <c r="A171" s="7" t="s">
        <v>501</v>
      </c>
      <c r="B171" s="7" t="s">
        <v>614</v>
      </c>
      <c r="C171" s="7" t="s">
        <v>615</v>
      </c>
      <c r="D171" s="7" t="s">
        <v>183</v>
      </c>
      <c r="E171" s="12" t="s">
        <v>183</v>
      </c>
      <c r="F171" s="13">
        <v>12</v>
      </c>
      <c r="G171" s="14">
        <v>12</v>
      </c>
    </row>
    <row r="172" spans="1:7" ht="13" x14ac:dyDescent="0.15">
      <c r="A172" s="7" t="s">
        <v>501</v>
      </c>
      <c r="B172" s="7" t="s">
        <v>616</v>
      </c>
      <c r="C172" s="7" t="s">
        <v>617</v>
      </c>
      <c r="D172" s="7" t="s">
        <v>183</v>
      </c>
      <c r="E172" s="12" t="s">
        <v>183</v>
      </c>
      <c r="F172" s="13">
        <v>18</v>
      </c>
      <c r="G172" s="14">
        <v>18</v>
      </c>
    </row>
    <row r="173" spans="1:7" ht="13" x14ac:dyDescent="0.15">
      <c r="A173" s="7" t="s">
        <v>501</v>
      </c>
      <c r="B173" s="7" t="s">
        <v>618</v>
      </c>
      <c r="C173" s="7" t="s">
        <v>619</v>
      </c>
      <c r="D173" s="7" t="s">
        <v>183</v>
      </c>
      <c r="E173" s="12" t="s">
        <v>183</v>
      </c>
      <c r="F173" s="13">
        <v>13</v>
      </c>
      <c r="G173" s="14">
        <v>13</v>
      </c>
    </row>
    <row r="174" spans="1:7" ht="13" x14ac:dyDescent="0.15">
      <c r="A174" s="7" t="s">
        <v>501</v>
      </c>
      <c r="B174" s="7" t="s">
        <v>620</v>
      </c>
      <c r="C174" s="7" t="s">
        <v>621</v>
      </c>
      <c r="D174" s="7" t="s">
        <v>183</v>
      </c>
      <c r="E174" s="12" t="s">
        <v>183</v>
      </c>
      <c r="F174" s="13">
        <v>15</v>
      </c>
      <c r="G174" s="14">
        <v>15</v>
      </c>
    </row>
    <row r="175" spans="1:7" ht="13" x14ac:dyDescent="0.15">
      <c r="A175" s="7" t="s">
        <v>501</v>
      </c>
      <c r="B175" s="7" t="s">
        <v>622</v>
      </c>
      <c r="C175" s="7" t="s">
        <v>623</v>
      </c>
      <c r="D175" s="7" t="s">
        <v>229</v>
      </c>
      <c r="E175" s="12" t="s">
        <v>229</v>
      </c>
      <c r="F175" s="13">
        <v>4.3</v>
      </c>
      <c r="G175" s="14">
        <f>F175*20</f>
        <v>86</v>
      </c>
    </row>
    <row r="176" spans="1:7" ht="13" x14ac:dyDescent="0.15">
      <c r="A176" s="7" t="s">
        <v>501</v>
      </c>
      <c r="B176" s="7" t="s">
        <v>624</v>
      </c>
      <c r="C176" s="7" t="s">
        <v>625</v>
      </c>
      <c r="D176" s="7" t="s">
        <v>183</v>
      </c>
      <c r="E176" s="12" t="s">
        <v>183</v>
      </c>
      <c r="F176" s="13">
        <v>13.5</v>
      </c>
      <c r="G176" s="14">
        <v>13.5</v>
      </c>
    </row>
    <row r="177" spans="1:7" ht="13" x14ac:dyDescent="0.15">
      <c r="A177" s="7" t="s">
        <v>501</v>
      </c>
      <c r="B177" s="7" t="s">
        <v>626</v>
      </c>
      <c r="C177" s="7" t="s">
        <v>627</v>
      </c>
      <c r="D177" s="7" t="s">
        <v>183</v>
      </c>
      <c r="E177" s="12" t="s">
        <v>183</v>
      </c>
      <c r="F177" s="13">
        <v>11</v>
      </c>
      <c r="G177" s="14">
        <v>11</v>
      </c>
    </row>
    <row r="178" spans="1:7" ht="13" x14ac:dyDescent="0.15">
      <c r="A178" s="7" t="s">
        <v>501</v>
      </c>
      <c r="B178" s="7" t="s">
        <v>628</v>
      </c>
      <c r="C178" s="7" t="s">
        <v>629</v>
      </c>
      <c r="D178" s="7" t="s">
        <v>183</v>
      </c>
      <c r="E178" s="12" t="s">
        <v>183</v>
      </c>
      <c r="F178" s="13">
        <v>11</v>
      </c>
      <c r="G178" s="14">
        <v>11</v>
      </c>
    </row>
    <row r="179" spans="1:7" ht="13" x14ac:dyDescent="0.15">
      <c r="A179" s="7" t="s">
        <v>501</v>
      </c>
      <c r="B179" s="7" t="s">
        <v>630</v>
      </c>
      <c r="C179" s="7" t="s">
        <v>631</v>
      </c>
      <c r="D179" s="7" t="s">
        <v>183</v>
      </c>
      <c r="E179" s="12" t="s">
        <v>183</v>
      </c>
      <c r="F179" s="13">
        <v>7</v>
      </c>
      <c r="G179" s="14">
        <v>7</v>
      </c>
    </row>
    <row r="180" spans="1:7" ht="13" x14ac:dyDescent="0.15">
      <c r="A180" s="7" t="s">
        <v>501</v>
      </c>
      <c r="B180" s="7" t="s">
        <v>632</v>
      </c>
      <c r="C180" s="7" t="s">
        <v>633</v>
      </c>
      <c r="D180" s="7" t="s">
        <v>183</v>
      </c>
      <c r="E180" s="12" t="s">
        <v>183</v>
      </c>
      <c r="F180" s="13">
        <v>6.3</v>
      </c>
      <c r="G180" s="14">
        <v>6.3</v>
      </c>
    </row>
    <row r="181" spans="1:7" ht="13" x14ac:dyDescent="0.15">
      <c r="A181" s="7" t="s">
        <v>501</v>
      </c>
      <c r="B181" s="7" t="s">
        <v>634</v>
      </c>
      <c r="C181" s="7" t="s">
        <v>635</v>
      </c>
      <c r="D181" s="7" t="s">
        <v>183</v>
      </c>
      <c r="E181" s="12" t="s">
        <v>183</v>
      </c>
      <c r="F181" s="13">
        <v>15</v>
      </c>
      <c r="G181" s="14">
        <v>15</v>
      </c>
    </row>
    <row r="182" spans="1:7" ht="13" x14ac:dyDescent="0.15">
      <c r="A182" s="7" t="s">
        <v>501</v>
      </c>
      <c r="B182" s="7" t="s">
        <v>636</v>
      </c>
      <c r="C182" s="7" t="s">
        <v>637</v>
      </c>
      <c r="D182" s="7" t="s">
        <v>183</v>
      </c>
      <c r="E182" s="12" t="s">
        <v>183</v>
      </c>
      <c r="F182" s="13">
        <v>23.8</v>
      </c>
      <c r="G182" s="14">
        <v>23.8</v>
      </c>
    </row>
    <row r="183" spans="1:7" ht="13" x14ac:dyDescent="0.15">
      <c r="A183" s="7" t="s">
        <v>501</v>
      </c>
      <c r="B183" s="7" t="s">
        <v>638</v>
      </c>
      <c r="C183" s="7" t="s">
        <v>639</v>
      </c>
      <c r="D183" s="7" t="s">
        <v>183</v>
      </c>
      <c r="E183" s="12" t="s">
        <v>183</v>
      </c>
      <c r="F183" s="13">
        <v>10</v>
      </c>
      <c r="G183" s="14">
        <v>10</v>
      </c>
    </row>
    <row r="184" spans="1:7" ht="13" x14ac:dyDescent="0.15">
      <c r="A184" s="7" t="s">
        <v>501</v>
      </c>
      <c r="B184" s="7" t="s">
        <v>640</v>
      </c>
      <c r="C184" s="7" t="s">
        <v>641</v>
      </c>
      <c r="D184" s="7" t="s">
        <v>183</v>
      </c>
      <c r="E184" s="12" t="s">
        <v>183</v>
      </c>
      <c r="F184" s="13">
        <v>5</v>
      </c>
      <c r="G184" s="14">
        <v>5</v>
      </c>
    </row>
    <row r="185" spans="1:7" ht="13" x14ac:dyDescent="0.15">
      <c r="A185" s="7" t="s">
        <v>501</v>
      </c>
      <c r="B185" s="7" t="s">
        <v>642</v>
      </c>
      <c r="C185" s="7" t="s">
        <v>643</v>
      </c>
      <c r="D185" s="7" t="s">
        <v>183</v>
      </c>
      <c r="E185" s="12" t="s">
        <v>183</v>
      </c>
      <c r="F185" s="13">
        <v>7</v>
      </c>
      <c r="G185" s="14">
        <v>7</v>
      </c>
    </row>
    <row r="186" spans="1:7" ht="13" x14ac:dyDescent="0.15">
      <c r="A186" s="7" t="s">
        <v>501</v>
      </c>
      <c r="B186" s="7" t="s">
        <v>644</v>
      </c>
      <c r="C186" s="7" t="s">
        <v>645</v>
      </c>
      <c r="D186" s="7" t="s">
        <v>183</v>
      </c>
      <c r="E186" s="12" t="s">
        <v>183</v>
      </c>
      <c r="F186" s="13">
        <v>15</v>
      </c>
      <c r="G186" s="14">
        <v>15</v>
      </c>
    </row>
    <row r="187" spans="1:7" ht="13" x14ac:dyDescent="0.15">
      <c r="A187" s="7" t="s">
        <v>501</v>
      </c>
      <c r="B187" s="7" t="s">
        <v>646</v>
      </c>
      <c r="C187" s="7" t="s">
        <v>647</v>
      </c>
      <c r="D187" s="7" t="s">
        <v>183</v>
      </c>
      <c r="E187" s="12" t="s">
        <v>183</v>
      </c>
      <c r="F187" s="13">
        <v>8.8000000000000007</v>
      </c>
      <c r="G187" s="14">
        <v>8.8000000000000007</v>
      </c>
    </row>
    <row r="188" spans="1:7" ht="13" x14ac:dyDescent="0.15">
      <c r="A188" s="7" t="s">
        <v>501</v>
      </c>
      <c r="B188" s="7" t="s">
        <v>648</v>
      </c>
      <c r="C188" s="7" t="s">
        <v>649</v>
      </c>
      <c r="D188" s="7" t="s">
        <v>229</v>
      </c>
      <c r="E188" s="12" t="s">
        <v>229</v>
      </c>
      <c r="F188" s="13">
        <v>11.5</v>
      </c>
      <c r="G188" s="14">
        <v>11.5</v>
      </c>
    </row>
    <row r="189" spans="1:7" ht="13" x14ac:dyDescent="0.15">
      <c r="A189" s="7" t="s">
        <v>501</v>
      </c>
      <c r="B189" s="7" t="s">
        <v>650</v>
      </c>
      <c r="C189" s="7" t="s">
        <v>651</v>
      </c>
      <c r="D189" s="7" t="s">
        <v>183</v>
      </c>
      <c r="E189" s="12" t="s">
        <v>183</v>
      </c>
      <c r="F189" s="13">
        <v>3.3</v>
      </c>
      <c r="G189" s="14">
        <v>3.3</v>
      </c>
    </row>
    <row r="190" spans="1:7" ht="13" x14ac:dyDescent="0.15">
      <c r="A190" s="7" t="s">
        <v>501</v>
      </c>
      <c r="B190" s="7" t="s">
        <v>652</v>
      </c>
      <c r="C190" s="7" t="s">
        <v>653</v>
      </c>
      <c r="D190" s="7" t="s">
        <v>183</v>
      </c>
      <c r="E190" s="12" t="s">
        <v>183</v>
      </c>
      <c r="F190" s="13">
        <v>3.5</v>
      </c>
      <c r="G190" s="14">
        <v>3.5</v>
      </c>
    </row>
    <row r="191" spans="1:7" ht="13" x14ac:dyDescent="0.15">
      <c r="A191" s="7" t="s">
        <v>501</v>
      </c>
      <c r="B191" s="7" t="s">
        <v>654</v>
      </c>
      <c r="C191" s="7" t="s">
        <v>655</v>
      </c>
      <c r="D191" s="7" t="s">
        <v>183</v>
      </c>
      <c r="E191" s="12" t="s">
        <v>183</v>
      </c>
      <c r="F191" s="13">
        <v>15</v>
      </c>
      <c r="G191" s="14">
        <v>15</v>
      </c>
    </row>
    <row r="192" spans="1:7" ht="13" x14ac:dyDescent="0.15">
      <c r="A192" s="7" t="s">
        <v>501</v>
      </c>
      <c r="B192" s="7" t="s">
        <v>656</v>
      </c>
      <c r="C192" s="7" t="s">
        <v>657</v>
      </c>
      <c r="D192" s="7" t="s">
        <v>183</v>
      </c>
      <c r="E192" s="12" t="s">
        <v>183</v>
      </c>
      <c r="F192" s="13">
        <v>8.1999999999999993</v>
      </c>
      <c r="G192" s="14">
        <v>8.1999999999999993</v>
      </c>
    </row>
    <row r="193" spans="1:7" ht="13" x14ac:dyDescent="0.15">
      <c r="A193" s="7" t="s">
        <v>501</v>
      </c>
      <c r="B193" s="7" t="s">
        <v>658</v>
      </c>
      <c r="C193" s="7" t="s">
        <v>659</v>
      </c>
      <c r="D193" s="7" t="s">
        <v>183</v>
      </c>
      <c r="E193" s="12" t="s">
        <v>183</v>
      </c>
      <c r="F193" s="13">
        <v>4.3</v>
      </c>
      <c r="G193" s="14">
        <v>4.3</v>
      </c>
    </row>
    <row r="194" spans="1:7" ht="13" x14ac:dyDescent="0.15">
      <c r="A194" s="7" t="s">
        <v>501</v>
      </c>
      <c r="B194" s="7" t="s">
        <v>660</v>
      </c>
      <c r="C194" s="7" t="s">
        <v>661</v>
      </c>
      <c r="D194" s="7" t="s">
        <v>183</v>
      </c>
      <c r="E194" s="12" t="s">
        <v>183</v>
      </c>
      <c r="F194" s="13">
        <v>55</v>
      </c>
      <c r="G194" s="14">
        <v>55</v>
      </c>
    </row>
    <row r="195" spans="1:7" ht="13" x14ac:dyDescent="0.15">
      <c r="A195" s="7" t="s">
        <v>501</v>
      </c>
      <c r="B195" s="7" t="s">
        <v>662</v>
      </c>
      <c r="C195" s="7" t="s">
        <v>663</v>
      </c>
      <c r="D195" s="7" t="s">
        <v>229</v>
      </c>
      <c r="E195" s="12" t="s">
        <v>229</v>
      </c>
      <c r="F195" s="13">
        <v>4.3</v>
      </c>
      <c r="G195" s="14">
        <f t="shared" ref="G195:G196" si="9">F195*20</f>
        <v>86</v>
      </c>
    </row>
    <row r="196" spans="1:7" ht="13" x14ac:dyDescent="0.15">
      <c r="A196" s="7" t="s">
        <v>501</v>
      </c>
      <c r="B196" s="7" t="s">
        <v>664</v>
      </c>
      <c r="C196" s="7" t="s">
        <v>665</v>
      </c>
      <c r="D196" s="7" t="s">
        <v>183</v>
      </c>
      <c r="E196" s="12" t="s">
        <v>183</v>
      </c>
      <c r="F196" s="13">
        <v>4.3</v>
      </c>
      <c r="G196" s="14">
        <f t="shared" si="9"/>
        <v>86</v>
      </c>
    </row>
    <row r="197" spans="1:7" ht="13" x14ac:dyDescent="0.15">
      <c r="A197" s="7" t="s">
        <v>501</v>
      </c>
      <c r="B197" s="7" t="s">
        <v>666</v>
      </c>
      <c r="C197" s="7" t="s">
        <v>667</v>
      </c>
      <c r="D197" s="7" t="s">
        <v>183</v>
      </c>
      <c r="E197" s="12" t="s">
        <v>183</v>
      </c>
      <c r="F197" s="13">
        <v>7</v>
      </c>
      <c r="G197" s="14">
        <v>7</v>
      </c>
    </row>
    <row r="198" spans="1:7" ht="13" x14ac:dyDescent="0.15">
      <c r="A198" s="7" t="s">
        <v>501</v>
      </c>
      <c r="B198" s="7" t="s">
        <v>668</v>
      </c>
      <c r="C198" s="7" t="s">
        <v>669</v>
      </c>
      <c r="D198" s="7" t="s">
        <v>183</v>
      </c>
      <c r="E198" s="12" t="s">
        <v>183</v>
      </c>
      <c r="F198" s="13">
        <v>10</v>
      </c>
      <c r="G198" s="14">
        <v>10</v>
      </c>
    </row>
    <row r="199" spans="1:7" ht="13" x14ac:dyDescent="0.15">
      <c r="A199" s="7" t="s">
        <v>501</v>
      </c>
      <c r="B199" s="7" t="s">
        <v>670</v>
      </c>
      <c r="C199" s="7" t="s">
        <v>671</v>
      </c>
      <c r="D199" s="7" t="s">
        <v>229</v>
      </c>
      <c r="E199" s="12" t="s">
        <v>229</v>
      </c>
      <c r="F199" s="13">
        <v>21</v>
      </c>
      <c r="G199" s="14">
        <f>F199*5</f>
        <v>105</v>
      </c>
    </row>
    <row r="200" spans="1:7" ht="13" x14ac:dyDescent="0.15">
      <c r="A200" s="7" t="s">
        <v>501</v>
      </c>
      <c r="B200" s="7" t="s">
        <v>672</v>
      </c>
      <c r="C200" s="7" t="s">
        <v>673</v>
      </c>
      <c r="D200" s="7" t="s">
        <v>183</v>
      </c>
      <c r="E200" s="12" t="s">
        <v>183</v>
      </c>
      <c r="F200" s="13">
        <v>4.5</v>
      </c>
      <c r="G200" s="14">
        <v>4.5</v>
      </c>
    </row>
    <row r="201" spans="1:7" ht="13" x14ac:dyDescent="0.15">
      <c r="A201" s="7" t="s">
        <v>501</v>
      </c>
      <c r="B201" s="7" t="s">
        <v>674</v>
      </c>
      <c r="C201" s="7" t="s">
        <v>675</v>
      </c>
      <c r="D201" s="7" t="s">
        <v>229</v>
      </c>
      <c r="E201" s="12" t="s">
        <v>229</v>
      </c>
      <c r="F201" s="13">
        <v>4.3</v>
      </c>
      <c r="G201" s="14">
        <f>F201*20</f>
        <v>86</v>
      </c>
    </row>
    <row r="202" spans="1:7" ht="13" x14ac:dyDescent="0.15">
      <c r="A202" s="7" t="s">
        <v>501</v>
      </c>
      <c r="B202" s="7" t="s">
        <v>676</v>
      </c>
      <c r="C202" s="7" t="s">
        <v>677</v>
      </c>
      <c r="D202" s="7" t="s">
        <v>183</v>
      </c>
      <c r="E202" s="12" t="s">
        <v>183</v>
      </c>
      <c r="F202" s="13">
        <v>4.8</v>
      </c>
      <c r="G202" s="14">
        <v>4.8</v>
      </c>
    </row>
    <row r="203" spans="1:7" ht="13" x14ac:dyDescent="0.15">
      <c r="A203" s="7" t="s">
        <v>501</v>
      </c>
      <c r="B203" s="7" t="s">
        <v>678</v>
      </c>
      <c r="C203" s="7" t="s">
        <v>679</v>
      </c>
      <c r="D203" s="7" t="s">
        <v>183</v>
      </c>
      <c r="E203" s="12" t="s">
        <v>183</v>
      </c>
      <c r="F203" s="13">
        <v>11</v>
      </c>
      <c r="G203" s="14">
        <v>11</v>
      </c>
    </row>
    <row r="204" spans="1:7" ht="13" x14ac:dyDescent="0.15">
      <c r="A204" s="7" t="s">
        <v>501</v>
      </c>
      <c r="B204" s="7" t="s">
        <v>680</v>
      </c>
      <c r="C204" s="7" t="s">
        <v>681</v>
      </c>
      <c r="D204" s="7" t="s">
        <v>183</v>
      </c>
      <c r="E204" s="12" t="s">
        <v>183</v>
      </c>
      <c r="F204" s="13">
        <v>6.9</v>
      </c>
      <c r="G204" s="14">
        <v>6.9</v>
      </c>
    </row>
    <row r="205" spans="1:7" ht="13" x14ac:dyDescent="0.15">
      <c r="A205" s="7" t="s">
        <v>501</v>
      </c>
      <c r="B205" s="7" t="s">
        <v>682</v>
      </c>
      <c r="C205" s="7" t="s">
        <v>683</v>
      </c>
      <c r="D205" s="7" t="s">
        <v>183</v>
      </c>
      <c r="E205" s="12" t="s">
        <v>183</v>
      </c>
      <c r="F205" s="13">
        <v>6.5</v>
      </c>
      <c r="G205" s="14">
        <v>6.5</v>
      </c>
    </row>
    <row r="206" spans="1:7" ht="13" x14ac:dyDescent="0.15">
      <c r="A206" s="7" t="s">
        <v>501</v>
      </c>
      <c r="B206" s="7" t="s">
        <v>684</v>
      </c>
      <c r="C206" s="7" t="s">
        <v>685</v>
      </c>
      <c r="D206" s="7" t="s">
        <v>183</v>
      </c>
      <c r="E206" s="12" t="s">
        <v>183</v>
      </c>
      <c r="F206" s="13">
        <v>10.5</v>
      </c>
      <c r="G206" s="14">
        <v>10.5</v>
      </c>
    </row>
    <row r="207" spans="1:7" ht="13" x14ac:dyDescent="0.15">
      <c r="A207" s="7" t="s">
        <v>501</v>
      </c>
      <c r="B207" s="7" t="s">
        <v>686</v>
      </c>
      <c r="C207" s="7" t="s">
        <v>687</v>
      </c>
      <c r="D207" s="7" t="s">
        <v>688</v>
      </c>
      <c r="E207" s="12" t="s">
        <v>350</v>
      </c>
      <c r="F207" s="13">
        <v>15</v>
      </c>
      <c r="G207" s="14">
        <f>F207/30</f>
        <v>0.5</v>
      </c>
    </row>
    <row r="208" spans="1:7" ht="13" x14ac:dyDescent="0.15">
      <c r="A208" s="7" t="s">
        <v>501</v>
      </c>
      <c r="B208" s="7" t="s">
        <v>689</v>
      </c>
      <c r="C208" s="7" t="s">
        <v>690</v>
      </c>
      <c r="D208" s="7" t="s">
        <v>183</v>
      </c>
      <c r="E208" s="12" t="s">
        <v>183</v>
      </c>
      <c r="F208" s="13">
        <v>13.5</v>
      </c>
      <c r="G208" s="14">
        <v>13.5</v>
      </c>
    </row>
    <row r="209" spans="1:7" ht="13" x14ac:dyDescent="0.15">
      <c r="A209" s="7" t="s">
        <v>501</v>
      </c>
      <c r="B209" s="7" t="s">
        <v>691</v>
      </c>
      <c r="C209" s="7" t="s">
        <v>692</v>
      </c>
      <c r="D209" s="7" t="s">
        <v>183</v>
      </c>
      <c r="E209" s="12" t="s">
        <v>183</v>
      </c>
      <c r="F209" s="13">
        <v>2.4</v>
      </c>
      <c r="G209" s="14">
        <v>2.4</v>
      </c>
    </row>
    <row r="210" spans="1:7" ht="13" x14ac:dyDescent="0.15">
      <c r="A210" s="7" t="s">
        <v>501</v>
      </c>
      <c r="B210" s="7" t="s">
        <v>693</v>
      </c>
      <c r="C210" s="7" t="s">
        <v>694</v>
      </c>
      <c r="D210" s="7" t="s">
        <v>183</v>
      </c>
      <c r="E210" s="12" t="s">
        <v>183</v>
      </c>
      <c r="F210" s="13">
        <v>10.3</v>
      </c>
      <c r="G210" s="14">
        <v>10.3</v>
      </c>
    </row>
    <row r="211" spans="1:7" ht="13" x14ac:dyDescent="0.15">
      <c r="A211" s="7" t="s">
        <v>501</v>
      </c>
      <c r="B211" s="7" t="s">
        <v>695</v>
      </c>
      <c r="C211" s="7" t="s">
        <v>696</v>
      </c>
      <c r="D211" s="7" t="s">
        <v>229</v>
      </c>
      <c r="E211" s="12" t="s">
        <v>229</v>
      </c>
      <c r="F211" s="13">
        <v>36</v>
      </c>
      <c r="G211" s="14">
        <f>F211/5</f>
        <v>7.2</v>
      </c>
    </row>
    <row r="212" spans="1:7" ht="13" x14ac:dyDescent="0.15">
      <c r="A212" s="7" t="s">
        <v>501</v>
      </c>
      <c r="B212" s="7" t="s">
        <v>697</v>
      </c>
      <c r="C212" s="7" t="s">
        <v>698</v>
      </c>
      <c r="D212" s="7" t="s">
        <v>229</v>
      </c>
      <c r="E212" s="12" t="s">
        <v>229</v>
      </c>
      <c r="F212" s="13">
        <v>17.2</v>
      </c>
      <c r="G212" s="14">
        <v>17.2</v>
      </c>
    </row>
    <row r="213" spans="1:7" ht="13" x14ac:dyDescent="0.15">
      <c r="A213" s="7" t="s">
        <v>501</v>
      </c>
      <c r="B213" s="7" t="s">
        <v>699</v>
      </c>
      <c r="C213" s="7" t="s">
        <v>700</v>
      </c>
      <c r="D213" s="7" t="s">
        <v>183</v>
      </c>
      <c r="E213" s="12" t="s">
        <v>183</v>
      </c>
      <c r="F213" s="13">
        <v>1.4</v>
      </c>
      <c r="G213" s="14">
        <v>1.4</v>
      </c>
    </row>
    <row r="214" spans="1:7" ht="13" x14ac:dyDescent="0.15">
      <c r="A214" s="7" t="s">
        <v>501</v>
      </c>
      <c r="B214" s="7" t="s">
        <v>701</v>
      </c>
      <c r="C214" s="7" t="s">
        <v>702</v>
      </c>
      <c r="D214" s="7" t="s">
        <v>350</v>
      </c>
      <c r="E214" s="12" t="s">
        <v>350</v>
      </c>
      <c r="F214" s="13">
        <v>1.5</v>
      </c>
      <c r="G214" s="14">
        <v>1.5</v>
      </c>
    </row>
    <row r="215" spans="1:7" ht="13" x14ac:dyDescent="0.15">
      <c r="A215" s="7" t="s">
        <v>501</v>
      </c>
      <c r="B215" s="7" t="s">
        <v>703</v>
      </c>
      <c r="C215" s="7" t="s">
        <v>704</v>
      </c>
      <c r="D215" s="7" t="s">
        <v>183</v>
      </c>
      <c r="E215" s="12" t="s">
        <v>183</v>
      </c>
      <c r="F215" s="13">
        <v>8</v>
      </c>
      <c r="G215" s="14">
        <v>8</v>
      </c>
    </row>
    <row r="216" spans="1:7" ht="13" x14ac:dyDescent="0.15">
      <c r="A216" s="7" t="s">
        <v>501</v>
      </c>
      <c r="B216" s="7" t="s">
        <v>705</v>
      </c>
      <c r="C216" s="7" t="s">
        <v>706</v>
      </c>
      <c r="D216" s="7" t="s">
        <v>183</v>
      </c>
      <c r="E216" s="12" t="s">
        <v>183</v>
      </c>
      <c r="F216" s="13">
        <v>7</v>
      </c>
      <c r="G216" s="14">
        <v>7</v>
      </c>
    </row>
    <row r="217" spans="1:7" ht="13" x14ac:dyDescent="0.15">
      <c r="A217" s="7" t="s">
        <v>501</v>
      </c>
      <c r="B217" s="7" t="s">
        <v>707</v>
      </c>
      <c r="C217" s="7" t="s">
        <v>708</v>
      </c>
      <c r="D217" s="7" t="s">
        <v>709</v>
      </c>
      <c r="E217" s="12" t="s">
        <v>709</v>
      </c>
      <c r="F217" s="13">
        <v>135</v>
      </c>
      <c r="G217" s="14">
        <v>135</v>
      </c>
    </row>
    <row r="218" spans="1:7" ht="13" x14ac:dyDescent="0.15">
      <c r="A218" s="7" t="s">
        <v>501</v>
      </c>
      <c r="B218" s="7" t="s">
        <v>710</v>
      </c>
      <c r="C218" s="7" t="s">
        <v>711</v>
      </c>
      <c r="D218" s="7" t="s">
        <v>183</v>
      </c>
      <c r="E218" s="12" t="s">
        <v>183</v>
      </c>
      <c r="F218" s="13">
        <v>4.8</v>
      </c>
      <c r="G218" s="14">
        <v>4.8</v>
      </c>
    </row>
    <row r="219" spans="1:7" ht="13" x14ac:dyDescent="0.15">
      <c r="A219" s="7" t="s">
        <v>501</v>
      </c>
      <c r="B219" s="7" t="s">
        <v>712</v>
      </c>
      <c r="C219" s="7" t="s">
        <v>713</v>
      </c>
      <c r="D219" s="7"/>
      <c r="E219" s="12"/>
      <c r="F219" s="19">
        <v>2.5</v>
      </c>
      <c r="G219" s="12">
        <v>2.5</v>
      </c>
    </row>
    <row r="220" spans="1:7" ht="13" x14ac:dyDescent="0.15">
      <c r="A220" s="7" t="s">
        <v>501</v>
      </c>
      <c r="B220" s="7" t="s">
        <v>714</v>
      </c>
      <c r="C220" s="7" t="s">
        <v>715</v>
      </c>
      <c r="D220" s="7" t="s">
        <v>183</v>
      </c>
      <c r="E220" s="12" t="s">
        <v>183</v>
      </c>
      <c r="F220" s="13">
        <v>6.3</v>
      </c>
      <c r="G220" s="14">
        <v>6.3</v>
      </c>
    </row>
    <row r="221" spans="1:7" ht="13" x14ac:dyDescent="0.15">
      <c r="A221" s="49" t="s">
        <v>501</v>
      </c>
      <c r="B221" s="49" t="s">
        <v>716</v>
      </c>
      <c r="C221" s="49" t="s">
        <v>717</v>
      </c>
      <c r="D221" s="49" t="s">
        <v>183</v>
      </c>
      <c r="E221" s="50" t="s">
        <v>183</v>
      </c>
      <c r="F221" s="51">
        <v>3.8</v>
      </c>
      <c r="G221" s="52">
        <v>3.8</v>
      </c>
    </row>
    <row r="222" spans="1:7" ht="13" x14ac:dyDescent="0.15">
      <c r="A222" s="7" t="s">
        <v>501</v>
      </c>
      <c r="B222" s="45"/>
      <c r="C222" s="46" t="s">
        <v>718</v>
      </c>
      <c r="D222" s="46" t="s">
        <v>183</v>
      </c>
      <c r="E222" s="47" t="s">
        <v>183</v>
      </c>
      <c r="F222" s="48">
        <v>37.799999999999997</v>
      </c>
      <c r="G222" s="47">
        <v>37.799999999999997</v>
      </c>
    </row>
    <row r="223" spans="1:7" ht="13" x14ac:dyDescent="0.15">
      <c r="E223" s="22"/>
      <c r="F223" s="23"/>
      <c r="G223" s="22"/>
    </row>
    <row r="224" spans="1:7" ht="13" x14ac:dyDescent="0.15">
      <c r="E224" s="22"/>
      <c r="F224" s="23"/>
      <c r="G224" s="22"/>
    </row>
    <row r="225" spans="5:7" ht="13" x14ac:dyDescent="0.15">
      <c r="E225" s="22"/>
      <c r="F225" s="23"/>
      <c r="G225" s="22"/>
    </row>
    <row r="226" spans="5:7" ht="13" x14ac:dyDescent="0.15">
      <c r="E226" s="22"/>
      <c r="F226" s="23"/>
      <c r="G226" s="22"/>
    </row>
    <row r="227" spans="5:7" ht="13" x14ac:dyDescent="0.15">
      <c r="E227" s="22"/>
      <c r="F227" s="23"/>
      <c r="G227" s="22"/>
    </row>
    <row r="228" spans="5:7" ht="13" x14ac:dyDescent="0.15">
      <c r="E228" s="22"/>
      <c r="F228" s="23"/>
      <c r="G228" s="22"/>
    </row>
    <row r="229" spans="5:7" ht="13" x14ac:dyDescent="0.15">
      <c r="E229" s="22"/>
      <c r="F229" s="23"/>
      <c r="G229" s="22"/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2"/>
  <sheetViews>
    <sheetView workbookViewId="0">
      <selection activeCell="B22" sqref="B22"/>
    </sheetView>
  </sheetViews>
  <sheetFormatPr baseColWidth="10" defaultColWidth="14.5" defaultRowHeight="15.75" customHeight="1" x14ac:dyDescent="0.15"/>
  <cols>
    <col min="1" max="1" width="27.5" customWidth="1"/>
    <col min="2" max="2" width="21.5" customWidth="1"/>
  </cols>
  <sheetData>
    <row r="1" spans="1:3" ht="13" x14ac:dyDescent="0.15">
      <c r="A1" s="24" t="s">
        <v>0</v>
      </c>
      <c r="B1" s="24" t="s">
        <v>1</v>
      </c>
      <c r="C1" s="24" t="s">
        <v>719</v>
      </c>
    </row>
    <row r="2" spans="1:3" ht="15.75" customHeight="1" x14ac:dyDescent="0.15">
      <c r="A2" s="7" t="s">
        <v>720</v>
      </c>
      <c r="B2" s="5">
        <f>'Item list calculator'!I10</f>
        <v>3.6284444444444444</v>
      </c>
      <c r="C2" s="25" t="s">
        <v>721</v>
      </c>
    </row>
    <row r="3" spans="1:3" ht="15.75" customHeight="1" x14ac:dyDescent="0.15">
      <c r="A3" s="7" t="s">
        <v>722</v>
      </c>
      <c r="B3" s="5">
        <f>'Item list calculator'!I23</f>
        <v>4.1504444444444442</v>
      </c>
      <c r="C3" s="25" t="s">
        <v>721</v>
      </c>
    </row>
    <row r="4" spans="1:3" ht="15.75" customHeight="1" x14ac:dyDescent="0.15">
      <c r="A4" s="7" t="s">
        <v>723</v>
      </c>
      <c r="B4" s="5">
        <f>'Item list calculator'!I39</f>
        <v>2.9466999999999999</v>
      </c>
      <c r="C4" s="25" t="s">
        <v>721</v>
      </c>
    </row>
    <row r="5" spans="1:3" ht="15.75" customHeight="1" x14ac:dyDescent="0.15">
      <c r="A5" s="7" t="s">
        <v>724</v>
      </c>
      <c r="B5" s="5">
        <f>'Item list calculator'!I59</f>
        <v>5.4060666666666668</v>
      </c>
      <c r="C5" s="25" t="s">
        <v>721</v>
      </c>
    </row>
    <row r="6" spans="1:3" ht="15.75" customHeight="1" x14ac:dyDescent="0.15">
      <c r="A6" s="7" t="s">
        <v>725</v>
      </c>
      <c r="B6" s="5">
        <f>'Item list calculator'!I74</f>
        <v>0.67908888888888885</v>
      </c>
      <c r="C6" s="25" t="s">
        <v>721</v>
      </c>
    </row>
    <row r="7" spans="1:3" ht="15.75" customHeight="1" x14ac:dyDescent="0.15">
      <c r="A7" s="7" t="s">
        <v>726</v>
      </c>
      <c r="B7" s="5">
        <f>'Item list calculator'!I89</f>
        <v>2.3327444444444443</v>
      </c>
      <c r="C7" s="25" t="s">
        <v>721</v>
      </c>
    </row>
    <row r="8" spans="1:3" ht="15.75" customHeight="1" x14ac:dyDescent="0.15">
      <c r="A8" s="7" t="s">
        <v>727</v>
      </c>
      <c r="B8" s="5">
        <f>'Item list calculator'!I102</f>
        <v>2.1545599128540309</v>
      </c>
      <c r="C8" s="25" t="s">
        <v>721</v>
      </c>
    </row>
    <row r="9" spans="1:3" ht="15.75" customHeight="1" x14ac:dyDescent="0.15">
      <c r="A9" s="7" t="s">
        <v>728</v>
      </c>
      <c r="B9" s="5">
        <f>'Item list calculator'!I115</f>
        <v>2.0643377777777774</v>
      </c>
      <c r="C9" s="25" t="s">
        <v>721</v>
      </c>
    </row>
    <row r="10" spans="1:3" ht="15.75" customHeight="1" x14ac:dyDescent="0.15">
      <c r="A10" s="7" t="s">
        <v>729</v>
      </c>
      <c r="B10" s="5">
        <f>'Item list calculator'!I132</f>
        <v>2.0792454361054769</v>
      </c>
      <c r="C10" s="25" t="s">
        <v>730</v>
      </c>
    </row>
    <row r="11" spans="1:3" ht="15.75" customHeight="1" x14ac:dyDescent="0.15">
      <c r="A11" s="7" t="s">
        <v>731</v>
      </c>
      <c r="B11" s="5">
        <f>'Item list calculator'!I144</f>
        <v>0.94003529411764719</v>
      </c>
      <c r="C11" s="25" t="s">
        <v>721</v>
      </c>
    </row>
    <row r="12" spans="1:3" ht="15.75" customHeight="1" x14ac:dyDescent="0.15">
      <c r="A12" s="7" t="s">
        <v>58</v>
      </c>
      <c r="B12" s="5">
        <f>'Item list calculator'!I158</f>
        <v>0.99315277777777766</v>
      </c>
      <c r="C12" s="25" t="s">
        <v>721</v>
      </c>
    </row>
    <row r="13" spans="1:3" ht="15.75" customHeight="1" x14ac:dyDescent="0.15">
      <c r="A13" s="7" t="s">
        <v>57</v>
      </c>
      <c r="B13" s="5">
        <f>'Item list calculator'!I175</f>
        <v>1.1553965277777776</v>
      </c>
      <c r="C13" s="25" t="s">
        <v>721</v>
      </c>
    </row>
    <row r="14" spans="1:3" ht="15.75" customHeight="1" x14ac:dyDescent="0.15">
      <c r="A14" s="7" t="s">
        <v>54</v>
      </c>
      <c r="B14" s="5">
        <f>'Item list calculator'!I193</f>
        <v>15.347865740740742</v>
      </c>
      <c r="C14" s="25" t="s">
        <v>721</v>
      </c>
    </row>
    <row r="15" spans="1:3" ht="15.75" customHeight="1" x14ac:dyDescent="0.15">
      <c r="A15" s="7" t="s">
        <v>53</v>
      </c>
      <c r="B15" s="5">
        <f>'Item list calculator'!I212</f>
        <v>20.635270202020202</v>
      </c>
      <c r="C15" s="25" t="s">
        <v>721</v>
      </c>
    </row>
    <row r="16" spans="1:3" ht="15.75" customHeight="1" x14ac:dyDescent="0.15">
      <c r="A16" s="7" t="s">
        <v>74</v>
      </c>
      <c r="B16" s="5">
        <f>'Item list calculator'!I247</f>
        <v>2.0735288888888888</v>
      </c>
      <c r="C16" s="25" t="s">
        <v>721</v>
      </c>
    </row>
    <row r="17" spans="1:3" ht="15.75" customHeight="1" x14ac:dyDescent="0.15">
      <c r="A17" s="26" t="s">
        <v>732</v>
      </c>
      <c r="B17" s="5">
        <f>'Item list calculator'!I235</f>
        <v>1.9025000000000003</v>
      </c>
      <c r="C17" s="25"/>
    </row>
    <row r="18" spans="1:3" ht="15.75" customHeight="1" x14ac:dyDescent="0.15">
      <c r="A18" s="7" t="s">
        <v>56</v>
      </c>
      <c r="B18" s="5">
        <f>'Item list calculator'!I262</f>
        <v>2.8409888888888895</v>
      </c>
      <c r="C18" s="25" t="s">
        <v>721</v>
      </c>
    </row>
    <row r="19" spans="1:3" ht="15.75" customHeight="1" x14ac:dyDescent="0.15">
      <c r="A19" s="7" t="s">
        <v>52</v>
      </c>
      <c r="B19" s="5">
        <f>'Item list calculator'!I282</f>
        <v>3.7496444444444448</v>
      </c>
      <c r="C19" s="25" t="s">
        <v>721</v>
      </c>
    </row>
    <row r="20" spans="1:3" ht="13" x14ac:dyDescent="0.15">
      <c r="A20" s="7" t="s">
        <v>733</v>
      </c>
      <c r="B20" s="5">
        <f>'Item list calculator'!I299</f>
        <v>16.610233164983168</v>
      </c>
      <c r="C20" s="25" t="s">
        <v>183</v>
      </c>
    </row>
    <row r="21" spans="1:3" ht="13" x14ac:dyDescent="0.15">
      <c r="A21" s="7" t="s">
        <v>734</v>
      </c>
      <c r="B21" s="5">
        <f>'Item list calculator'!I310</f>
        <v>35.247500000000002</v>
      </c>
      <c r="C21" s="25" t="s">
        <v>183</v>
      </c>
    </row>
    <row r="22" spans="1:3" ht="13" x14ac:dyDescent="0.15">
      <c r="A22" s="7" t="s">
        <v>735</v>
      </c>
      <c r="B22" s="5">
        <f>'Item list calculator'!I324</f>
        <v>1.2713037037037036</v>
      </c>
      <c r="C22" s="25" t="s">
        <v>730</v>
      </c>
    </row>
    <row r="23" spans="1:3" ht="13" x14ac:dyDescent="0.15">
      <c r="A23" s="7" t="s">
        <v>736</v>
      </c>
      <c r="B23" s="5">
        <f>'Item list calculator'!I338</f>
        <v>34.446361111111123</v>
      </c>
      <c r="C23" s="25" t="s">
        <v>183</v>
      </c>
    </row>
    <row r="24" spans="1:3" ht="13" x14ac:dyDescent="0.15">
      <c r="A24" s="7" t="s">
        <v>737</v>
      </c>
      <c r="B24" s="5">
        <f>'Item list calculator'!I352</f>
        <v>4.5724509803921558</v>
      </c>
      <c r="C24" s="25" t="s">
        <v>721</v>
      </c>
    </row>
    <row r="25" spans="1:3" ht="13" x14ac:dyDescent="0.15">
      <c r="A25" s="7" t="s">
        <v>79</v>
      </c>
      <c r="B25" s="5">
        <f>'Item list calculator'!I366</f>
        <v>9.2651785440613033</v>
      </c>
      <c r="C25" s="25" t="s">
        <v>721</v>
      </c>
    </row>
    <row r="26" spans="1:3" ht="13" x14ac:dyDescent="0.15">
      <c r="A26" s="7" t="s">
        <v>80</v>
      </c>
      <c r="B26" s="5">
        <f>'Item list calculator'!I383</f>
        <v>6.0969334726576099</v>
      </c>
      <c r="C26" s="25" t="s">
        <v>721</v>
      </c>
    </row>
    <row r="27" spans="1:3" ht="13" x14ac:dyDescent="0.15">
      <c r="A27" s="7" t="s">
        <v>738</v>
      </c>
      <c r="B27" s="5">
        <f>'Item list calculator'!I394</f>
        <v>28.882249999999999</v>
      </c>
      <c r="C27" s="25" t="s">
        <v>183</v>
      </c>
    </row>
    <row r="28" spans="1:3" ht="13" x14ac:dyDescent="0.15">
      <c r="A28" s="7" t="s">
        <v>739</v>
      </c>
      <c r="B28" s="5">
        <f>'Item list calculator'!I408</f>
        <v>5.9708999999999994</v>
      </c>
      <c r="C28" s="25" t="s">
        <v>721</v>
      </c>
    </row>
    <row r="29" spans="1:3" ht="13" x14ac:dyDescent="0.15">
      <c r="A29" s="7" t="s">
        <v>740</v>
      </c>
      <c r="B29" s="5">
        <f>'Item list calculator'!I417</f>
        <v>7.4593888888888884</v>
      </c>
      <c r="C29" s="25" t="s">
        <v>721</v>
      </c>
    </row>
    <row r="30" spans="1:3" ht="13" x14ac:dyDescent="0.15">
      <c r="A30" s="7" t="s">
        <v>64</v>
      </c>
      <c r="B30" s="5">
        <f>'Item list calculator'!I430</f>
        <v>1.7707396825396826</v>
      </c>
      <c r="C30" s="25" t="s">
        <v>730</v>
      </c>
    </row>
    <row r="31" spans="1:3" ht="13" x14ac:dyDescent="0.15">
      <c r="A31" s="7" t="s">
        <v>741</v>
      </c>
      <c r="B31" s="5">
        <f>'Item list calculator'!I442</f>
        <v>1.7691117647058825</v>
      </c>
      <c r="C31" s="25" t="s">
        <v>721</v>
      </c>
    </row>
    <row r="32" spans="1:3" ht="13" x14ac:dyDescent="0.15">
      <c r="A32" s="7" t="s">
        <v>742</v>
      </c>
      <c r="B32" s="5">
        <f>'Item list calculator'!I456</f>
        <v>3.5986875000000005</v>
      </c>
      <c r="C32" s="25" t="s">
        <v>721</v>
      </c>
    </row>
    <row r="33" spans="1:3" ht="13" x14ac:dyDescent="0.15">
      <c r="A33" s="7" t="s">
        <v>743</v>
      </c>
      <c r="B33" s="5">
        <f>'Item list calculator'!I472</f>
        <v>25.96125</v>
      </c>
      <c r="C33" s="25" t="s">
        <v>183</v>
      </c>
    </row>
    <row r="34" spans="1:3" ht="13" x14ac:dyDescent="0.15">
      <c r="A34" s="7" t="s">
        <v>744</v>
      </c>
      <c r="B34" s="5">
        <f>'Item list calculator'!I486</f>
        <v>14.069831018518519</v>
      </c>
      <c r="C34" s="25" t="s">
        <v>183</v>
      </c>
    </row>
    <row r="35" spans="1:3" ht="13" x14ac:dyDescent="0.15">
      <c r="A35" s="7" t="s">
        <v>745</v>
      </c>
      <c r="B35" s="5">
        <f>'Item list calculator'!I500</f>
        <v>1.9002142857142859</v>
      </c>
      <c r="C35" s="25" t="s">
        <v>721</v>
      </c>
    </row>
    <row r="36" spans="1:3" ht="13" x14ac:dyDescent="0.15">
      <c r="A36" s="7" t="s">
        <v>746</v>
      </c>
      <c r="B36" s="5">
        <f>'Item list calculator'!I513</f>
        <v>5.5563541666666669</v>
      </c>
      <c r="C36" s="25" t="s">
        <v>183</v>
      </c>
    </row>
    <row r="37" spans="1:3" ht="13" x14ac:dyDescent="0.15">
      <c r="A37" s="7" t="s">
        <v>747</v>
      </c>
      <c r="B37" s="5">
        <f>'Item list calculator'!I526</f>
        <v>48.182253968253974</v>
      </c>
      <c r="C37" s="25" t="s">
        <v>183</v>
      </c>
    </row>
    <row r="38" spans="1:3" ht="13" x14ac:dyDescent="0.15">
      <c r="A38" s="7" t="s">
        <v>748</v>
      </c>
      <c r="B38" s="5">
        <f>'Item list calculator'!I540</f>
        <v>46.530916666666656</v>
      </c>
      <c r="C38" s="25" t="s">
        <v>183</v>
      </c>
    </row>
    <row r="39" spans="1:3" ht="13" x14ac:dyDescent="0.15">
      <c r="A39" s="7" t="s">
        <v>749</v>
      </c>
      <c r="B39" s="5">
        <f>'Item list calculator'!I555</f>
        <v>15.453278490028488</v>
      </c>
      <c r="C39" s="25" t="s">
        <v>183</v>
      </c>
    </row>
    <row r="40" spans="1:3" ht="13" x14ac:dyDescent="0.15">
      <c r="A40" s="7" t="s">
        <v>750</v>
      </c>
      <c r="B40" s="5">
        <f>'Item list calculator'!I567</f>
        <v>20.794</v>
      </c>
      <c r="C40" s="25" t="s">
        <v>183</v>
      </c>
    </row>
    <row r="41" spans="1:3" ht="13" x14ac:dyDescent="0.15">
      <c r="A41" s="7" t="s">
        <v>751</v>
      </c>
      <c r="B41" s="5">
        <f>'Item list calculator'!I578</f>
        <v>37.543500000000002</v>
      </c>
      <c r="C41" s="25" t="s">
        <v>183</v>
      </c>
    </row>
    <row r="42" spans="1:3" ht="13" x14ac:dyDescent="0.15">
      <c r="A42" s="7" t="s">
        <v>752</v>
      </c>
      <c r="B42" s="5">
        <f>'Item list calculator'!I591</f>
        <v>20.517178571428573</v>
      </c>
      <c r="C42" s="25" t="s">
        <v>183</v>
      </c>
    </row>
    <row r="43" spans="1:3" ht="13" x14ac:dyDescent="0.15">
      <c r="A43" s="7" t="s">
        <v>753</v>
      </c>
      <c r="B43" s="5">
        <f>'Item list calculator'!I601</f>
        <v>15.033333333333333</v>
      </c>
      <c r="C43" s="25" t="s">
        <v>183</v>
      </c>
    </row>
    <row r="44" spans="1:3" ht="13" x14ac:dyDescent="0.15">
      <c r="A44" s="7" t="s">
        <v>754</v>
      </c>
      <c r="B44" s="5">
        <f>'Item list calculator'!I612</f>
        <v>113.1349705882353</v>
      </c>
      <c r="C44" s="25" t="s">
        <v>183</v>
      </c>
    </row>
    <row r="45" spans="1:3" ht="13" x14ac:dyDescent="0.15">
      <c r="A45" s="7" t="s">
        <v>755</v>
      </c>
      <c r="B45" s="5">
        <f>'Item list calculator'!I624</f>
        <v>13.585342789598108</v>
      </c>
      <c r="C45" s="25" t="s">
        <v>183</v>
      </c>
    </row>
    <row r="46" spans="1:3" ht="13" x14ac:dyDescent="0.15">
      <c r="A46" s="7" t="s">
        <v>756</v>
      </c>
      <c r="B46" s="5">
        <f>'Item list calculator'!I634</f>
        <v>11.198701298701298</v>
      </c>
      <c r="C46" s="25" t="s">
        <v>183</v>
      </c>
    </row>
    <row r="47" spans="1:3" ht="13" x14ac:dyDescent="0.15">
      <c r="A47" s="7" t="s">
        <v>757</v>
      </c>
      <c r="B47" s="5">
        <f>'Item list calculator'!I644</f>
        <v>8.3964285714285722</v>
      </c>
      <c r="C47" s="25" t="s">
        <v>183</v>
      </c>
    </row>
    <row r="48" spans="1:3" ht="13" x14ac:dyDescent="0.15">
      <c r="A48" s="7" t="s">
        <v>758</v>
      </c>
      <c r="B48" s="5">
        <f>'Item list calculator'!I654</f>
        <v>6.1349999999999998</v>
      </c>
      <c r="C48" s="25" t="s">
        <v>183</v>
      </c>
    </row>
    <row r="49" spans="1:3" ht="13" x14ac:dyDescent="0.15">
      <c r="A49" s="7" t="s">
        <v>759</v>
      </c>
      <c r="B49" s="5">
        <f>'Item list calculator'!I670</f>
        <v>18.076131313131313</v>
      </c>
      <c r="C49" s="25" t="s">
        <v>183</v>
      </c>
    </row>
    <row r="50" spans="1:3" ht="13" x14ac:dyDescent="0.15">
      <c r="A50" s="7" t="s">
        <v>760</v>
      </c>
      <c r="B50" s="5">
        <f>'Item list calculator'!I697</f>
        <v>9.6431382142857132</v>
      </c>
      <c r="C50" s="25" t="s">
        <v>183</v>
      </c>
    </row>
    <row r="51" spans="1:3" ht="13" x14ac:dyDescent="0.15">
      <c r="A51" s="7" t="s">
        <v>761</v>
      </c>
      <c r="B51" s="5">
        <f>'Item list calculator'!I713</f>
        <v>16.432480158730158</v>
      </c>
      <c r="C51" s="25" t="s">
        <v>183</v>
      </c>
    </row>
    <row r="52" spans="1:3" ht="13" x14ac:dyDescent="0.15">
      <c r="A52" s="7" t="s">
        <v>762</v>
      </c>
      <c r="B52" s="5">
        <f>'Item list calculator'!I724</f>
        <v>12.161666666666665</v>
      </c>
      <c r="C52" s="25" t="s">
        <v>183</v>
      </c>
    </row>
    <row r="53" spans="1:3" ht="13" x14ac:dyDescent="0.15">
      <c r="A53" s="7" t="s">
        <v>763</v>
      </c>
      <c r="B53" s="5">
        <f>'Item list calculator'!I738</f>
        <v>14.314</v>
      </c>
      <c r="C53" s="25" t="s">
        <v>183</v>
      </c>
    </row>
    <row r="54" spans="1:3" ht="13" x14ac:dyDescent="0.15">
      <c r="A54" s="7" t="s">
        <v>764</v>
      </c>
      <c r="B54" s="5">
        <f>'Item list calculator'!I749</f>
        <v>24.999809523809528</v>
      </c>
      <c r="C54" s="25" t="s">
        <v>183</v>
      </c>
    </row>
    <row r="55" spans="1:3" ht="13" x14ac:dyDescent="0.15">
      <c r="A55" s="7" t="s">
        <v>765</v>
      </c>
      <c r="B55" s="5">
        <f>'Item list calculator'!I770</f>
        <v>35.526000000000003</v>
      </c>
      <c r="C55" s="25" t="s">
        <v>183</v>
      </c>
    </row>
    <row r="56" spans="1:3" ht="13" x14ac:dyDescent="0.15">
      <c r="A56" s="7" t="s">
        <v>65</v>
      </c>
      <c r="B56" s="5">
        <f>'Item list calculator'!I788</f>
        <v>19.819270202020199</v>
      </c>
      <c r="C56" s="25" t="s">
        <v>183</v>
      </c>
    </row>
    <row r="57" spans="1:3" ht="13" x14ac:dyDescent="0.15">
      <c r="A57" s="21" t="s">
        <v>766</v>
      </c>
      <c r="B57" s="9">
        <f>'Item list calculator'!I799</f>
        <v>0.90550000000000019</v>
      </c>
      <c r="C57" s="27" t="s">
        <v>721</v>
      </c>
    </row>
    <row r="58" spans="1:3" ht="13" x14ac:dyDescent="0.15">
      <c r="A58" s="21" t="s">
        <v>767</v>
      </c>
      <c r="B58" s="9">
        <f>'Item list calculator'!I808</f>
        <v>7.7880000000000003</v>
      </c>
      <c r="C58" s="27" t="s">
        <v>721</v>
      </c>
    </row>
    <row r="59" spans="1:3" ht="13" x14ac:dyDescent="0.15">
      <c r="A59" s="21" t="s">
        <v>768</v>
      </c>
      <c r="B59" s="9">
        <f>'Item list calculator'!I817</f>
        <v>10.33</v>
      </c>
      <c r="C59" s="27" t="s">
        <v>183</v>
      </c>
    </row>
    <row r="60" spans="1:3" ht="13" x14ac:dyDescent="0.15">
      <c r="A60" s="21" t="s">
        <v>769</v>
      </c>
      <c r="B60" s="9">
        <f>'Item list calculator'!I830</f>
        <v>10.507500000000002</v>
      </c>
      <c r="C60" s="27" t="s">
        <v>183</v>
      </c>
    </row>
    <row r="61" spans="1:3" ht="13" x14ac:dyDescent="0.15">
      <c r="A61" s="21" t="s">
        <v>770</v>
      </c>
      <c r="B61" s="9">
        <f>'Item list calculator'!I845</f>
        <v>2.2885682814302193</v>
      </c>
      <c r="C61" s="27" t="s">
        <v>730</v>
      </c>
    </row>
    <row r="62" spans="1:3" ht="13" x14ac:dyDescent="0.15">
      <c r="B62" s="27"/>
      <c r="C62" s="27"/>
    </row>
    <row r="63" spans="1:3" ht="13" x14ac:dyDescent="0.15">
      <c r="B63" s="27"/>
      <c r="C63" s="27"/>
    </row>
    <row r="64" spans="1:3" ht="13" x14ac:dyDescent="0.15">
      <c r="B64" s="27"/>
      <c r="C64" s="27"/>
    </row>
    <row r="65" spans="2:3" ht="13" x14ac:dyDescent="0.15">
      <c r="B65" s="27"/>
      <c r="C65" s="27"/>
    </row>
    <row r="66" spans="2:3" ht="13" x14ac:dyDescent="0.15">
      <c r="B66" s="27"/>
      <c r="C66" s="27"/>
    </row>
    <row r="67" spans="2:3" ht="13" x14ac:dyDescent="0.15">
      <c r="B67" s="27"/>
      <c r="C67" s="27"/>
    </row>
    <row r="68" spans="2:3" ht="13" x14ac:dyDescent="0.15">
      <c r="B68" s="27"/>
      <c r="C68" s="27"/>
    </row>
    <row r="69" spans="2:3" ht="13" x14ac:dyDescent="0.15">
      <c r="B69" s="27"/>
      <c r="C69" s="27"/>
    </row>
    <row r="70" spans="2:3" ht="13" x14ac:dyDescent="0.15">
      <c r="B70" s="27"/>
      <c r="C70" s="27"/>
    </row>
    <row r="71" spans="2:3" ht="13" x14ac:dyDescent="0.15">
      <c r="B71" s="27"/>
      <c r="C71" s="27"/>
    </row>
    <row r="72" spans="2:3" ht="13" x14ac:dyDescent="0.15">
      <c r="B72" s="27"/>
      <c r="C72" s="27"/>
    </row>
    <row r="73" spans="2:3" ht="13" x14ac:dyDescent="0.15">
      <c r="B73" s="27"/>
      <c r="C73" s="27"/>
    </row>
    <row r="74" spans="2:3" ht="13" x14ac:dyDescent="0.15">
      <c r="B74" s="27"/>
      <c r="C74" s="27"/>
    </row>
    <row r="75" spans="2:3" ht="13" x14ac:dyDescent="0.15">
      <c r="B75" s="27"/>
      <c r="C75" s="27"/>
    </row>
    <row r="76" spans="2:3" ht="13" x14ac:dyDescent="0.15">
      <c r="B76" s="27"/>
      <c r="C76" s="27"/>
    </row>
    <row r="77" spans="2:3" ht="13" x14ac:dyDescent="0.15">
      <c r="B77" s="27"/>
      <c r="C77" s="27"/>
    </row>
    <row r="78" spans="2:3" ht="13" x14ac:dyDescent="0.15">
      <c r="B78" s="27"/>
      <c r="C78" s="27"/>
    </row>
    <row r="79" spans="2:3" ht="13" x14ac:dyDescent="0.15">
      <c r="B79" s="27"/>
      <c r="C79" s="27"/>
    </row>
    <row r="80" spans="2:3" ht="13" x14ac:dyDescent="0.15">
      <c r="B80" s="27"/>
      <c r="C80" s="27"/>
    </row>
    <row r="81" spans="2:3" ht="13" x14ac:dyDescent="0.15">
      <c r="B81" s="27"/>
      <c r="C81" s="27"/>
    </row>
    <row r="82" spans="2:3" ht="13" x14ac:dyDescent="0.15">
      <c r="B82" s="27"/>
      <c r="C82" s="27"/>
    </row>
    <row r="83" spans="2:3" ht="13" x14ac:dyDescent="0.15">
      <c r="B83" s="27"/>
      <c r="C83" s="27"/>
    </row>
    <row r="84" spans="2:3" ht="13" x14ac:dyDescent="0.15">
      <c r="B84" s="27"/>
      <c r="C84" s="27"/>
    </row>
    <row r="85" spans="2:3" ht="13" x14ac:dyDescent="0.15">
      <c r="B85" s="27"/>
      <c r="C85" s="27"/>
    </row>
    <row r="86" spans="2:3" ht="13" x14ac:dyDescent="0.15">
      <c r="B86" s="27"/>
      <c r="C86" s="27"/>
    </row>
    <row r="87" spans="2:3" ht="13" x14ac:dyDescent="0.15">
      <c r="B87" s="27"/>
      <c r="C87" s="27"/>
    </row>
    <row r="88" spans="2:3" ht="13" x14ac:dyDescent="0.15">
      <c r="B88" s="27"/>
      <c r="C88" s="27"/>
    </row>
    <row r="89" spans="2:3" ht="13" x14ac:dyDescent="0.15">
      <c r="B89" s="27"/>
      <c r="C89" s="27"/>
    </row>
    <row r="90" spans="2:3" ht="13" x14ac:dyDescent="0.15">
      <c r="B90" s="27"/>
      <c r="C90" s="27"/>
    </row>
    <row r="91" spans="2:3" ht="13" x14ac:dyDescent="0.15">
      <c r="B91" s="27"/>
      <c r="C91" s="27"/>
    </row>
    <row r="92" spans="2:3" ht="13" x14ac:dyDescent="0.15">
      <c r="B92" s="27"/>
      <c r="C92" s="27"/>
    </row>
    <row r="93" spans="2:3" ht="13" x14ac:dyDescent="0.15">
      <c r="B93" s="27"/>
      <c r="C93" s="27"/>
    </row>
    <row r="94" spans="2:3" ht="13" x14ac:dyDescent="0.15">
      <c r="B94" s="27"/>
      <c r="C94" s="27"/>
    </row>
    <row r="95" spans="2:3" ht="13" x14ac:dyDescent="0.15">
      <c r="B95" s="27"/>
      <c r="C95" s="27"/>
    </row>
    <row r="96" spans="2:3" ht="13" x14ac:dyDescent="0.15">
      <c r="B96" s="27"/>
      <c r="C96" s="27"/>
    </row>
    <row r="97" spans="2:3" ht="13" x14ac:dyDescent="0.15">
      <c r="B97" s="27"/>
      <c r="C97" s="27"/>
    </row>
    <row r="98" spans="2:3" ht="13" x14ac:dyDescent="0.15">
      <c r="B98" s="27"/>
      <c r="C98" s="27"/>
    </row>
    <row r="99" spans="2:3" ht="13" x14ac:dyDescent="0.15">
      <c r="B99" s="27"/>
      <c r="C99" s="27"/>
    </row>
    <row r="100" spans="2:3" ht="13" x14ac:dyDescent="0.15">
      <c r="B100" s="27"/>
      <c r="C100" s="27"/>
    </row>
    <row r="101" spans="2:3" ht="13" x14ac:dyDescent="0.15">
      <c r="B101" s="27"/>
      <c r="C101" s="27"/>
    </row>
    <row r="102" spans="2:3" ht="13" x14ac:dyDescent="0.15">
      <c r="B102" s="27"/>
      <c r="C102" s="27"/>
    </row>
    <row r="103" spans="2:3" ht="13" x14ac:dyDescent="0.15">
      <c r="B103" s="27"/>
      <c r="C103" s="27"/>
    </row>
    <row r="104" spans="2:3" ht="13" x14ac:dyDescent="0.15">
      <c r="B104" s="27"/>
      <c r="C104" s="27"/>
    </row>
    <row r="105" spans="2:3" ht="13" x14ac:dyDescent="0.15">
      <c r="B105" s="27"/>
      <c r="C105" s="27"/>
    </row>
    <row r="106" spans="2:3" ht="13" x14ac:dyDescent="0.15">
      <c r="B106" s="27"/>
      <c r="C106" s="27"/>
    </row>
    <row r="107" spans="2:3" ht="13" x14ac:dyDescent="0.15">
      <c r="B107" s="27"/>
      <c r="C107" s="27"/>
    </row>
    <row r="108" spans="2:3" ht="13" x14ac:dyDescent="0.15">
      <c r="B108" s="27"/>
      <c r="C108" s="27"/>
    </row>
    <row r="109" spans="2:3" ht="13" x14ac:dyDescent="0.15">
      <c r="B109" s="27"/>
      <c r="C109" s="27"/>
    </row>
    <row r="110" spans="2:3" ht="13" x14ac:dyDescent="0.15">
      <c r="B110" s="27"/>
      <c r="C110" s="27"/>
    </row>
    <row r="111" spans="2:3" ht="13" x14ac:dyDescent="0.15">
      <c r="B111" s="27"/>
      <c r="C111" s="27"/>
    </row>
    <row r="112" spans="2:3" ht="13" x14ac:dyDescent="0.15">
      <c r="B112" s="27"/>
      <c r="C112" s="27"/>
    </row>
    <row r="113" spans="2:3" ht="13" x14ac:dyDescent="0.15">
      <c r="B113" s="27"/>
      <c r="C113" s="27"/>
    </row>
    <row r="114" spans="2:3" ht="13" x14ac:dyDescent="0.15">
      <c r="B114" s="27"/>
      <c r="C114" s="27"/>
    </row>
    <row r="115" spans="2:3" ht="13" x14ac:dyDescent="0.15">
      <c r="B115" s="27"/>
      <c r="C115" s="27"/>
    </row>
    <row r="116" spans="2:3" ht="13" x14ac:dyDescent="0.15">
      <c r="B116" s="27"/>
      <c r="C116" s="27"/>
    </row>
    <row r="117" spans="2:3" ht="13" x14ac:dyDescent="0.15">
      <c r="B117" s="27"/>
      <c r="C117" s="27"/>
    </row>
    <row r="118" spans="2:3" ht="13" x14ac:dyDescent="0.15">
      <c r="B118" s="27"/>
      <c r="C118" s="27"/>
    </row>
    <row r="119" spans="2:3" ht="13" x14ac:dyDescent="0.15">
      <c r="B119" s="27"/>
      <c r="C119" s="27"/>
    </row>
    <row r="120" spans="2:3" ht="13" x14ac:dyDescent="0.15">
      <c r="B120" s="27"/>
      <c r="C120" s="27"/>
    </row>
    <row r="121" spans="2:3" ht="13" x14ac:dyDescent="0.15">
      <c r="B121" s="27"/>
      <c r="C121" s="27"/>
    </row>
    <row r="122" spans="2:3" ht="13" x14ac:dyDescent="0.15">
      <c r="B122" s="27"/>
      <c r="C122" s="27"/>
    </row>
    <row r="123" spans="2:3" ht="13" x14ac:dyDescent="0.15">
      <c r="B123" s="27"/>
      <c r="C123" s="27"/>
    </row>
    <row r="124" spans="2:3" ht="13" x14ac:dyDescent="0.15">
      <c r="B124" s="27"/>
      <c r="C124" s="27"/>
    </row>
    <row r="125" spans="2:3" ht="13" x14ac:dyDescent="0.15">
      <c r="B125" s="27"/>
      <c r="C125" s="27"/>
    </row>
    <row r="126" spans="2:3" ht="13" x14ac:dyDescent="0.15">
      <c r="B126" s="27"/>
      <c r="C126" s="27"/>
    </row>
    <row r="127" spans="2:3" ht="13" x14ac:dyDescent="0.15">
      <c r="B127" s="27"/>
      <c r="C127" s="27"/>
    </row>
    <row r="128" spans="2:3" ht="13" x14ac:dyDescent="0.15">
      <c r="B128" s="27"/>
      <c r="C128" s="27"/>
    </row>
    <row r="129" spans="2:3" ht="13" x14ac:dyDescent="0.15">
      <c r="B129" s="27"/>
      <c r="C129" s="27"/>
    </row>
    <row r="130" spans="2:3" ht="13" x14ac:dyDescent="0.15">
      <c r="B130" s="27"/>
      <c r="C130" s="27"/>
    </row>
    <row r="131" spans="2:3" ht="13" x14ac:dyDescent="0.15">
      <c r="B131" s="27"/>
      <c r="C131" s="27"/>
    </row>
    <row r="132" spans="2:3" ht="13" x14ac:dyDescent="0.15">
      <c r="B132" s="27"/>
      <c r="C132" s="27"/>
    </row>
    <row r="133" spans="2:3" ht="13" x14ac:dyDescent="0.15">
      <c r="B133" s="27"/>
      <c r="C133" s="27"/>
    </row>
    <row r="134" spans="2:3" ht="13" x14ac:dyDescent="0.15">
      <c r="B134" s="27"/>
      <c r="C134" s="27"/>
    </row>
    <row r="135" spans="2:3" ht="13" x14ac:dyDescent="0.15">
      <c r="B135" s="27"/>
      <c r="C135" s="27"/>
    </row>
    <row r="136" spans="2:3" ht="13" x14ac:dyDescent="0.15">
      <c r="B136" s="27"/>
      <c r="C136" s="27"/>
    </row>
    <row r="137" spans="2:3" ht="13" x14ac:dyDescent="0.15">
      <c r="B137" s="27"/>
      <c r="C137" s="27"/>
    </row>
    <row r="138" spans="2:3" ht="13" x14ac:dyDescent="0.15">
      <c r="B138" s="27"/>
      <c r="C138" s="27"/>
    </row>
    <row r="139" spans="2:3" ht="13" x14ac:dyDescent="0.15">
      <c r="B139" s="27"/>
      <c r="C139" s="27"/>
    </row>
    <row r="140" spans="2:3" ht="13" x14ac:dyDescent="0.15">
      <c r="B140" s="27"/>
      <c r="C140" s="27"/>
    </row>
    <row r="141" spans="2:3" ht="13" x14ac:dyDescent="0.15">
      <c r="B141" s="27"/>
      <c r="C141" s="27"/>
    </row>
    <row r="142" spans="2:3" ht="13" x14ac:dyDescent="0.15">
      <c r="B142" s="27"/>
      <c r="C142" s="27"/>
    </row>
    <row r="143" spans="2:3" ht="13" x14ac:dyDescent="0.15">
      <c r="B143" s="27"/>
      <c r="C143" s="27"/>
    </row>
    <row r="144" spans="2:3" ht="13" x14ac:dyDescent="0.15">
      <c r="B144" s="27"/>
      <c r="C144" s="27"/>
    </row>
    <row r="145" spans="2:3" ht="13" x14ac:dyDescent="0.15">
      <c r="B145" s="27"/>
      <c r="C145" s="27"/>
    </row>
    <row r="146" spans="2:3" ht="13" x14ac:dyDescent="0.15">
      <c r="B146" s="27"/>
      <c r="C146" s="27"/>
    </row>
    <row r="147" spans="2:3" ht="13" x14ac:dyDescent="0.15">
      <c r="B147" s="27"/>
      <c r="C147" s="27"/>
    </row>
    <row r="148" spans="2:3" ht="13" x14ac:dyDescent="0.15">
      <c r="B148" s="27"/>
      <c r="C148" s="27"/>
    </row>
    <row r="149" spans="2:3" ht="13" x14ac:dyDescent="0.15">
      <c r="B149" s="27"/>
      <c r="C149" s="27"/>
    </row>
    <row r="150" spans="2:3" ht="13" x14ac:dyDescent="0.15">
      <c r="B150" s="27"/>
      <c r="C150" s="27"/>
    </row>
    <row r="151" spans="2:3" ht="13" x14ac:dyDescent="0.15">
      <c r="B151" s="27"/>
      <c r="C151" s="27"/>
    </row>
    <row r="152" spans="2:3" ht="13" x14ac:dyDescent="0.15">
      <c r="B152" s="27"/>
      <c r="C152" s="27"/>
    </row>
    <row r="153" spans="2:3" ht="13" x14ac:dyDescent="0.15">
      <c r="B153" s="27"/>
      <c r="C153" s="27"/>
    </row>
    <row r="154" spans="2:3" ht="13" x14ac:dyDescent="0.15">
      <c r="B154" s="27"/>
      <c r="C154" s="27"/>
    </row>
    <row r="155" spans="2:3" ht="13" x14ac:dyDescent="0.15">
      <c r="B155" s="27"/>
      <c r="C155" s="27"/>
    </row>
    <row r="156" spans="2:3" ht="13" x14ac:dyDescent="0.15">
      <c r="B156" s="27"/>
      <c r="C156" s="27"/>
    </row>
    <row r="157" spans="2:3" ht="13" x14ac:dyDescent="0.15">
      <c r="B157" s="27"/>
      <c r="C157" s="27"/>
    </row>
    <row r="158" spans="2:3" ht="13" x14ac:dyDescent="0.15">
      <c r="B158" s="27"/>
      <c r="C158" s="27"/>
    </row>
    <row r="159" spans="2:3" ht="13" x14ac:dyDescent="0.15">
      <c r="B159" s="27"/>
      <c r="C159" s="27"/>
    </row>
    <row r="160" spans="2:3" ht="13" x14ac:dyDescent="0.15">
      <c r="B160" s="27"/>
      <c r="C160" s="27"/>
    </row>
    <row r="161" spans="2:3" ht="13" x14ac:dyDescent="0.15">
      <c r="B161" s="27"/>
      <c r="C161" s="27"/>
    </row>
    <row r="162" spans="2:3" ht="13" x14ac:dyDescent="0.15">
      <c r="B162" s="27"/>
      <c r="C162" s="27"/>
    </row>
    <row r="163" spans="2:3" ht="13" x14ac:dyDescent="0.15">
      <c r="B163" s="27"/>
      <c r="C163" s="27"/>
    </row>
    <row r="164" spans="2:3" ht="13" x14ac:dyDescent="0.15">
      <c r="B164" s="27"/>
      <c r="C164" s="27"/>
    </row>
    <row r="165" spans="2:3" ht="13" x14ac:dyDescent="0.15">
      <c r="B165" s="27"/>
      <c r="C165" s="27"/>
    </row>
    <row r="166" spans="2:3" ht="13" x14ac:dyDescent="0.15">
      <c r="B166" s="27"/>
      <c r="C166" s="27"/>
    </row>
    <row r="167" spans="2:3" ht="13" x14ac:dyDescent="0.15">
      <c r="B167" s="27"/>
      <c r="C167" s="27"/>
    </row>
    <row r="168" spans="2:3" ht="13" x14ac:dyDescent="0.15">
      <c r="B168" s="27"/>
      <c r="C168" s="27"/>
    </row>
    <row r="169" spans="2:3" ht="13" x14ac:dyDescent="0.15">
      <c r="B169" s="27"/>
      <c r="C169" s="27"/>
    </row>
    <row r="170" spans="2:3" ht="13" x14ac:dyDescent="0.15">
      <c r="B170" s="27"/>
      <c r="C170" s="27"/>
    </row>
    <row r="171" spans="2:3" ht="13" x14ac:dyDescent="0.15">
      <c r="B171" s="27"/>
      <c r="C171" s="27"/>
    </row>
    <row r="172" spans="2:3" ht="13" x14ac:dyDescent="0.15">
      <c r="B172" s="27"/>
      <c r="C172" s="27"/>
    </row>
    <row r="173" spans="2:3" ht="13" x14ac:dyDescent="0.15">
      <c r="B173" s="27"/>
      <c r="C173" s="27"/>
    </row>
    <row r="174" spans="2:3" ht="13" x14ac:dyDescent="0.15">
      <c r="B174" s="27"/>
      <c r="C174" s="27"/>
    </row>
    <row r="175" spans="2:3" ht="13" x14ac:dyDescent="0.15">
      <c r="B175" s="27"/>
      <c r="C175" s="27"/>
    </row>
    <row r="176" spans="2:3" ht="13" x14ac:dyDescent="0.15">
      <c r="B176" s="27"/>
      <c r="C176" s="27"/>
    </row>
    <row r="177" spans="2:3" ht="13" x14ac:dyDescent="0.15">
      <c r="B177" s="27"/>
      <c r="C177" s="27"/>
    </row>
    <row r="178" spans="2:3" ht="13" x14ac:dyDescent="0.15">
      <c r="B178" s="27"/>
      <c r="C178" s="27"/>
    </row>
    <row r="179" spans="2:3" ht="13" x14ac:dyDescent="0.15">
      <c r="B179" s="27"/>
      <c r="C179" s="27"/>
    </row>
    <row r="180" spans="2:3" ht="13" x14ac:dyDescent="0.15">
      <c r="B180" s="27"/>
      <c r="C180" s="27"/>
    </row>
    <row r="181" spans="2:3" ht="13" x14ac:dyDescent="0.15">
      <c r="B181" s="27"/>
      <c r="C181" s="27"/>
    </row>
    <row r="182" spans="2:3" ht="13" x14ac:dyDescent="0.15">
      <c r="B182" s="27"/>
      <c r="C182" s="27"/>
    </row>
    <row r="183" spans="2:3" ht="13" x14ac:dyDescent="0.15">
      <c r="B183" s="27"/>
      <c r="C183" s="27"/>
    </row>
    <row r="184" spans="2:3" ht="13" x14ac:dyDescent="0.15">
      <c r="B184" s="27"/>
      <c r="C184" s="27"/>
    </row>
    <row r="185" spans="2:3" ht="13" x14ac:dyDescent="0.15">
      <c r="B185" s="27"/>
      <c r="C185" s="27"/>
    </row>
    <row r="186" spans="2:3" ht="13" x14ac:dyDescent="0.15">
      <c r="B186" s="27"/>
      <c r="C186" s="27"/>
    </row>
    <row r="187" spans="2:3" ht="13" x14ac:dyDescent="0.15">
      <c r="B187" s="27"/>
      <c r="C187" s="27"/>
    </row>
    <row r="188" spans="2:3" ht="13" x14ac:dyDescent="0.15">
      <c r="B188" s="27"/>
      <c r="C188" s="27"/>
    </row>
    <row r="189" spans="2:3" ht="13" x14ac:dyDescent="0.15">
      <c r="B189" s="27"/>
      <c r="C189" s="27"/>
    </row>
    <row r="190" spans="2:3" ht="13" x14ac:dyDescent="0.15">
      <c r="B190" s="27"/>
      <c r="C190" s="27"/>
    </row>
    <row r="191" spans="2:3" ht="13" x14ac:dyDescent="0.15">
      <c r="B191" s="27"/>
      <c r="C191" s="27"/>
    </row>
    <row r="192" spans="2:3" ht="13" x14ac:dyDescent="0.15">
      <c r="B192" s="27"/>
      <c r="C192" s="27"/>
    </row>
    <row r="193" spans="2:3" ht="13" x14ac:dyDescent="0.15">
      <c r="B193" s="27"/>
      <c r="C193" s="27"/>
    </row>
    <row r="194" spans="2:3" ht="13" x14ac:dyDescent="0.15">
      <c r="B194" s="27"/>
      <c r="C194" s="27"/>
    </row>
    <row r="195" spans="2:3" ht="13" x14ac:dyDescent="0.15">
      <c r="B195" s="27"/>
      <c r="C195" s="27"/>
    </row>
    <row r="196" spans="2:3" ht="13" x14ac:dyDescent="0.15">
      <c r="B196" s="27"/>
      <c r="C196" s="27"/>
    </row>
    <row r="197" spans="2:3" ht="13" x14ac:dyDescent="0.15">
      <c r="B197" s="27"/>
      <c r="C197" s="27"/>
    </row>
    <row r="198" spans="2:3" ht="13" x14ac:dyDescent="0.15">
      <c r="B198" s="27"/>
      <c r="C198" s="27"/>
    </row>
    <row r="199" spans="2:3" ht="13" x14ac:dyDescent="0.15">
      <c r="B199" s="27"/>
      <c r="C199" s="27"/>
    </row>
    <row r="200" spans="2:3" ht="13" x14ac:dyDescent="0.15">
      <c r="B200" s="27"/>
      <c r="C200" s="27"/>
    </row>
    <row r="201" spans="2:3" ht="13" x14ac:dyDescent="0.15">
      <c r="B201" s="27"/>
      <c r="C201" s="27"/>
    </row>
    <row r="202" spans="2:3" ht="13" x14ac:dyDescent="0.15">
      <c r="B202" s="27"/>
      <c r="C202" s="27"/>
    </row>
    <row r="203" spans="2:3" ht="13" x14ac:dyDescent="0.15">
      <c r="B203" s="27"/>
      <c r="C203" s="27"/>
    </row>
    <row r="204" spans="2:3" ht="13" x14ac:dyDescent="0.15">
      <c r="B204" s="27"/>
      <c r="C204" s="27"/>
    </row>
    <row r="205" spans="2:3" ht="13" x14ac:dyDescent="0.15">
      <c r="B205" s="27"/>
      <c r="C205" s="27"/>
    </row>
    <row r="206" spans="2:3" ht="13" x14ac:dyDescent="0.15">
      <c r="B206" s="27"/>
      <c r="C206" s="27"/>
    </row>
    <row r="207" spans="2:3" ht="13" x14ac:dyDescent="0.15">
      <c r="B207" s="27"/>
      <c r="C207" s="27"/>
    </row>
    <row r="208" spans="2:3" ht="13" x14ac:dyDescent="0.15">
      <c r="B208" s="27"/>
      <c r="C208" s="27"/>
    </row>
    <row r="209" spans="2:3" ht="13" x14ac:dyDescent="0.15">
      <c r="B209" s="27"/>
      <c r="C209" s="27"/>
    </row>
    <row r="210" spans="2:3" ht="13" x14ac:dyDescent="0.15">
      <c r="B210" s="27"/>
      <c r="C210" s="27"/>
    </row>
    <row r="211" spans="2:3" ht="13" x14ac:dyDescent="0.15">
      <c r="B211" s="27"/>
      <c r="C211" s="27"/>
    </row>
    <row r="212" spans="2:3" ht="13" x14ac:dyDescent="0.15">
      <c r="B212" s="27"/>
      <c r="C212" s="27"/>
    </row>
    <row r="213" spans="2:3" ht="13" x14ac:dyDescent="0.15">
      <c r="B213" s="27"/>
      <c r="C213" s="27"/>
    </row>
    <row r="214" spans="2:3" ht="13" x14ac:dyDescent="0.15">
      <c r="B214" s="27"/>
      <c r="C214" s="27"/>
    </row>
    <row r="215" spans="2:3" ht="13" x14ac:dyDescent="0.15">
      <c r="B215" s="27"/>
      <c r="C215" s="27"/>
    </row>
    <row r="216" spans="2:3" ht="13" x14ac:dyDescent="0.15">
      <c r="B216" s="27"/>
      <c r="C216" s="27"/>
    </row>
    <row r="217" spans="2:3" ht="13" x14ac:dyDescent="0.15">
      <c r="B217" s="27"/>
      <c r="C217" s="27"/>
    </row>
    <row r="218" spans="2:3" ht="13" x14ac:dyDescent="0.15">
      <c r="B218" s="27"/>
      <c r="C218" s="27"/>
    </row>
    <row r="219" spans="2:3" ht="13" x14ac:dyDescent="0.15">
      <c r="B219" s="27"/>
      <c r="C219" s="27"/>
    </row>
    <row r="220" spans="2:3" ht="13" x14ac:dyDescent="0.15">
      <c r="B220" s="27"/>
      <c r="C220" s="27"/>
    </row>
    <row r="221" spans="2:3" ht="13" x14ac:dyDescent="0.15">
      <c r="B221" s="27"/>
      <c r="C221" s="27"/>
    </row>
    <row r="222" spans="2:3" ht="13" x14ac:dyDescent="0.15">
      <c r="B222" s="27"/>
      <c r="C222" s="27"/>
    </row>
    <row r="223" spans="2:3" ht="13" x14ac:dyDescent="0.15">
      <c r="B223" s="27"/>
      <c r="C223" s="27"/>
    </row>
    <row r="224" spans="2:3" ht="13" x14ac:dyDescent="0.15">
      <c r="B224" s="27"/>
      <c r="C224" s="27"/>
    </row>
    <row r="225" spans="2:3" ht="13" x14ac:dyDescent="0.15">
      <c r="B225" s="27"/>
      <c r="C225" s="27"/>
    </row>
    <row r="226" spans="2:3" ht="13" x14ac:dyDescent="0.15">
      <c r="B226" s="27"/>
      <c r="C226" s="27"/>
    </row>
    <row r="227" spans="2:3" ht="13" x14ac:dyDescent="0.15">
      <c r="B227" s="27"/>
      <c r="C227" s="27"/>
    </row>
    <row r="228" spans="2:3" ht="13" x14ac:dyDescent="0.15">
      <c r="B228" s="27"/>
      <c r="C228" s="27"/>
    </row>
    <row r="229" spans="2:3" ht="13" x14ac:dyDescent="0.15">
      <c r="B229" s="27"/>
      <c r="C229" s="27"/>
    </row>
    <row r="230" spans="2:3" ht="13" x14ac:dyDescent="0.15">
      <c r="B230" s="27"/>
      <c r="C230" s="27"/>
    </row>
    <row r="231" spans="2:3" ht="13" x14ac:dyDescent="0.15">
      <c r="B231" s="27"/>
      <c r="C231" s="27"/>
    </row>
    <row r="232" spans="2:3" ht="13" x14ac:dyDescent="0.15">
      <c r="B232" s="27"/>
      <c r="C232" s="27"/>
    </row>
    <row r="233" spans="2:3" ht="13" x14ac:dyDescent="0.15">
      <c r="B233" s="27"/>
      <c r="C233" s="27"/>
    </row>
    <row r="234" spans="2:3" ht="13" x14ac:dyDescent="0.15">
      <c r="B234" s="27"/>
      <c r="C234" s="27"/>
    </row>
    <row r="235" spans="2:3" ht="13" x14ac:dyDescent="0.15">
      <c r="B235" s="27"/>
      <c r="C235" s="27"/>
    </row>
    <row r="236" spans="2:3" ht="13" x14ac:dyDescent="0.15">
      <c r="B236" s="27"/>
      <c r="C236" s="27"/>
    </row>
    <row r="237" spans="2:3" ht="13" x14ac:dyDescent="0.15">
      <c r="B237" s="27"/>
      <c r="C237" s="27"/>
    </row>
    <row r="238" spans="2:3" ht="13" x14ac:dyDescent="0.15">
      <c r="B238" s="27"/>
      <c r="C238" s="27"/>
    </row>
    <row r="239" spans="2:3" ht="13" x14ac:dyDescent="0.15">
      <c r="B239" s="27"/>
      <c r="C239" s="27"/>
    </row>
    <row r="240" spans="2:3" ht="13" x14ac:dyDescent="0.15">
      <c r="B240" s="27"/>
      <c r="C240" s="27"/>
    </row>
    <row r="241" spans="2:3" ht="13" x14ac:dyDescent="0.15">
      <c r="B241" s="27"/>
      <c r="C241" s="27"/>
    </row>
    <row r="242" spans="2:3" ht="13" x14ac:dyDescent="0.15">
      <c r="B242" s="27"/>
      <c r="C242" s="27"/>
    </row>
    <row r="243" spans="2:3" ht="13" x14ac:dyDescent="0.15">
      <c r="B243" s="27"/>
      <c r="C243" s="27"/>
    </row>
    <row r="244" spans="2:3" ht="13" x14ac:dyDescent="0.15">
      <c r="B244" s="27"/>
      <c r="C244" s="27"/>
    </row>
    <row r="245" spans="2:3" ht="13" x14ac:dyDescent="0.15">
      <c r="B245" s="27"/>
      <c r="C245" s="27"/>
    </row>
    <row r="246" spans="2:3" ht="13" x14ac:dyDescent="0.15">
      <c r="B246" s="27"/>
      <c r="C246" s="27"/>
    </row>
    <row r="247" spans="2:3" ht="13" x14ac:dyDescent="0.15">
      <c r="B247" s="27"/>
      <c r="C247" s="27"/>
    </row>
    <row r="248" spans="2:3" ht="13" x14ac:dyDescent="0.15">
      <c r="B248" s="27"/>
      <c r="C248" s="27"/>
    </row>
    <row r="249" spans="2:3" ht="13" x14ac:dyDescent="0.15">
      <c r="B249" s="27"/>
      <c r="C249" s="27"/>
    </row>
    <row r="250" spans="2:3" ht="13" x14ac:dyDescent="0.15">
      <c r="B250" s="27"/>
      <c r="C250" s="27"/>
    </row>
    <row r="251" spans="2:3" ht="13" x14ac:dyDescent="0.15">
      <c r="B251" s="27"/>
      <c r="C251" s="27"/>
    </row>
    <row r="252" spans="2:3" ht="13" x14ac:dyDescent="0.15">
      <c r="B252" s="27"/>
      <c r="C252" s="27"/>
    </row>
    <row r="253" spans="2:3" ht="13" x14ac:dyDescent="0.15">
      <c r="B253" s="27"/>
      <c r="C253" s="27"/>
    </row>
    <row r="254" spans="2:3" ht="13" x14ac:dyDescent="0.15">
      <c r="B254" s="27"/>
      <c r="C254" s="27"/>
    </row>
    <row r="255" spans="2:3" ht="13" x14ac:dyDescent="0.15">
      <c r="B255" s="27"/>
      <c r="C255" s="27"/>
    </row>
    <row r="256" spans="2:3" ht="13" x14ac:dyDescent="0.15">
      <c r="B256" s="27"/>
      <c r="C256" s="27"/>
    </row>
    <row r="257" spans="2:3" ht="13" x14ac:dyDescent="0.15">
      <c r="B257" s="27"/>
      <c r="C257" s="27"/>
    </row>
    <row r="258" spans="2:3" ht="13" x14ac:dyDescent="0.15">
      <c r="B258" s="27"/>
      <c r="C258" s="27"/>
    </row>
    <row r="259" spans="2:3" ht="13" x14ac:dyDescent="0.15">
      <c r="B259" s="27"/>
      <c r="C259" s="27"/>
    </row>
    <row r="260" spans="2:3" ht="13" x14ac:dyDescent="0.15">
      <c r="B260" s="27"/>
      <c r="C260" s="27"/>
    </row>
    <row r="261" spans="2:3" ht="13" x14ac:dyDescent="0.15">
      <c r="B261" s="27"/>
      <c r="C261" s="27"/>
    </row>
    <row r="262" spans="2:3" ht="13" x14ac:dyDescent="0.15">
      <c r="B262" s="27"/>
      <c r="C262" s="27"/>
    </row>
    <row r="263" spans="2:3" ht="13" x14ac:dyDescent="0.15">
      <c r="B263" s="27"/>
      <c r="C263" s="27"/>
    </row>
    <row r="264" spans="2:3" ht="13" x14ac:dyDescent="0.15">
      <c r="B264" s="27"/>
      <c r="C264" s="27"/>
    </row>
    <row r="265" spans="2:3" ht="13" x14ac:dyDescent="0.15">
      <c r="B265" s="27"/>
      <c r="C265" s="27"/>
    </row>
    <row r="266" spans="2:3" ht="13" x14ac:dyDescent="0.15">
      <c r="B266" s="27"/>
      <c r="C266" s="27"/>
    </row>
    <row r="267" spans="2:3" ht="13" x14ac:dyDescent="0.15">
      <c r="B267" s="27"/>
      <c r="C267" s="27"/>
    </row>
    <row r="268" spans="2:3" ht="13" x14ac:dyDescent="0.15">
      <c r="B268" s="27"/>
      <c r="C268" s="27"/>
    </row>
    <row r="269" spans="2:3" ht="13" x14ac:dyDescent="0.15">
      <c r="B269" s="27"/>
      <c r="C269" s="27"/>
    </row>
    <row r="270" spans="2:3" ht="13" x14ac:dyDescent="0.15">
      <c r="B270" s="27"/>
      <c r="C270" s="27"/>
    </row>
    <row r="271" spans="2:3" ht="13" x14ac:dyDescent="0.15">
      <c r="B271" s="27"/>
      <c r="C271" s="27"/>
    </row>
    <row r="272" spans="2:3" ht="13" x14ac:dyDescent="0.15">
      <c r="B272" s="27"/>
      <c r="C272" s="27"/>
    </row>
    <row r="273" spans="2:3" ht="13" x14ac:dyDescent="0.15">
      <c r="B273" s="27"/>
      <c r="C273" s="27"/>
    </row>
    <row r="274" spans="2:3" ht="13" x14ac:dyDescent="0.15">
      <c r="B274" s="27"/>
      <c r="C274" s="27"/>
    </row>
    <row r="275" spans="2:3" ht="13" x14ac:dyDescent="0.15">
      <c r="B275" s="27"/>
      <c r="C275" s="27"/>
    </row>
    <row r="276" spans="2:3" ht="13" x14ac:dyDescent="0.15">
      <c r="B276" s="27"/>
      <c r="C276" s="27"/>
    </row>
    <row r="277" spans="2:3" ht="13" x14ac:dyDescent="0.15">
      <c r="B277" s="27"/>
      <c r="C277" s="27"/>
    </row>
    <row r="278" spans="2:3" ht="13" x14ac:dyDescent="0.15">
      <c r="B278" s="27"/>
      <c r="C278" s="27"/>
    </row>
    <row r="279" spans="2:3" ht="13" x14ac:dyDescent="0.15">
      <c r="B279" s="27"/>
      <c r="C279" s="27"/>
    </row>
    <row r="280" spans="2:3" ht="13" x14ac:dyDescent="0.15">
      <c r="B280" s="27"/>
      <c r="C280" s="27"/>
    </row>
    <row r="281" spans="2:3" ht="13" x14ac:dyDescent="0.15">
      <c r="B281" s="27"/>
      <c r="C281" s="27"/>
    </row>
    <row r="282" spans="2:3" ht="13" x14ac:dyDescent="0.15">
      <c r="B282" s="27"/>
      <c r="C282" s="27"/>
    </row>
    <row r="283" spans="2:3" ht="13" x14ac:dyDescent="0.15">
      <c r="B283" s="27"/>
      <c r="C283" s="27"/>
    </row>
    <row r="284" spans="2:3" ht="13" x14ac:dyDescent="0.15">
      <c r="B284" s="27"/>
      <c r="C284" s="27"/>
    </row>
    <row r="285" spans="2:3" ht="13" x14ac:dyDescent="0.15">
      <c r="B285" s="27"/>
      <c r="C285" s="27"/>
    </row>
    <row r="286" spans="2:3" ht="13" x14ac:dyDescent="0.15">
      <c r="B286" s="27"/>
      <c r="C286" s="27"/>
    </row>
    <row r="287" spans="2:3" ht="13" x14ac:dyDescent="0.15">
      <c r="B287" s="27"/>
      <c r="C287" s="27"/>
    </row>
    <row r="288" spans="2:3" ht="13" x14ac:dyDescent="0.15">
      <c r="B288" s="27"/>
      <c r="C288" s="27"/>
    </row>
    <row r="289" spans="2:3" ht="13" x14ac:dyDescent="0.15">
      <c r="B289" s="27"/>
      <c r="C289" s="27"/>
    </row>
    <row r="290" spans="2:3" ht="13" x14ac:dyDescent="0.15">
      <c r="B290" s="27"/>
      <c r="C290" s="27"/>
    </row>
    <row r="291" spans="2:3" ht="13" x14ac:dyDescent="0.15">
      <c r="B291" s="27"/>
      <c r="C291" s="27"/>
    </row>
    <row r="292" spans="2:3" ht="13" x14ac:dyDescent="0.15">
      <c r="B292" s="27"/>
      <c r="C292" s="27"/>
    </row>
    <row r="293" spans="2:3" ht="13" x14ac:dyDescent="0.15">
      <c r="B293" s="27"/>
      <c r="C293" s="27"/>
    </row>
    <row r="294" spans="2:3" ht="13" x14ac:dyDescent="0.15">
      <c r="B294" s="27"/>
      <c r="C294" s="27"/>
    </row>
    <row r="295" spans="2:3" ht="13" x14ac:dyDescent="0.15">
      <c r="B295" s="27"/>
      <c r="C295" s="27"/>
    </row>
    <row r="296" spans="2:3" ht="13" x14ac:dyDescent="0.15">
      <c r="B296" s="27"/>
      <c r="C296" s="27"/>
    </row>
    <row r="297" spans="2:3" ht="13" x14ac:dyDescent="0.15">
      <c r="B297" s="27"/>
      <c r="C297" s="27"/>
    </row>
    <row r="298" spans="2:3" ht="13" x14ac:dyDescent="0.15">
      <c r="B298" s="27"/>
      <c r="C298" s="27"/>
    </row>
    <row r="299" spans="2:3" ht="13" x14ac:dyDescent="0.15">
      <c r="B299" s="27"/>
      <c r="C299" s="27"/>
    </row>
    <row r="300" spans="2:3" ht="13" x14ac:dyDescent="0.15">
      <c r="B300" s="27"/>
      <c r="C300" s="27"/>
    </row>
    <row r="301" spans="2:3" ht="13" x14ac:dyDescent="0.15">
      <c r="B301" s="27"/>
      <c r="C301" s="27"/>
    </row>
    <row r="302" spans="2:3" ht="13" x14ac:dyDescent="0.15">
      <c r="B302" s="27"/>
      <c r="C302" s="27"/>
    </row>
    <row r="303" spans="2:3" ht="13" x14ac:dyDescent="0.15">
      <c r="B303" s="27"/>
      <c r="C303" s="27"/>
    </row>
    <row r="304" spans="2:3" ht="13" x14ac:dyDescent="0.15">
      <c r="B304" s="27"/>
      <c r="C304" s="27"/>
    </row>
    <row r="305" spans="2:3" ht="13" x14ac:dyDescent="0.15">
      <c r="B305" s="27"/>
      <c r="C305" s="27"/>
    </row>
    <row r="306" spans="2:3" ht="13" x14ac:dyDescent="0.15">
      <c r="B306" s="27"/>
      <c r="C306" s="27"/>
    </row>
    <row r="307" spans="2:3" ht="13" x14ac:dyDescent="0.15">
      <c r="B307" s="27"/>
      <c r="C307" s="27"/>
    </row>
    <row r="308" spans="2:3" ht="13" x14ac:dyDescent="0.15">
      <c r="B308" s="27"/>
      <c r="C308" s="27"/>
    </row>
    <row r="309" spans="2:3" ht="13" x14ac:dyDescent="0.15">
      <c r="B309" s="27"/>
      <c r="C309" s="27"/>
    </row>
    <row r="310" spans="2:3" ht="13" x14ac:dyDescent="0.15">
      <c r="B310" s="27"/>
      <c r="C310" s="27"/>
    </row>
    <row r="311" spans="2:3" ht="13" x14ac:dyDescent="0.15">
      <c r="B311" s="27"/>
      <c r="C311" s="27"/>
    </row>
    <row r="312" spans="2:3" ht="13" x14ac:dyDescent="0.15">
      <c r="B312" s="27"/>
      <c r="C312" s="27"/>
    </row>
    <row r="313" spans="2:3" ht="13" x14ac:dyDescent="0.15">
      <c r="B313" s="27"/>
      <c r="C313" s="27"/>
    </row>
    <row r="314" spans="2:3" ht="13" x14ac:dyDescent="0.15">
      <c r="B314" s="27"/>
      <c r="C314" s="27"/>
    </row>
    <row r="315" spans="2:3" ht="13" x14ac:dyDescent="0.15">
      <c r="B315" s="27"/>
      <c r="C315" s="27"/>
    </row>
    <row r="316" spans="2:3" ht="13" x14ac:dyDescent="0.15">
      <c r="B316" s="27"/>
      <c r="C316" s="27"/>
    </row>
    <row r="317" spans="2:3" ht="13" x14ac:dyDescent="0.15">
      <c r="B317" s="27"/>
      <c r="C317" s="27"/>
    </row>
    <row r="318" spans="2:3" ht="13" x14ac:dyDescent="0.15">
      <c r="B318" s="27"/>
      <c r="C318" s="27"/>
    </row>
    <row r="319" spans="2:3" ht="13" x14ac:dyDescent="0.15">
      <c r="B319" s="27"/>
      <c r="C319" s="27"/>
    </row>
    <row r="320" spans="2:3" ht="13" x14ac:dyDescent="0.15">
      <c r="B320" s="27"/>
      <c r="C320" s="27"/>
    </row>
    <row r="321" spans="2:3" ht="13" x14ac:dyDescent="0.15">
      <c r="B321" s="27"/>
      <c r="C321" s="27"/>
    </row>
    <row r="322" spans="2:3" ht="13" x14ac:dyDescent="0.15">
      <c r="B322" s="27"/>
      <c r="C322" s="27"/>
    </row>
    <row r="323" spans="2:3" ht="13" x14ac:dyDescent="0.15">
      <c r="B323" s="27"/>
      <c r="C323" s="27"/>
    </row>
    <row r="324" spans="2:3" ht="13" x14ac:dyDescent="0.15">
      <c r="B324" s="27"/>
      <c r="C324" s="27"/>
    </row>
    <row r="325" spans="2:3" ht="13" x14ac:dyDescent="0.15">
      <c r="B325" s="27"/>
      <c r="C325" s="27"/>
    </row>
    <row r="326" spans="2:3" ht="13" x14ac:dyDescent="0.15">
      <c r="B326" s="27"/>
      <c r="C326" s="27"/>
    </row>
    <row r="327" spans="2:3" ht="13" x14ac:dyDescent="0.15">
      <c r="B327" s="27"/>
      <c r="C327" s="27"/>
    </row>
    <row r="328" spans="2:3" ht="13" x14ac:dyDescent="0.15">
      <c r="B328" s="27"/>
      <c r="C328" s="27"/>
    </row>
    <row r="329" spans="2:3" ht="13" x14ac:dyDescent="0.15">
      <c r="B329" s="27"/>
      <c r="C329" s="27"/>
    </row>
    <row r="330" spans="2:3" ht="13" x14ac:dyDescent="0.15">
      <c r="B330" s="27"/>
      <c r="C330" s="27"/>
    </row>
    <row r="331" spans="2:3" ht="13" x14ac:dyDescent="0.15">
      <c r="B331" s="27"/>
      <c r="C331" s="27"/>
    </row>
    <row r="332" spans="2:3" ht="13" x14ac:dyDescent="0.15">
      <c r="B332" s="27"/>
      <c r="C332" s="27"/>
    </row>
    <row r="333" spans="2:3" ht="13" x14ac:dyDescent="0.15">
      <c r="B333" s="27"/>
      <c r="C333" s="27"/>
    </row>
    <row r="334" spans="2:3" ht="13" x14ac:dyDescent="0.15">
      <c r="B334" s="27"/>
      <c r="C334" s="27"/>
    </row>
    <row r="335" spans="2:3" ht="13" x14ac:dyDescent="0.15">
      <c r="B335" s="27"/>
      <c r="C335" s="27"/>
    </row>
    <row r="336" spans="2:3" ht="13" x14ac:dyDescent="0.15">
      <c r="B336" s="27"/>
      <c r="C336" s="27"/>
    </row>
    <row r="337" spans="2:3" ht="13" x14ac:dyDescent="0.15">
      <c r="B337" s="27"/>
      <c r="C337" s="27"/>
    </row>
    <row r="338" spans="2:3" ht="13" x14ac:dyDescent="0.15">
      <c r="B338" s="27"/>
      <c r="C338" s="27"/>
    </row>
    <row r="339" spans="2:3" ht="13" x14ac:dyDescent="0.15">
      <c r="B339" s="27"/>
      <c r="C339" s="27"/>
    </row>
    <row r="340" spans="2:3" ht="13" x14ac:dyDescent="0.15">
      <c r="B340" s="27"/>
      <c r="C340" s="27"/>
    </row>
    <row r="341" spans="2:3" ht="13" x14ac:dyDescent="0.15">
      <c r="B341" s="27"/>
      <c r="C341" s="27"/>
    </row>
    <row r="342" spans="2:3" ht="13" x14ac:dyDescent="0.15">
      <c r="B342" s="27"/>
      <c r="C342" s="27"/>
    </row>
    <row r="343" spans="2:3" ht="13" x14ac:dyDescent="0.15">
      <c r="B343" s="27"/>
      <c r="C343" s="27"/>
    </row>
    <row r="344" spans="2:3" ht="13" x14ac:dyDescent="0.15">
      <c r="B344" s="27"/>
      <c r="C344" s="27"/>
    </row>
    <row r="345" spans="2:3" ht="13" x14ac:dyDescent="0.15">
      <c r="B345" s="27"/>
      <c r="C345" s="27"/>
    </row>
    <row r="346" spans="2:3" ht="13" x14ac:dyDescent="0.15">
      <c r="B346" s="27"/>
      <c r="C346" s="27"/>
    </row>
    <row r="347" spans="2:3" ht="13" x14ac:dyDescent="0.15">
      <c r="B347" s="27"/>
      <c r="C347" s="27"/>
    </row>
    <row r="348" spans="2:3" ht="13" x14ac:dyDescent="0.15">
      <c r="B348" s="27"/>
      <c r="C348" s="27"/>
    </row>
    <row r="349" spans="2:3" ht="13" x14ac:dyDescent="0.15">
      <c r="B349" s="27"/>
      <c r="C349" s="27"/>
    </row>
    <row r="350" spans="2:3" ht="13" x14ac:dyDescent="0.15">
      <c r="B350" s="27"/>
      <c r="C350" s="27"/>
    </row>
    <row r="351" spans="2:3" ht="13" x14ac:dyDescent="0.15">
      <c r="B351" s="27"/>
      <c r="C351" s="27"/>
    </row>
    <row r="352" spans="2:3" ht="13" x14ac:dyDescent="0.15">
      <c r="B352" s="27"/>
      <c r="C352" s="27"/>
    </row>
    <row r="353" spans="2:3" ht="13" x14ac:dyDescent="0.15">
      <c r="B353" s="27"/>
      <c r="C353" s="27"/>
    </row>
    <row r="354" spans="2:3" ht="13" x14ac:dyDescent="0.15">
      <c r="B354" s="27"/>
      <c r="C354" s="27"/>
    </row>
    <row r="355" spans="2:3" ht="13" x14ac:dyDescent="0.15">
      <c r="B355" s="27"/>
      <c r="C355" s="27"/>
    </row>
    <row r="356" spans="2:3" ht="13" x14ac:dyDescent="0.15">
      <c r="B356" s="27"/>
      <c r="C356" s="27"/>
    </row>
    <row r="357" spans="2:3" ht="13" x14ac:dyDescent="0.15">
      <c r="B357" s="27"/>
      <c r="C357" s="27"/>
    </row>
    <row r="358" spans="2:3" ht="13" x14ac:dyDescent="0.15">
      <c r="B358" s="27"/>
      <c r="C358" s="27"/>
    </row>
    <row r="359" spans="2:3" ht="13" x14ac:dyDescent="0.15">
      <c r="B359" s="27"/>
      <c r="C359" s="27"/>
    </row>
    <row r="360" spans="2:3" ht="13" x14ac:dyDescent="0.15">
      <c r="B360" s="27"/>
      <c r="C360" s="27"/>
    </row>
    <row r="361" spans="2:3" ht="13" x14ac:dyDescent="0.15">
      <c r="B361" s="27"/>
      <c r="C361" s="27"/>
    </row>
    <row r="362" spans="2:3" ht="13" x14ac:dyDescent="0.15">
      <c r="B362" s="27"/>
      <c r="C362" s="27"/>
    </row>
    <row r="363" spans="2:3" ht="13" x14ac:dyDescent="0.15">
      <c r="B363" s="27"/>
      <c r="C363" s="27"/>
    </row>
    <row r="364" spans="2:3" ht="13" x14ac:dyDescent="0.15">
      <c r="B364" s="27"/>
      <c r="C364" s="27"/>
    </row>
    <row r="365" spans="2:3" ht="13" x14ac:dyDescent="0.15">
      <c r="B365" s="27"/>
      <c r="C365" s="27"/>
    </row>
    <row r="366" spans="2:3" ht="13" x14ac:dyDescent="0.15">
      <c r="B366" s="27"/>
      <c r="C366" s="27"/>
    </row>
    <row r="367" spans="2:3" ht="13" x14ac:dyDescent="0.15">
      <c r="B367" s="27"/>
      <c r="C367" s="27"/>
    </row>
    <row r="368" spans="2:3" ht="13" x14ac:dyDescent="0.15">
      <c r="B368" s="27"/>
      <c r="C368" s="27"/>
    </row>
    <row r="369" spans="2:3" ht="13" x14ac:dyDescent="0.15">
      <c r="B369" s="27"/>
      <c r="C369" s="27"/>
    </row>
    <row r="370" spans="2:3" ht="13" x14ac:dyDescent="0.15">
      <c r="B370" s="27"/>
      <c r="C370" s="27"/>
    </row>
    <row r="371" spans="2:3" ht="13" x14ac:dyDescent="0.15">
      <c r="B371" s="27"/>
      <c r="C371" s="27"/>
    </row>
    <row r="372" spans="2:3" ht="13" x14ac:dyDescent="0.15">
      <c r="B372" s="27"/>
      <c r="C372" s="27"/>
    </row>
    <row r="373" spans="2:3" ht="13" x14ac:dyDescent="0.15">
      <c r="B373" s="27"/>
      <c r="C373" s="27"/>
    </row>
    <row r="374" spans="2:3" ht="13" x14ac:dyDescent="0.15">
      <c r="B374" s="27"/>
      <c r="C374" s="27"/>
    </row>
    <row r="375" spans="2:3" ht="13" x14ac:dyDescent="0.15">
      <c r="B375" s="27"/>
      <c r="C375" s="27"/>
    </row>
    <row r="376" spans="2:3" ht="13" x14ac:dyDescent="0.15">
      <c r="B376" s="27"/>
      <c r="C376" s="27"/>
    </row>
    <row r="377" spans="2:3" ht="13" x14ac:dyDescent="0.15">
      <c r="B377" s="27"/>
      <c r="C377" s="27"/>
    </row>
    <row r="378" spans="2:3" ht="13" x14ac:dyDescent="0.15">
      <c r="B378" s="27"/>
      <c r="C378" s="27"/>
    </row>
    <row r="379" spans="2:3" ht="13" x14ac:dyDescent="0.15">
      <c r="B379" s="27"/>
      <c r="C379" s="27"/>
    </row>
    <row r="380" spans="2:3" ht="13" x14ac:dyDescent="0.15">
      <c r="B380" s="27"/>
      <c r="C380" s="27"/>
    </row>
    <row r="381" spans="2:3" ht="13" x14ac:dyDescent="0.15">
      <c r="B381" s="27"/>
      <c r="C381" s="27"/>
    </row>
    <row r="382" spans="2:3" ht="13" x14ac:dyDescent="0.15">
      <c r="B382" s="27"/>
      <c r="C382" s="27"/>
    </row>
    <row r="383" spans="2:3" ht="13" x14ac:dyDescent="0.15">
      <c r="B383" s="27"/>
      <c r="C383" s="27"/>
    </row>
    <row r="384" spans="2:3" ht="13" x14ac:dyDescent="0.15">
      <c r="B384" s="27"/>
      <c r="C384" s="27"/>
    </row>
    <row r="385" spans="2:3" ht="13" x14ac:dyDescent="0.15">
      <c r="B385" s="27"/>
      <c r="C385" s="27"/>
    </row>
    <row r="386" spans="2:3" ht="13" x14ac:dyDescent="0.15">
      <c r="B386" s="27"/>
      <c r="C386" s="27"/>
    </row>
    <row r="387" spans="2:3" ht="13" x14ac:dyDescent="0.15">
      <c r="B387" s="27"/>
      <c r="C387" s="27"/>
    </row>
    <row r="388" spans="2:3" ht="13" x14ac:dyDescent="0.15">
      <c r="B388" s="27"/>
      <c r="C388" s="27"/>
    </row>
    <row r="389" spans="2:3" ht="13" x14ac:dyDescent="0.15">
      <c r="B389" s="27"/>
      <c r="C389" s="27"/>
    </row>
    <row r="390" spans="2:3" ht="13" x14ac:dyDescent="0.15">
      <c r="B390" s="27"/>
      <c r="C390" s="27"/>
    </row>
    <row r="391" spans="2:3" ht="13" x14ac:dyDescent="0.15">
      <c r="B391" s="27"/>
      <c r="C391" s="27"/>
    </row>
    <row r="392" spans="2:3" ht="13" x14ac:dyDescent="0.15">
      <c r="B392" s="27"/>
      <c r="C392" s="27"/>
    </row>
    <row r="393" spans="2:3" ht="13" x14ac:dyDescent="0.15">
      <c r="B393" s="27"/>
      <c r="C393" s="27"/>
    </row>
    <row r="394" spans="2:3" ht="13" x14ac:dyDescent="0.15">
      <c r="B394" s="27"/>
      <c r="C394" s="27"/>
    </row>
    <row r="395" spans="2:3" ht="13" x14ac:dyDescent="0.15">
      <c r="B395" s="27"/>
      <c r="C395" s="27"/>
    </row>
    <row r="396" spans="2:3" ht="13" x14ac:dyDescent="0.15">
      <c r="B396" s="27"/>
      <c r="C396" s="27"/>
    </row>
    <row r="397" spans="2:3" ht="13" x14ac:dyDescent="0.15">
      <c r="B397" s="27"/>
      <c r="C397" s="27"/>
    </row>
    <row r="398" spans="2:3" ht="13" x14ac:dyDescent="0.15">
      <c r="B398" s="27"/>
      <c r="C398" s="27"/>
    </row>
    <row r="399" spans="2:3" ht="13" x14ac:dyDescent="0.15">
      <c r="B399" s="27"/>
      <c r="C399" s="27"/>
    </row>
    <row r="400" spans="2:3" ht="13" x14ac:dyDescent="0.15">
      <c r="B400" s="27"/>
      <c r="C400" s="27"/>
    </row>
    <row r="401" spans="2:3" ht="13" x14ac:dyDescent="0.15">
      <c r="B401" s="27"/>
      <c r="C401" s="27"/>
    </row>
    <row r="402" spans="2:3" ht="13" x14ac:dyDescent="0.15">
      <c r="B402" s="27"/>
      <c r="C402" s="27"/>
    </row>
    <row r="403" spans="2:3" ht="13" x14ac:dyDescent="0.15">
      <c r="B403" s="27"/>
      <c r="C403" s="27"/>
    </row>
    <row r="404" spans="2:3" ht="13" x14ac:dyDescent="0.15">
      <c r="B404" s="27"/>
      <c r="C404" s="27"/>
    </row>
    <row r="405" spans="2:3" ht="13" x14ac:dyDescent="0.15">
      <c r="B405" s="27"/>
      <c r="C405" s="27"/>
    </row>
    <row r="406" spans="2:3" ht="13" x14ac:dyDescent="0.15">
      <c r="B406" s="27"/>
      <c r="C406" s="27"/>
    </row>
    <row r="407" spans="2:3" ht="13" x14ac:dyDescent="0.15">
      <c r="B407" s="27"/>
      <c r="C407" s="27"/>
    </row>
    <row r="408" spans="2:3" ht="13" x14ac:dyDescent="0.15">
      <c r="B408" s="27"/>
      <c r="C408" s="27"/>
    </row>
    <row r="409" spans="2:3" ht="13" x14ac:dyDescent="0.15">
      <c r="B409" s="27"/>
      <c r="C409" s="27"/>
    </row>
    <row r="410" spans="2:3" ht="13" x14ac:dyDescent="0.15">
      <c r="B410" s="27"/>
      <c r="C410" s="27"/>
    </row>
    <row r="411" spans="2:3" ht="13" x14ac:dyDescent="0.15">
      <c r="B411" s="27"/>
      <c r="C411" s="27"/>
    </row>
    <row r="412" spans="2:3" ht="13" x14ac:dyDescent="0.15">
      <c r="B412" s="27"/>
      <c r="C412" s="27"/>
    </row>
    <row r="413" spans="2:3" ht="13" x14ac:dyDescent="0.15">
      <c r="B413" s="27"/>
      <c r="C413" s="27"/>
    </row>
    <row r="414" spans="2:3" ht="13" x14ac:dyDescent="0.15">
      <c r="B414" s="27"/>
      <c r="C414" s="27"/>
    </row>
    <row r="415" spans="2:3" ht="13" x14ac:dyDescent="0.15">
      <c r="B415" s="27"/>
      <c r="C415" s="27"/>
    </row>
    <row r="416" spans="2:3" ht="13" x14ac:dyDescent="0.15">
      <c r="B416" s="27"/>
      <c r="C416" s="27"/>
    </row>
    <row r="417" spans="2:3" ht="13" x14ac:dyDescent="0.15">
      <c r="B417" s="27"/>
      <c r="C417" s="27"/>
    </row>
    <row r="418" spans="2:3" ht="13" x14ac:dyDescent="0.15">
      <c r="B418" s="27"/>
      <c r="C418" s="27"/>
    </row>
    <row r="419" spans="2:3" ht="13" x14ac:dyDescent="0.15">
      <c r="B419" s="27"/>
      <c r="C419" s="27"/>
    </row>
    <row r="420" spans="2:3" ht="13" x14ac:dyDescent="0.15">
      <c r="B420" s="27"/>
      <c r="C420" s="27"/>
    </row>
    <row r="421" spans="2:3" ht="13" x14ac:dyDescent="0.15">
      <c r="B421" s="27"/>
      <c r="C421" s="27"/>
    </row>
    <row r="422" spans="2:3" ht="13" x14ac:dyDescent="0.15">
      <c r="B422" s="27"/>
      <c r="C422" s="27"/>
    </row>
    <row r="423" spans="2:3" ht="13" x14ac:dyDescent="0.15">
      <c r="B423" s="27"/>
      <c r="C423" s="27"/>
    </row>
    <row r="424" spans="2:3" ht="13" x14ac:dyDescent="0.15">
      <c r="B424" s="27"/>
      <c r="C424" s="27"/>
    </row>
    <row r="425" spans="2:3" ht="13" x14ac:dyDescent="0.15">
      <c r="B425" s="27"/>
      <c r="C425" s="27"/>
    </row>
    <row r="426" spans="2:3" ht="13" x14ac:dyDescent="0.15">
      <c r="B426" s="27"/>
      <c r="C426" s="27"/>
    </row>
    <row r="427" spans="2:3" ht="13" x14ac:dyDescent="0.15">
      <c r="B427" s="27"/>
      <c r="C427" s="27"/>
    </row>
    <row r="428" spans="2:3" ht="13" x14ac:dyDescent="0.15">
      <c r="B428" s="27"/>
      <c r="C428" s="27"/>
    </row>
    <row r="429" spans="2:3" ht="13" x14ac:dyDescent="0.15">
      <c r="B429" s="27"/>
      <c r="C429" s="27"/>
    </row>
    <row r="430" spans="2:3" ht="13" x14ac:dyDescent="0.15">
      <c r="B430" s="27"/>
      <c r="C430" s="27"/>
    </row>
    <row r="431" spans="2:3" ht="13" x14ac:dyDescent="0.15">
      <c r="B431" s="27"/>
      <c r="C431" s="27"/>
    </row>
    <row r="432" spans="2:3" ht="13" x14ac:dyDescent="0.15">
      <c r="B432" s="27"/>
      <c r="C432" s="27"/>
    </row>
    <row r="433" spans="2:3" ht="13" x14ac:dyDescent="0.15">
      <c r="B433" s="27"/>
      <c r="C433" s="27"/>
    </row>
    <row r="434" spans="2:3" ht="13" x14ac:dyDescent="0.15">
      <c r="B434" s="27"/>
      <c r="C434" s="27"/>
    </row>
    <row r="435" spans="2:3" ht="13" x14ac:dyDescent="0.15">
      <c r="B435" s="27"/>
      <c r="C435" s="27"/>
    </row>
    <row r="436" spans="2:3" ht="13" x14ac:dyDescent="0.15">
      <c r="B436" s="27"/>
      <c r="C436" s="27"/>
    </row>
    <row r="437" spans="2:3" ht="13" x14ac:dyDescent="0.15">
      <c r="B437" s="27"/>
      <c r="C437" s="27"/>
    </row>
    <row r="438" spans="2:3" ht="13" x14ac:dyDescent="0.15">
      <c r="B438" s="27"/>
      <c r="C438" s="27"/>
    </row>
    <row r="439" spans="2:3" ht="13" x14ac:dyDescent="0.15">
      <c r="B439" s="27"/>
      <c r="C439" s="27"/>
    </row>
    <row r="440" spans="2:3" ht="13" x14ac:dyDescent="0.15">
      <c r="B440" s="27"/>
      <c r="C440" s="27"/>
    </row>
    <row r="441" spans="2:3" ht="13" x14ac:dyDescent="0.15">
      <c r="B441" s="27"/>
      <c r="C441" s="27"/>
    </row>
    <row r="442" spans="2:3" ht="13" x14ac:dyDescent="0.15">
      <c r="B442" s="27"/>
      <c r="C442" s="27"/>
    </row>
    <row r="443" spans="2:3" ht="13" x14ac:dyDescent="0.15">
      <c r="B443" s="27"/>
      <c r="C443" s="27"/>
    </row>
    <row r="444" spans="2:3" ht="13" x14ac:dyDescent="0.15">
      <c r="B444" s="27"/>
      <c r="C444" s="27"/>
    </row>
    <row r="445" spans="2:3" ht="13" x14ac:dyDescent="0.15">
      <c r="B445" s="27"/>
      <c r="C445" s="27"/>
    </row>
    <row r="446" spans="2:3" ht="13" x14ac:dyDescent="0.15">
      <c r="B446" s="27"/>
      <c r="C446" s="27"/>
    </row>
    <row r="447" spans="2:3" ht="13" x14ac:dyDescent="0.15">
      <c r="B447" s="27"/>
      <c r="C447" s="27"/>
    </row>
    <row r="448" spans="2:3" ht="13" x14ac:dyDescent="0.15">
      <c r="B448" s="27"/>
      <c r="C448" s="27"/>
    </row>
    <row r="449" spans="2:3" ht="13" x14ac:dyDescent="0.15">
      <c r="B449" s="27"/>
      <c r="C449" s="27"/>
    </row>
    <row r="450" spans="2:3" ht="13" x14ac:dyDescent="0.15">
      <c r="B450" s="27"/>
      <c r="C450" s="27"/>
    </row>
    <row r="451" spans="2:3" ht="13" x14ac:dyDescent="0.15">
      <c r="B451" s="27"/>
      <c r="C451" s="27"/>
    </row>
    <row r="452" spans="2:3" ht="13" x14ac:dyDescent="0.15">
      <c r="B452" s="27"/>
      <c r="C452" s="27"/>
    </row>
    <row r="453" spans="2:3" ht="13" x14ac:dyDescent="0.15">
      <c r="B453" s="27"/>
      <c r="C453" s="27"/>
    </row>
    <row r="454" spans="2:3" ht="13" x14ac:dyDescent="0.15">
      <c r="B454" s="27"/>
      <c r="C454" s="27"/>
    </row>
    <row r="455" spans="2:3" ht="13" x14ac:dyDescent="0.15">
      <c r="B455" s="27"/>
      <c r="C455" s="27"/>
    </row>
    <row r="456" spans="2:3" ht="13" x14ac:dyDescent="0.15">
      <c r="B456" s="27"/>
      <c r="C456" s="27"/>
    </row>
    <row r="457" spans="2:3" ht="13" x14ac:dyDescent="0.15">
      <c r="B457" s="27"/>
      <c r="C457" s="27"/>
    </row>
    <row r="458" spans="2:3" ht="13" x14ac:dyDescent="0.15">
      <c r="B458" s="27"/>
      <c r="C458" s="27"/>
    </row>
    <row r="459" spans="2:3" ht="13" x14ac:dyDescent="0.15">
      <c r="B459" s="27"/>
      <c r="C459" s="27"/>
    </row>
    <row r="460" spans="2:3" ht="13" x14ac:dyDescent="0.15">
      <c r="B460" s="27"/>
      <c r="C460" s="27"/>
    </row>
    <row r="461" spans="2:3" ht="13" x14ac:dyDescent="0.15">
      <c r="B461" s="27"/>
      <c r="C461" s="27"/>
    </row>
    <row r="462" spans="2:3" ht="13" x14ac:dyDescent="0.15">
      <c r="B462" s="27"/>
      <c r="C462" s="27"/>
    </row>
    <row r="463" spans="2:3" ht="13" x14ac:dyDescent="0.15">
      <c r="B463" s="27"/>
      <c r="C463" s="27"/>
    </row>
    <row r="464" spans="2:3" ht="13" x14ac:dyDescent="0.15">
      <c r="B464" s="27"/>
      <c r="C464" s="27"/>
    </row>
    <row r="465" spans="2:3" ht="13" x14ac:dyDescent="0.15">
      <c r="B465" s="27"/>
      <c r="C465" s="27"/>
    </row>
    <row r="466" spans="2:3" ht="13" x14ac:dyDescent="0.15">
      <c r="B466" s="27"/>
      <c r="C466" s="27"/>
    </row>
    <row r="467" spans="2:3" ht="13" x14ac:dyDescent="0.15">
      <c r="B467" s="27"/>
      <c r="C467" s="27"/>
    </row>
    <row r="468" spans="2:3" ht="13" x14ac:dyDescent="0.15">
      <c r="B468" s="27"/>
      <c r="C468" s="27"/>
    </row>
    <row r="469" spans="2:3" ht="13" x14ac:dyDescent="0.15">
      <c r="B469" s="27"/>
      <c r="C469" s="27"/>
    </row>
    <row r="470" spans="2:3" ht="13" x14ac:dyDescent="0.15">
      <c r="B470" s="27"/>
      <c r="C470" s="27"/>
    </row>
    <row r="471" spans="2:3" ht="13" x14ac:dyDescent="0.15">
      <c r="B471" s="27"/>
      <c r="C471" s="27"/>
    </row>
    <row r="472" spans="2:3" ht="13" x14ac:dyDescent="0.15">
      <c r="B472" s="27"/>
      <c r="C472" s="27"/>
    </row>
    <row r="473" spans="2:3" ht="13" x14ac:dyDescent="0.15">
      <c r="B473" s="27"/>
      <c r="C473" s="27"/>
    </row>
    <row r="474" spans="2:3" ht="13" x14ac:dyDescent="0.15">
      <c r="B474" s="27"/>
      <c r="C474" s="27"/>
    </row>
    <row r="475" spans="2:3" ht="13" x14ac:dyDescent="0.15">
      <c r="B475" s="27"/>
      <c r="C475" s="27"/>
    </row>
    <row r="476" spans="2:3" ht="13" x14ac:dyDescent="0.15">
      <c r="B476" s="27"/>
      <c r="C476" s="27"/>
    </row>
    <row r="477" spans="2:3" ht="13" x14ac:dyDescent="0.15">
      <c r="B477" s="27"/>
      <c r="C477" s="27"/>
    </row>
    <row r="478" spans="2:3" ht="13" x14ac:dyDescent="0.15">
      <c r="B478" s="27"/>
      <c r="C478" s="27"/>
    </row>
    <row r="479" spans="2:3" ht="13" x14ac:dyDescent="0.15">
      <c r="B479" s="27"/>
      <c r="C479" s="27"/>
    </row>
    <row r="480" spans="2:3" ht="13" x14ac:dyDescent="0.15">
      <c r="B480" s="27"/>
      <c r="C480" s="27"/>
    </row>
    <row r="481" spans="2:3" ht="13" x14ac:dyDescent="0.15">
      <c r="B481" s="27"/>
      <c r="C481" s="27"/>
    </row>
    <row r="482" spans="2:3" ht="13" x14ac:dyDescent="0.15">
      <c r="B482" s="27"/>
      <c r="C482" s="27"/>
    </row>
    <row r="483" spans="2:3" ht="13" x14ac:dyDescent="0.15">
      <c r="B483" s="27"/>
      <c r="C483" s="27"/>
    </row>
    <row r="484" spans="2:3" ht="13" x14ac:dyDescent="0.15">
      <c r="B484" s="27"/>
      <c r="C484" s="27"/>
    </row>
    <row r="485" spans="2:3" ht="13" x14ac:dyDescent="0.15">
      <c r="B485" s="27"/>
      <c r="C485" s="27"/>
    </row>
    <row r="486" spans="2:3" ht="13" x14ac:dyDescent="0.15">
      <c r="B486" s="27"/>
      <c r="C486" s="27"/>
    </row>
    <row r="487" spans="2:3" ht="13" x14ac:dyDescent="0.15">
      <c r="B487" s="27"/>
      <c r="C487" s="27"/>
    </row>
    <row r="488" spans="2:3" ht="13" x14ac:dyDescent="0.15">
      <c r="B488" s="27"/>
      <c r="C488" s="27"/>
    </row>
    <row r="489" spans="2:3" ht="13" x14ac:dyDescent="0.15">
      <c r="B489" s="27"/>
      <c r="C489" s="27"/>
    </row>
    <row r="490" spans="2:3" ht="13" x14ac:dyDescent="0.15">
      <c r="B490" s="27"/>
      <c r="C490" s="27"/>
    </row>
    <row r="491" spans="2:3" ht="13" x14ac:dyDescent="0.15">
      <c r="B491" s="27"/>
      <c r="C491" s="27"/>
    </row>
    <row r="492" spans="2:3" ht="13" x14ac:dyDescent="0.15">
      <c r="B492" s="27"/>
      <c r="C492" s="27"/>
    </row>
    <row r="493" spans="2:3" ht="13" x14ac:dyDescent="0.15">
      <c r="B493" s="27"/>
      <c r="C493" s="27"/>
    </row>
    <row r="494" spans="2:3" ht="13" x14ac:dyDescent="0.15">
      <c r="B494" s="27"/>
      <c r="C494" s="27"/>
    </row>
    <row r="495" spans="2:3" ht="13" x14ac:dyDescent="0.15">
      <c r="B495" s="27"/>
      <c r="C495" s="27"/>
    </row>
    <row r="496" spans="2:3" ht="13" x14ac:dyDescent="0.15">
      <c r="B496" s="27"/>
      <c r="C496" s="27"/>
    </row>
    <row r="497" spans="2:3" ht="13" x14ac:dyDescent="0.15">
      <c r="B497" s="27"/>
      <c r="C497" s="27"/>
    </row>
    <row r="498" spans="2:3" ht="13" x14ac:dyDescent="0.15">
      <c r="B498" s="27"/>
      <c r="C498" s="27"/>
    </row>
    <row r="499" spans="2:3" ht="13" x14ac:dyDescent="0.15">
      <c r="B499" s="27"/>
      <c r="C499" s="27"/>
    </row>
    <row r="500" spans="2:3" ht="13" x14ac:dyDescent="0.15">
      <c r="B500" s="27"/>
      <c r="C500" s="27"/>
    </row>
    <row r="501" spans="2:3" ht="13" x14ac:dyDescent="0.15">
      <c r="B501" s="27"/>
      <c r="C501" s="27"/>
    </row>
    <row r="502" spans="2:3" ht="13" x14ac:dyDescent="0.15">
      <c r="B502" s="27"/>
      <c r="C502" s="27"/>
    </row>
    <row r="503" spans="2:3" ht="13" x14ac:dyDescent="0.15">
      <c r="B503" s="27"/>
      <c r="C503" s="27"/>
    </row>
    <row r="504" spans="2:3" ht="13" x14ac:dyDescent="0.15">
      <c r="B504" s="27"/>
      <c r="C504" s="27"/>
    </row>
    <row r="505" spans="2:3" ht="13" x14ac:dyDescent="0.15">
      <c r="B505" s="27"/>
      <c r="C505" s="27"/>
    </row>
    <row r="506" spans="2:3" ht="13" x14ac:dyDescent="0.15">
      <c r="B506" s="27"/>
      <c r="C506" s="27"/>
    </row>
    <row r="507" spans="2:3" ht="13" x14ac:dyDescent="0.15">
      <c r="B507" s="27"/>
      <c r="C507" s="27"/>
    </row>
    <row r="508" spans="2:3" ht="13" x14ac:dyDescent="0.15">
      <c r="B508" s="27"/>
      <c r="C508" s="27"/>
    </row>
    <row r="509" spans="2:3" ht="13" x14ac:dyDescent="0.15">
      <c r="B509" s="27"/>
      <c r="C509" s="27"/>
    </row>
    <row r="510" spans="2:3" ht="13" x14ac:dyDescent="0.15">
      <c r="B510" s="27"/>
      <c r="C510" s="27"/>
    </row>
    <row r="511" spans="2:3" ht="13" x14ac:dyDescent="0.15">
      <c r="B511" s="27"/>
      <c r="C511" s="27"/>
    </row>
    <row r="512" spans="2:3" ht="13" x14ac:dyDescent="0.15">
      <c r="B512" s="27"/>
      <c r="C512" s="27"/>
    </row>
    <row r="513" spans="2:3" ht="13" x14ac:dyDescent="0.15">
      <c r="B513" s="27"/>
      <c r="C513" s="27"/>
    </row>
    <row r="514" spans="2:3" ht="13" x14ac:dyDescent="0.15">
      <c r="B514" s="27"/>
      <c r="C514" s="27"/>
    </row>
    <row r="515" spans="2:3" ht="13" x14ac:dyDescent="0.15">
      <c r="B515" s="27"/>
      <c r="C515" s="27"/>
    </row>
    <row r="516" spans="2:3" ht="13" x14ac:dyDescent="0.15">
      <c r="B516" s="27"/>
      <c r="C516" s="27"/>
    </row>
    <row r="517" spans="2:3" ht="13" x14ac:dyDescent="0.15">
      <c r="B517" s="27"/>
      <c r="C517" s="27"/>
    </row>
    <row r="518" spans="2:3" ht="13" x14ac:dyDescent="0.15">
      <c r="B518" s="27"/>
      <c r="C518" s="27"/>
    </row>
    <row r="519" spans="2:3" ht="13" x14ac:dyDescent="0.15">
      <c r="B519" s="27"/>
      <c r="C519" s="27"/>
    </row>
    <row r="520" spans="2:3" ht="13" x14ac:dyDescent="0.15">
      <c r="B520" s="27"/>
      <c r="C520" s="27"/>
    </row>
    <row r="521" spans="2:3" ht="13" x14ac:dyDescent="0.15">
      <c r="B521" s="27"/>
      <c r="C521" s="27"/>
    </row>
    <row r="522" spans="2:3" ht="13" x14ac:dyDescent="0.15">
      <c r="B522" s="27"/>
      <c r="C522" s="27"/>
    </row>
    <row r="523" spans="2:3" ht="13" x14ac:dyDescent="0.15">
      <c r="B523" s="27"/>
      <c r="C523" s="27"/>
    </row>
    <row r="524" spans="2:3" ht="13" x14ac:dyDescent="0.15">
      <c r="B524" s="27"/>
      <c r="C524" s="27"/>
    </row>
    <row r="525" spans="2:3" ht="13" x14ac:dyDescent="0.15">
      <c r="B525" s="27"/>
      <c r="C525" s="27"/>
    </row>
    <row r="526" spans="2:3" ht="13" x14ac:dyDescent="0.15">
      <c r="B526" s="27"/>
      <c r="C526" s="27"/>
    </row>
    <row r="527" spans="2:3" ht="13" x14ac:dyDescent="0.15">
      <c r="B527" s="27"/>
      <c r="C527" s="27"/>
    </row>
    <row r="528" spans="2:3" ht="13" x14ac:dyDescent="0.15">
      <c r="B528" s="27"/>
      <c r="C528" s="27"/>
    </row>
    <row r="529" spans="2:3" ht="13" x14ac:dyDescent="0.15">
      <c r="B529" s="27"/>
      <c r="C529" s="27"/>
    </row>
    <row r="530" spans="2:3" ht="13" x14ac:dyDescent="0.15">
      <c r="B530" s="27"/>
      <c r="C530" s="27"/>
    </row>
    <row r="531" spans="2:3" ht="13" x14ac:dyDescent="0.15">
      <c r="B531" s="27"/>
      <c r="C531" s="27"/>
    </row>
    <row r="532" spans="2:3" ht="13" x14ac:dyDescent="0.15">
      <c r="B532" s="27"/>
      <c r="C532" s="27"/>
    </row>
    <row r="533" spans="2:3" ht="13" x14ac:dyDescent="0.15">
      <c r="B533" s="27"/>
      <c r="C533" s="27"/>
    </row>
    <row r="534" spans="2:3" ht="13" x14ac:dyDescent="0.15">
      <c r="B534" s="27"/>
      <c r="C534" s="27"/>
    </row>
    <row r="535" spans="2:3" ht="13" x14ac:dyDescent="0.15">
      <c r="B535" s="27"/>
      <c r="C535" s="27"/>
    </row>
    <row r="536" spans="2:3" ht="13" x14ac:dyDescent="0.15">
      <c r="B536" s="27"/>
      <c r="C536" s="27"/>
    </row>
    <row r="537" spans="2:3" ht="13" x14ac:dyDescent="0.15">
      <c r="B537" s="27"/>
      <c r="C537" s="27"/>
    </row>
    <row r="538" spans="2:3" ht="13" x14ac:dyDescent="0.15">
      <c r="B538" s="27"/>
      <c r="C538" s="27"/>
    </row>
    <row r="539" spans="2:3" ht="13" x14ac:dyDescent="0.15">
      <c r="B539" s="27"/>
      <c r="C539" s="27"/>
    </row>
    <row r="540" spans="2:3" ht="13" x14ac:dyDescent="0.15">
      <c r="B540" s="27"/>
      <c r="C540" s="27"/>
    </row>
    <row r="541" spans="2:3" ht="13" x14ac:dyDescent="0.15">
      <c r="B541" s="27"/>
      <c r="C541" s="27"/>
    </row>
    <row r="542" spans="2:3" ht="13" x14ac:dyDescent="0.15">
      <c r="B542" s="27"/>
      <c r="C542" s="27"/>
    </row>
    <row r="543" spans="2:3" ht="13" x14ac:dyDescent="0.15">
      <c r="B543" s="27"/>
      <c r="C543" s="27"/>
    </row>
    <row r="544" spans="2:3" ht="13" x14ac:dyDescent="0.15">
      <c r="B544" s="27"/>
      <c r="C544" s="27"/>
    </row>
    <row r="545" spans="2:3" ht="13" x14ac:dyDescent="0.15">
      <c r="B545" s="27"/>
      <c r="C545" s="27"/>
    </row>
    <row r="546" spans="2:3" ht="13" x14ac:dyDescent="0.15">
      <c r="B546" s="27"/>
      <c r="C546" s="27"/>
    </row>
    <row r="547" spans="2:3" ht="13" x14ac:dyDescent="0.15">
      <c r="B547" s="27"/>
      <c r="C547" s="27"/>
    </row>
    <row r="548" spans="2:3" ht="13" x14ac:dyDescent="0.15">
      <c r="B548" s="27"/>
      <c r="C548" s="27"/>
    </row>
    <row r="549" spans="2:3" ht="13" x14ac:dyDescent="0.15">
      <c r="B549" s="27"/>
      <c r="C549" s="27"/>
    </row>
    <row r="550" spans="2:3" ht="13" x14ac:dyDescent="0.15">
      <c r="B550" s="27"/>
      <c r="C550" s="27"/>
    </row>
    <row r="551" spans="2:3" ht="13" x14ac:dyDescent="0.15">
      <c r="B551" s="27"/>
      <c r="C551" s="27"/>
    </row>
    <row r="552" spans="2:3" ht="13" x14ac:dyDescent="0.15">
      <c r="B552" s="27"/>
      <c r="C552" s="27"/>
    </row>
    <row r="553" spans="2:3" ht="13" x14ac:dyDescent="0.15">
      <c r="B553" s="27"/>
      <c r="C553" s="27"/>
    </row>
    <row r="554" spans="2:3" ht="13" x14ac:dyDescent="0.15">
      <c r="B554" s="27"/>
      <c r="C554" s="27"/>
    </row>
    <row r="555" spans="2:3" ht="13" x14ac:dyDescent="0.15">
      <c r="B555" s="27"/>
      <c r="C555" s="27"/>
    </row>
    <row r="556" spans="2:3" ht="13" x14ac:dyDescent="0.15">
      <c r="B556" s="27"/>
      <c r="C556" s="27"/>
    </row>
    <row r="557" spans="2:3" ht="13" x14ac:dyDescent="0.15">
      <c r="B557" s="27"/>
      <c r="C557" s="27"/>
    </row>
    <row r="558" spans="2:3" ht="13" x14ac:dyDescent="0.15">
      <c r="B558" s="27"/>
      <c r="C558" s="27"/>
    </row>
    <row r="559" spans="2:3" ht="13" x14ac:dyDescent="0.15">
      <c r="B559" s="27"/>
      <c r="C559" s="27"/>
    </row>
    <row r="560" spans="2:3" ht="13" x14ac:dyDescent="0.15">
      <c r="B560" s="27"/>
      <c r="C560" s="27"/>
    </row>
    <row r="561" spans="2:3" ht="13" x14ac:dyDescent="0.15">
      <c r="B561" s="27"/>
      <c r="C561" s="27"/>
    </row>
    <row r="562" spans="2:3" ht="13" x14ac:dyDescent="0.15">
      <c r="B562" s="27"/>
      <c r="C562" s="27"/>
    </row>
    <row r="563" spans="2:3" ht="13" x14ac:dyDescent="0.15">
      <c r="B563" s="27"/>
      <c r="C563" s="27"/>
    </row>
    <row r="564" spans="2:3" ht="13" x14ac:dyDescent="0.15">
      <c r="B564" s="27"/>
      <c r="C564" s="27"/>
    </row>
    <row r="565" spans="2:3" ht="13" x14ac:dyDescent="0.15">
      <c r="B565" s="27"/>
      <c r="C565" s="27"/>
    </row>
    <row r="566" spans="2:3" ht="13" x14ac:dyDescent="0.15">
      <c r="B566" s="27"/>
      <c r="C566" s="27"/>
    </row>
    <row r="567" spans="2:3" ht="13" x14ac:dyDescent="0.15">
      <c r="B567" s="27"/>
      <c r="C567" s="27"/>
    </row>
    <row r="568" spans="2:3" ht="13" x14ac:dyDescent="0.15">
      <c r="B568" s="27"/>
      <c r="C568" s="27"/>
    </row>
    <row r="569" spans="2:3" ht="13" x14ac:dyDescent="0.15">
      <c r="B569" s="27"/>
      <c r="C569" s="27"/>
    </row>
    <row r="570" spans="2:3" ht="13" x14ac:dyDescent="0.15">
      <c r="B570" s="27"/>
      <c r="C570" s="27"/>
    </row>
    <row r="571" spans="2:3" ht="13" x14ac:dyDescent="0.15">
      <c r="B571" s="27"/>
      <c r="C571" s="27"/>
    </row>
    <row r="572" spans="2:3" ht="13" x14ac:dyDescent="0.15">
      <c r="B572" s="27"/>
      <c r="C572" s="27"/>
    </row>
    <row r="573" spans="2:3" ht="13" x14ac:dyDescent="0.15">
      <c r="B573" s="27"/>
      <c r="C573" s="27"/>
    </row>
    <row r="574" spans="2:3" ht="13" x14ac:dyDescent="0.15">
      <c r="B574" s="27"/>
      <c r="C574" s="27"/>
    </row>
    <row r="575" spans="2:3" ht="13" x14ac:dyDescent="0.15">
      <c r="B575" s="27"/>
      <c r="C575" s="27"/>
    </row>
    <row r="576" spans="2:3" ht="13" x14ac:dyDescent="0.15">
      <c r="B576" s="27"/>
      <c r="C576" s="27"/>
    </row>
    <row r="577" spans="2:3" ht="13" x14ac:dyDescent="0.15">
      <c r="B577" s="27"/>
      <c r="C577" s="27"/>
    </row>
    <row r="578" spans="2:3" ht="13" x14ac:dyDescent="0.15">
      <c r="B578" s="27"/>
      <c r="C578" s="27"/>
    </row>
    <row r="579" spans="2:3" ht="13" x14ac:dyDescent="0.15">
      <c r="B579" s="27"/>
      <c r="C579" s="27"/>
    </row>
    <row r="580" spans="2:3" ht="13" x14ac:dyDescent="0.15">
      <c r="B580" s="27"/>
      <c r="C580" s="27"/>
    </row>
    <row r="581" spans="2:3" ht="13" x14ac:dyDescent="0.15">
      <c r="B581" s="27"/>
      <c r="C581" s="27"/>
    </row>
    <row r="582" spans="2:3" ht="13" x14ac:dyDescent="0.15">
      <c r="B582" s="27"/>
      <c r="C582" s="27"/>
    </row>
    <row r="583" spans="2:3" ht="13" x14ac:dyDescent="0.15">
      <c r="B583" s="27"/>
      <c r="C583" s="27"/>
    </row>
    <row r="584" spans="2:3" ht="13" x14ac:dyDescent="0.15">
      <c r="B584" s="27"/>
      <c r="C584" s="27"/>
    </row>
    <row r="585" spans="2:3" ht="13" x14ac:dyDescent="0.15">
      <c r="B585" s="27"/>
      <c r="C585" s="27"/>
    </row>
    <row r="586" spans="2:3" ht="13" x14ac:dyDescent="0.15">
      <c r="B586" s="27"/>
      <c r="C586" s="27"/>
    </row>
    <row r="587" spans="2:3" ht="13" x14ac:dyDescent="0.15">
      <c r="B587" s="27"/>
      <c r="C587" s="27"/>
    </row>
    <row r="588" spans="2:3" ht="13" x14ac:dyDescent="0.15">
      <c r="B588" s="27"/>
      <c r="C588" s="27"/>
    </row>
    <row r="589" spans="2:3" ht="13" x14ac:dyDescent="0.15">
      <c r="B589" s="27"/>
      <c r="C589" s="27"/>
    </row>
    <row r="590" spans="2:3" ht="13" x14ac:dyDescent="0.15">
      <c r="B590" s="27"/>
      <c r="C590" s="27"/>
    </row>
    <row r="591" spans="2:3" ht="13" x14ac:dyDescent="0.15">
      <c r="B591" s="27"/>
      <c r="C591" s="27"/>
    </row>
    <row r="592" spans="2:3" ht="13" x14ac:dyDescent="0.15">
      <c r="B592" s="27"/>
      <c r="C592" s="27"/>
    </row>
    <row r="593" spans="2:3" ht="13" x14ac:dyDescent="0.15">
      <c r="B593" s="27"/>
      <c r="C593" s="27"/>
    </row>
    <row r="594" spans="2:3" ht="13" x14ac:dyDescent="0.15">
      <c r="B594" s="27"/>
      <c r="C594" s="27"/>
    </row>
    <row r="595" spans="2:3" ht="13" x14ac:dyDescent="0.15">
      <c r="B595" s="27"/>
      <c r="C595" s="27"/>
    </row>
    <row r="596" spans="2:3" ht="13" x14ac:dyDescent="0.15">
      <c r="B596" s="27"/>
      <c r="C596" s="27"/>
    </row>
    <row r="597" spans="2:3" ht="13" x14ac:dyDescent="0.15">
      <c r="B597" s="27"/>
      <c r="C597" s="27"/>
    </row>
    <row r="598" spans="2:3" ht="13" x14ac:dyDescent="0.15">
      <c r="B598" s="27"/>
      <c r="C598" s="27"/>
    </row>
    <row r="599" spans="2:3" ht="13" x14ac:dyDescent="0.15">
      <c r="B599" s="27"/>
      <c r="C599" s="27"/>
    </row>
    <row r="600" spans="2:3" ht="13" x14ac:dyDescent="0.15">
      <c r="B600" s="27"/>
      <c r="C600" s="27"/>
    </row>
    <row r="601" spans="2:3" ht="13" x14ac:dyDescent="0.15">
      <c r="B601" s="27"/>
      <c r="C601" s="27"/>
    </row>
    <row r="602" spans="2:3" ht="13" x14ac:dyDescent="0.15">
      <c r="B602" s="27"/>
      <c r="C602" s="27"/>
    </row>
    <row r="603" spans="2:3" ht="13" x14ac:dyDescent="0.15">
      <c r="B603" s="27"/>
      <c r="C603" s="27"/>
    </row>
    <row r="604" spans="2:3" ht="13" x14ac:dyDescent="0.15">
      <c r="B604" s="27"/>
      <c r="C604" s="27"/>
    </row>
    <row r="605" spans="2:3" ht="13" x14ac:dyDescent="0.15">
      <c r="B605" s="27"/>
      <c r="C605" s="27"/>
    </row>
    <row r="606" spans="2:3" ht="13" x14ac:dyDescent="0.15">
      <c r="B606" s="27"/>
      <c r="C606" s="27"/>
    </row>
    <row r="607" spans="2:3" ht="13" x14ac:dyDescent="0.15">
      <c r="B607" s="27"/>
      <c r="C607" s="27"/>
    </row>
    <row r="608" spans="2:3" ht="13" x14ac:dyDescent="0.15">
      <c r="B608" s="27"/>
      <c r="C608" s="27"/>
    </row>
    <row r="609" spans="2:3" ht="13" x14ac:dyDescent="0.15">
      <c r="B609" s="27"/>
      <c r="C609" s="27"/>
    </row>
    <row r="610" spans="2:3" ht="13" x14ac:dyDescent="0.15">
      <c r="B610" s="27"/>
      <c r="C610" s="27"/>
    </row>
    <row r="611" spans="2:3" ht="13" x14ac:dyDescent="0.15">
      <c r="B611" s="27"/>
      <c r="C611" s="27"/>
    </row>
    <row r="612" spans="2:3" ht="13" x14ac:dyDescent="0.15">
      <c r="B612" s="27"/>
      <c r="C612" s="27"/>
    </row>
    <row r="613" spans="2:3" ht="13" x14ac:dyDescent="0.15">
      <c r="B613" s="27"/>
      <c r="C613" s="27"/>
    </row>
    <row r="614" spans="2:3" ht="13" x14ac:dyDescent="0.15">
      <c r="B614" s="27"/>
      <c r="C614" s="27"/>
    </row>
    <row r="615" spans="2:3" ht="13" x14ac:dyDescent="0.15">
      <c r="B615" s="27"/>
      <c r="C615" s="27"/>
    </row>
    <row r="616" spans="2:3" ht="13" x14ac:dyDescent="0.15">
      <c r="B616" s="27"/>
      <c r="C616" s="27"/>
    </row>
    <row r="617" spans="2:3" ht="13" x14ac:dyDescent="0.15">
      <c r="B617" s="27"/>
      <c r="C617" s="27"/>
    </row>
    <row r="618" spans="2:3" ht="13" x14ac:dyDescent="0.15">
      <c r="B618" s="27"/>
      <c r="C618" s="27"/>
    </row>
    <row r="619" spans="2:3" ht="13" x14ac:dyDescent="0.15">
      <c r="B619" s="27"/>
      <c r="C619" s="27"/>
    </row>
    <row r="620" spans="2:3" ht="13" x14ac:dyDescent="0.15">
      <c r="B620" s="27"/>
      <c r="C620" s="27"/>
    </row>
    <row r="621" spans="2:3" ht="13" x14ac:dyDescent="0.15">
      <c r="B621" s="27"/>
      <c r="C621" s="27"/>
    </row>
    <row r="622" spans="2:3" ht="13" x14ac:dyDescent="0.15">
      <c r="B622" s="27"/>
      <c r="C622" s="27"/>
    </row>
    <row r="623" spans="2:3" ht="13" x14ac:dyDescent="0.15">
      <c r="B623" s="27"/>
      <c r="C623" s="27"/>
    </row>
    <row r="624" spans="2:3" ht="13" x14ac:dyDescent="0.15">
      <c r="B624" s="27"/>
      <c r="C624" s="27"/>
    </row>
    <row r="625" spans="2:3" ht="13" x14ac:dyDescent="0.15">
      <c r="B625" s="27"/>
      <c r="C625" s="27"/>
    </row>
    <row r="626" spans="2:3" ht="13" x14ac:dyDescent="0.15">
      <c r="B626" s="27"/>
      <c r="C626" s="27"/>
    </row>
    <row r="627" spans="2:3" ht="13" x14ac:dyDescent="0.15">
      <c r="B627" s="27"/>
      <c r="C627" s="27"/>
    </row>
    <row r="628" spans="2:3" ht="13" x14ac:dyDescent="0.15">
      <c r="B628" s="27"/>
      <c r="C628" s="27"/>
    </row>
    <row r="629" spans="2:3" ht="13" x14ac:dyDescent="0.15">
      <c r="B629" s="27"/>
      <c r="C629" s="27"/>
    </row>
    <row r="630" spans="2:3" ht="13" x14ac:dyDescent="0.15">
      <c r="B630" s="27"/>
      <c r="C630" s="27"/>
    </row>
    <row r="631" spans="2:3" ht="13" x14ac:dyDescent="0.15">
      <c r="B631" s="27"/>
      <c r="C631" s="27"/>
    </row>
    <row r="632" spans="2:3" ht="13" x14ac:dyDescent="0.15">
      <c r="B632" s="27"/>
      <c r="C632" s="27"/>
    </row>
    <row r="633" spans="2:3" ht="13" x14ac:dyDescent="0.15">
      <c r="B633" s="27"/>
      <c r="C633" s="27"/>
    </row>
    <row r="634" spans="2:3" ht="13" x14ac:dyDescent="0.15">
      <c r="B634" s="27"/>
      <c r="C634" s="27"/>
    </row>
    <row r="635" spans="2:3" ht="13" x14ac:dyDescent="0.15">
      <c r="B635" s="27"/>
      <c r="C635" s="27"/>
    </row>
    <row r="636" spans="2:3" ht="13" x14ac:dyDescent="0.15">
      <c r="B636" s="27"/>
      <c r="C636" s="27"/>
    </row>
    <row r="637" spans="2:3" ht="13" x14ac:dyDescent="0.15">
      <c r="B637" s="27"/>
      <c r="C637" s="27"/>
    </row>
    <row r="638" spans="2:3" ht="13" x14ac:dyDescent="0.15">
      <c r="B638" s="27"/>
      <c r="C638" s="27"/>
    </row>
    <row r="639" spans="2:3" ht="13" x14ac:dyDescent="0.15">
      <c r="B639" s="27"/>
      <c r="C639" s="27"/>
    </row>
    <row r="640" spans="2:3" ht="13" x14ac:dyDescent="0.15">
      <c r="B640" s="27"/>
      <c r="C640" s="27"/>
    </row>
    <row r="641" spans="2:3" ht="13" x14ac:dyDescent="0.15">
      <c r="B641" s="27"/>
      <c r="C641" s="27"/>
    </row>
    <row r="642" spans="2:3" ht="13" x14ac:dyDescent="0.15">
      <c r="B642" s="27"/>
      <c r="C642" s="27"/>
    </row>
    <row r="643" spans="2:3" ht="13" x14ac:dyDescent="0.15">
      <c r="B643" s="27"/>
      <c r="C643" s="27"/>
    </row>
    <row r="644" spans="2:3" ht="13" x14ac:dyDescent="0.15">
      <c r="B644" s="27"/>
      <c r="C644" s="27"/>
    </row>
    <row r="645" spans="2:3" ht="13" x14ac:dyDescent="0.15">
      <c r="B645" s="27"/>
      <c r="C645" s="27"/>
    </row>
    <row r="646" spans="2:3" ht="13" x14ac:dyDescent="0.15">
      <c r="B646" s="27"/>
      <c r="C646" s="27"/>
    </row>
    <row r="647" spans="2:3" ht="13" x14ac:dyDescent="0.15">
      <c r="B647" s="27"/>
      <c r="C647" s="27"/>
    </row>
    <row r="648" spans="2:3" ht="13" x14ac:dyDescent="0.15">
      <c r="B648" s="27"/>
      <c r="C648" s="27"/>
    </row>
    <row r="649" spans="2:3" ht="13" x14ac:dyDescent="0.15">
      <c r="B649" s="27"/>
      <c r="C649" s="27"/>
    </row>
    <row r="650" spans="2:3" ht="13" x14ac:dyDescent="0.15">
      <c r="B650" s="27"/>
      <c r="C650" s="27"/>
    </row>
    <row r="651" spans="2:3" ht="13" x14ac:dyDescent="0.15">
      <c r="B651" s="27"/>
      <c r="C651" s="27"/>
    </row>
    <row r="652" spans="2:3" ht="13" x14ac:dyDescent="0.15">
      <c r="B652" s="27"/>
      <c r="C652" s="27"/>
    </row>
    <row r="653" spans="2:3" ht="13" x14ac:dyDescent="0.15">
      <c r="B653" s="27"/>
      <c r="C653" s="27"/>
    </row>
    <row r="654" spans="2:3" ht="13" x14ac:dyDescent="0.15">
      <c r="B654" s="27"/>
      <c r="C654" s="27"/>
    </row>
    <row r="655" spans="2:3" ht="13" x14ac:dyDescent="0.15">
      <c r="B655" s="27"/>
      <c r="C655" s="27"/>
    </row>
    <row r="656" spans="2:3" ht="13" x14ac:dyDescent="0.15">
      <c r="B656" s="27"/>
      <c r="C656" s="27"/>
    </row>
    <row r="657" spans="2:3" ht="13" x14ac:dyDescent="0.15">
      <c r="B657" s="27"/>
      <c r="C657" s="27"/>
    </row>
    <row r="658" spans="2:3" ht="13" x14ac:dyDescent="0.15">
      <c r="B658" s="27"/>
      <c r="C658" s="27"/>
    </row>
    <row r="659" spans="2:3" ht="13" x14ac:dyDescent="0.15">
      <c r="B659" s="27"/>
      <c r="C659" s="27"/>
    </row>
    <row r="660" spans="2:3" ht="13" x14ac:dyDescent="0.15">
      <c r="B660" s="27"/>
      <c r="C660" s="27"/>
    </row>
    <row r="661" spans="2:3" ht="13" x14ac:dyDescent="0.15">
      <c r="B661" s="27"/>
      <c r="C661" s="27"/>
    </row>
    <row r="662" spans="2:3" ht="13" x14ac:dyDescent="0.15">
      <c r="B662" s="27"/>
      <c r="C662" s="27"/>
    </row>
    <row r="663" spans="2:3" ht="13" x14ac:dyDescent="0.15">
      <c r="B663" s="27"/>
      <c r="C663" s="27"/>
    </row>
    <row r="664" spans="2:3" ht="13" x14ac:dyDescent="0.15">
      <c r="B664" s="27"/>
      <c r="C664" s="27"/>
    </row>
    <row r="665" spans="2:3" ht="13" x14ac:dyDescent="0.15">
      <c r="B665" s="27"/>
      <c r="C665" s="27"/>
    </row>
    <row r="666" spans="2:3" ht="13" x14ac:dyDescent="0.15">
      <c r="B666" s="27"/>
      <c r="C666" s="27"/>
    </row>
    <row r="667" spans="2:3" ht="13" x14ac:dyDescent="0.15">
      <c r="B667" s="27"/>
      <c r="C667" s="27"/>
    </row>
    <row r="668" spans="2:3" ht="13" x14ac:dyDescent="0.15">
      <c r="B668" s="27"/>
      <c r="C668" s="27"/>
    </row>
    <row r="669" spans="2:3" ht="13" x14ac:dyDescent="0.15">
      <c r="B669" s="27"/>
      <c r="C669" s="27"/>
    </row>
    <row r="670" spans="2:3" ht="13" x14ac:dyDescent="0.15">
      <c r="B670" s="27"/>
      <c r="C670" s="27"/>
    </row>
    <row r="671" spans="2:3" ht="13" x14ac:dyDescent="0.15">
      <c r="B671" s="27"/>
      <c r="C671" s="27"/>
    </row>
    <row r="672" spans="2:3" ht="13" x14ac:dyDescent="0.15">
      <c r="B672" s="27"/>
      <c r="C672" s="27"/>
    </row>
    <row r="673" spans="2:3" ht="13" x14ac:dyDescent="0.15">
      <c r="B673" s="27"/>
      <c r="C673" s="27"/>
    </row>
    <row r="674" spans="2:3" ht="13" x14ac:dyDescent="0.15">
      <c r="B674" s="27"/>
      <c r="C674" s="27"/>
    </row>
    <row r="675" spans="2:3" ht="13" x14ac:dyDescent="0.15">
      <c r="B675" s="27"/>
      <c r="C675" s="27"/>
    </row>
    <row r="676" spans="2:3" ht="13" x14ac:dyDescent="0.15">
      <c r="B676" s="27"/>
      <c r="C676" s="27"/>
    </row>
    <row r="677" spans="2:3" ht="13" x14ac:dyDescent="0.15">
      <c r="B677" s="27"/>
      <c r="C677" s="27"/>
    </row>
    <row r="678" spans="2:3" ht="13" x14ac:dyDescent="0.15">
      <c r="B678" s="27"/>
      <c r="C678" s="27"/>
    </row>
    <row r="679" spans="2:3" ht="13" x14ac:dyDescent="0.15">
      <c r="B679" s="27"/>
      <c r="C679" s="27"/>
    </row>
    <row r="680" spans="2:3" ht="13" x14ac:dyDescent="0.15">
      <c r="B680" s="27"/>
      <c r="C680" s="27"/>
    </row>
    <row r="681" spans="2:3" ht="13" x14ac:dyDescent="0.15">
      <c r="B681" s="27"/>
      <c r="C681" s="27"/>
    </row>
    <row r="682" spans="2:3" ht="13" x14ac:dyDescent="0.15">
      <c r="B682" s="27"/>
      <c r="C682" s="27"/>
    </row>
    <row r="683" spans="2:3" ht="13" x14ac:dyDescent="0.15">
      <c r="B683" s="27"/>
      <c r="C683" s="27"/>
    </row>
    <row r="684" spans="2:3" ht="13" x14ac:dyDescent="0.15">
      <c r="B684" s="27"/>
      <c r="C684" s="27"/>
    </row>
    <row r="685" spans="2:3" ht="13" x14ac:dyDescent="0.15">
      <c r="B685" s="27"/>
      <c r="C685" s="27"/>
    </row>
    <row r="686" spans="2:3" ht="13" x14ac:dyDescent="0.15">
      <c r="B686" s="27"/>
      <c r="C686" s="27"/>
    </row>
    <row r="687" spans="2:3" ht="13" x14ac:dyDescent="0.15">
      <c r="B687" s="27"/>
      <c r="C687" s="27"/>
    </row>
    <row r="688" spans="2:3" ht="13" x14ac:dyDescent="0.15">
      <c r="B688" s="27"/>
      <c r="C688" s="27"/>
    </row>
    <row r="689" spans="2:3" ht="13" x14ac:dyDescent="0.15">
      <c r="B689" s="27"/>
      <c r="C689" s="27"/>
    </row>
    <row r="690" spans="2:3" ht="13" x14ac:dyDescent="0.15">
      <c r="B690" s="27"/>
      <c r="C690" s="27"/>
    </row>
    <row r="691" spans="2:3" ht="13" x14ac:dyDescent="0.15">
      <c r="B691" s="27"/>
      <c r="C691" s="27"/>
    </row>
    <row r="692" spans="2:3" ht="13" x14ac:dyDescent="0.15">
      <c r="B692" s="27"/>
      <c r="C692" s="27"/>
    </row>
    <row r="693" spans="2:3" ht="13" x14ac:dyDescent="0.15">
      <c r="B693" s="27"/>
      <c r="C693" s="27"/>
    </row>
    <row r="694" spans="2:3" ht="13" x14ac:dyDescent="0.15">
      <c r="B694" s="27"/>
      <c r="C694" s="27"/>
    </row>
    <row r="695" spans="2:3" ht="13" x14ac:dyDescent="0.15">
      <c r="B695" s="27"/>
      <c r="C695" s="27"/>
    </row>
    <row r="696" spans="2:3" ht="13" x14ac:dyDescent="0.15">
      <c r="B696" s="27"/>
      <c r="C696" s="27"/>
    </row>
    <row r="697" spans="2:3" ht="13" x14ac:dyDescent="0.15">
      <c r="B697" s="27"/>
      <c r="C697" s="27"/>
    </row>
    <row r="698" spans="2:3" ht="13" x14ac:dyDescent="0.15">
      <c r="B698" s="27"/>
      <c r="C698" s="27"/>
    </row>
    <row r="699" spans="2:3" ht="13" x14ac:dyDescent="0.15">
      <c r="B699" s="27"/>
      <c r="C699" s="27"/>
    </row>
    <row r="700" spans="2:3" ht="13" x14ac:dyDescent="0.15">
      <c r="B700" s="27"/>
      <c r="C700" s="27"/>
    </row>
    <row r="701" spans="2:3" ht="13" x14ac:dyDescent="0.15">
      <c r="B701" s="27"/>
      <c r="C701" s="27"/>
    </row>
    <row r="702" spans="2:3" ht="13" x14ac:dyDescent="0.15">
      <c r="B702" s="27"/>
      <c r="C702" s="27"/>
    </row>
    <row r="703" spans="2:3" ht="13" x14ac:dyDescent="0.15">
      <c r="B703" s="27"/>
      <c r="C703" s="27"/>
    </row>
    <row r="704" spans="2:3" ht="13" x14ac:dyDescent="0.15">
      <c r="B704" s="27"/>
      <c r="C704" s="27"/>
    </row>
    <row r="705" spans="2:3" ht="13" x14ac:dyDescent="0.15">
      <c r="B705" s="27"/>
      <c r="C705" s="27"/>
    </row>
    <row r="706" spans="2:3" ht="13" x14ac:dyDescent="0.15">
      <c r="B706" s="27"/>
      <c r="C706" s="27"/>
    </row>
    <row r="707" spans="2:3" ht="13" x14ac:dyDescent="0.15">
      <c r="B707" s="27"/>
      <c r="C707" s="27"/>
    </row>
    <row r="708" spans="2:3" ht="13" x14ac:dyDescent="0.15">
      <c r="B708" s="27"/>
      <c r="C708" s="27"/>
    </row>
    <row r="709" spans="2:3" ht="13" x14ac:dyDescent="0.15">
      <c r="B709" s="27"/>
      <c r="C709" s="27"/>
    </row>
    <row r="710" spans="2:3" ht="13" x14ac:dyDescent="0.15">
      <c r="B710" s="27"/>
      <c r="C710" s="27"/>
    </row>
    <row r="711" spans="2:3" ht="13" x14ac:dyDescent="0.15">
      <c r="B711" s="27"/>
      <c r="C711" s="27"/>
    </row>
    <row r="712" spans="2:3" ht="13" x14ac:dyDescent="0.15">
      <c r="B712" s="27"/>
      <c r="C712" s="27"/>
    </row>
    <row r="713" spans="2:3" ht="13" x14ac:dyDescent="0.15">
      <c r="B713" s="27"/>
      <c r="C713" s="27"/>
    </row>
    <row r="714" spans="2:3" ht="13" x14ac:dyDescent="0.15">
      <c r="B714" s="27"/>
      <c r="C714" s="27"/>
    </row>
    <row r="715" spans="2:3" ht="13" x14ac:dyDescent="0.15">
      <c r="B715" s="27"/>
      <c r="C715" s="27"/>
    </row>
    <row r="716" spans="2:3" ht="13" x14ac:dyDescent="0.15">
      <c r="B716" s="27"/>
      <c r="C716" s="27"/>
    </row>
    <row r="717" spans="2:3" ht="13" x14ac:dyDescent="0.15">
      <c r="B717" s="27"/>
      <c r="C717" s="27"/>
    </row>
    <row r="718" spans="2:3" ht="13" x14ac:dyDescent="0.15">
      <c r="B718" s="27"/>
      <c r="C718" s="27"/>
    </row>
    <row r="719" spans="2:3" ht="13" x14ac:dyDescent="0.15">
      <c r="B719" s="27"/>
      <c r="C719" s="27"/>
    </row>
    <row r="720" spans="2:3" ht="13" x14ac:dyDescent="0.15">
      <c r="B720" s="27"/>
      <c r="C720" s="27"/>
    </row>
    <row r="721" spans="2:3" ht="13" x14ac:dyDescent="0.15">
      <c r="B721" s="27"/>
      <c r="C721" s="27"/>
    </row>
    <row r="722" spans="2:3" ht="13" x14ac:dyDescent="0.15">
      <c r="B722" s="27"/>
      <c r="C722" s="27"/>
    </row>
    <row r="723" spans="2:3" ht="13" x14ac:dyDescent="0.15">
      <c r="B723" s="27"/>
      <c r="C723" s="27"/>
    </row>
    <row r="724" spans="2:3" ht="13" x14ac:dyDescent="0.15">
      <c r="B724" s="27"/>
      <c r="C724" s="27"/>
    </row>
    <row r="725" spans="2:3" ht="13" x14ac:dyDescent="0.15">
      <c r="B725" s="27"/>
      <c r="C725" s="27"/>
    </row>
    <row r="726" spans="2:3" ht="13" x14ac:dyDescent="0.15">
      <c r="B726" s="27"/>
      <c r="C726" s="27"/>
    </row>
    <row r="727" spans="2:3" ht="13" x14ac:dyDescent="0.15">
      <c r="B727" s="27"/>
      <c r="C727" s="27"/>
    </row>
    <row r="728" spans="2:3" ht="13" x14ac:dyDescent="0.15">
      <c r="B728" s="27"/>
      <c r="C728" s="27"/>
    </row>
    <row r="729" spans="2:3" ht="13" x14ac:dyDescent="0.15">
      <c r="B729" s="27"/>
      <c r="C729" s="27"/>
    </row>
    <row r="730" spans="2:3" ht="13" x14ac:dyDescent="0.15">
      <c r="B730" s="27"/>
      <c r="C730" s="27"/>
    </row>
    <row r="731" spans="2:3" ht="13" x14ac:dyDescent="0.15">
      <c r="B731" s="27"/>
      <c r="C731" s="27"/>
    </row>
    <row r="732" spans="2:3" ht="13" x14ac:dyDescent="0.15">
      <c r="B732" s="27"/>
      <c r="C732" s="27"/>
    </row>
    <row r="733" spans="2:3" ht="13" x14ac:dyDescent="0.15">
      <c r="B733" s="27"/>
      <c r="C733" s="27"/>
    </row>
    <row r="734" spans="2:3" ht="13" x14ac:dyDescent="0.15">
      <c r="B734" s="27"/>
      <c r="C734" s="27"/>
    </row>
    <row r="735" spans="2:3" ht="13" x14ac:dyDescent="0.15">
      <c r="B735" s="27"/>
      <c r="C735" s="27"/>
    </row>
    <row r="736" spans="2:3" ht="13" x14ac:dyDescent="0.15">
      <c r="B736" s="27"/>
      <c r="C736" s="27"/>
    </row>
    <row r="737" spans="2:3" ht="13" x14ac:dyDescent="0.15">
      <c r="B737" s="27"/>
      <c r="C737" s="27"/>
    </row>
    <row r="738" spans="2:3" ht="13" x14ac:dyDescent="0.15">
      <c r="B738" s="27"/>
      <c r="C738" s="27"/>
    </row>
    <row r="739" spans="2:3" ht="13" x14ac:dyDescent="0.15">
      <c r="B739" s="27"/>
      <c r="C739" s="27"/>
    </row>
    <row r="740" spans="2:3" ht="13" x14ac:dyDescent="0.15">
      <c r="B740" s="27"/>
      <c r="C740" s="27"/>
    </row>
    <row r="741" spans="2:3" ht="13" x14ac:dyDescent="0.15">
      <c r="B741" s="27"/>
      <c r="C741" s="27"/>
    </row>
    <row r="742" spans="2:3" ht="13" x14ac:dyDescent="0.15">
      <c r="B742" s="27"/>
      <c r="C742" s="27"/>
    </row>
    <row r="743" spans="2:3" ht="13" x14ac:dyDescent="0.15">
      <c r="B743" s="27"/>
      <c r="C743" s="27"/>
    </row>
    <row r="744" spans="2:3" ht="13" x14ac:dyDescent="0.15">
      <c r="B744" s="27"/>
      <c r="C744" s="27"/>
    </row>
    <row r="745" spans="2:3" ht="13" x14ac:dyDescent="0.15">
      <c r="B745" s="27"/>
      <c r="C745" s="27"/>
    </row>
    <row r="746" spans="2:3" ht="13" x14ac:dyDescent="0.15">
      <c r="B746" s="27"/>
      <c r="C746" s="27"/>
    </row>
    <row r="747" spans="2:3" ht="13" x14ac:dyDescent="0.15">
      <c r="B747" s="27"/>
      <c r="C747" s="27"/>
    </row>
    <row r="748" spans="2:3" ht="13" x14ac:dyDescent="0.15">
      <c r="B748" s="27"/>
      <c r="C748" s="27"/>
    </row>
    <row r="749" spans="2:3" ht="13" x14ac:dyDescent="0.15">
      <c r="B749" s="27"/>
      <c r="C749" s="27"/>
    </row>
    <row r="750" spans="2:3" ht="13" x14ac:dyDescent="0.15">
      <c r="B750" s="27"/>
      <c r="C750" s="27"/>
    </row>
    <row r="751" spans="2:3" ht="13" x14ac:dyDescent="0.15">
      <c r="B751" s="27"/>
      <c r="C751" s="27"/>
    </row>
    <row r="752" spans="2:3" ht="13" x14ac:dyDescent="0.15">
      <c r="B752" s="27"/>
      <c r="C752" s="27"/>
    </row>
    <row r="753" spans="2:3" ht="13" x14ac:dyDescent="0.15">
      <c r="B753" s="27"/>
      <c r="C753" s="27"/>
    </row>
    <row r="754" spans="2:3" ht="13" x14ac:dyDescent="0.15">
      <c r="B754" s="27"/>
      <c r="C754" s="27"/>
    </row>
    <row r="755" spans="2:3" ht="13" x14ac:dyDescent="0.15">
      <c r="B755" s="27"/>
      <c r="C755" s="27"/>
    </row>
    <row r="756" spans="2:3" ht="13" x14ac:dyDescent="0.15">
      <c r="B756" s="27"/>
      <c r="C756" s="27"/>
    </row>
    <row r="757" spans="2:3" ht="13" x14ac:dyDescent="0.15">
      <c r="B757" s="27"/>
      <c r="C757" s="27"/>
    </row>
    <row r="758" spans="2:3" ht="13" x14ac:dyDescent="0.15">
      <c r="B758" s="27"/>
      <c r="C758" s="27"/>
    </row>
    <row r="759" spans="2:3" ht="13" x14ac:dyDescent="0.15">
      <c r="B759" s="27"/>
      <c r="C759" s="27"/>
    </row>
    <row r="760" spans="2:3" ht="13" x14ac:dyDescent="0.15">
      <c r="B760" s="27"/>
      <c r="C760" s="27"/>
    </row>
    <row r="761" spans="2:3" ht="13" x14ac:dyDescent="0.15">
      <c r="B761" s="27"/>
      <c r="C761" s="27"/>
    </row>
    <row r="762" spans="2:3" ht="13" x14ac:dyDescent="0.15">
      <c r="B762" s="27"/>
      <c r="C762" s="27"/>
    </row>
    <row r="763" spans="2:3" ht="13" x14ac:dyDescent="0.15">
      <c r="B763" s="27"/>
      <c r="C763" s="27"/>
    </row>
    <row r="764" spans="2:3" ht="13" x14ac:dyDescent="0.15">
      <c r="B764" s="27"/>
      <c r="C764" s="27"/>
    </row>
    <row r="765" spans="2:3" ht="13" x14ac:dyDescent="0.15">
      <c r="B765" s="27"/>
      <c r="C765" s="27"/>
    </row>
    <row r="766" spans="2:3" ht="13" x14ac:dyDescent="0.15">
      <c r="B766" s="27"/>
      <c r="C766" s="27"/>
    </row>
    <row r="767" spans="2:3" ht="13" x14ac:dyDescent="0.15">
      <c r="B767" s="27"/>
      <c r="C767" s="27"/>
    </row>
    <row r="768" spans="2:3" ht="13" x14ac:dyDescent="0.15">
      <c r="B768" s="27"/>
      <c r="C768" s="27"/>
    </row>
    <row r="769" spans="2:3" ht="13" x14ac:dyDescent="0.15">
      <c r="B769" s="27"/>
      <c r="C769" s="27"/>
    </row>
    <row r="770" spans="2:3" ht="13" x14ac:dyDescent="0.15">
      <c r="B770" s="27"/>
      <c r="C770" s="27"/>
    </row>
    <row r="771" spans="2:3" ht="13" x14ac:dyDescent="0.15">
      <c r="B771" s="27"/>
      <c r="C771" s="27"/>
    </row>
    <row r="772" spans="2:3" ht="13" x14ac:dyDescent="0.15">
      <c r="B772" s="27"/>
      <c r="C772" s="27"/>
    </row>
    <row r="773" spans="2:3" ht="13" x14ac:dyDescent="0.15">
      <c r="B773" s="27"/>
      <c r="C773" s="27"/>
    </row>
    <row r="774" spans="2:3" ht="13" x14ac:dyDescent="0.15">
      <c r="B774" s="27"/>
      <c r="C774" s="27"/>
    </row>
    <row r="775" spans="2:3" ht="13" x14ac:dyDescent="0.15">
      <c r="B775" s="27"/>
      <c r="C775" s="27"/>
    </row>
    <row r="776" spans="2:3" ht="13" x14ac:dyDescent="0.15">
      <c r="B776" s="27"/>
      <c r="C776" s="27"/>
    </row>
    <row r="777" spans="2:3" ht="13" x14ac:dyDescent="0.15">
      <c r="B777" s="27"/>
      <c r="C777" s="27"/>
    </row>
    <row r="778" spans="2:3" ht="13" x14ac:dyDescent="0.15">
      <c r="B778" s="27"/>
      <c r="C778" s="27"/>
    </row>
    <row r="779" spans="2:3" ht="13" x14ac:dyDescent="0.15">
      <c r="B779" s="27"/>
      <c r="C779" s="27"/>
    </row>
    <row r="780" spans="2:3" ht="13" x14ac:dyDescent="0.15">
      <c r="B780" s="27"/>
      <c r="C780" s="27"/>
    </row>
    <row r="781" spans="2:3" ht="13" x14ac:dyDescent="0.15">
      <c r="B781" s="27"/>
      <c r="C781" s="27"/>
    </row>
    <row r="782" spans="2:3" ht="13" x14ac:dyDescent="0.15">
      <c r="B782" s="27"/>
      <c r="C782" s="27"/>
    </row>
    <row r="783" spans="2:3" ht="13" x14ac:dyDescent="0.15">
      <c r="B783" s="27"/>
      <c r="C783" s="27"/>
    </row>
    <row r="784" spans="2:3" ht="13" x14ac:dyDescent="0.15">
      <c r="B784" s="27"/>
      <c r="C784" s="27"/>
    </row>
    <row r="785" spans="2:3" ht="13" x14ac:dyDescent="0.15">
      <c r="B785" s="27"/>
      <c r="C785" s="27"/>
    </row>
    <row r="786" spans="2:3" ht="13" x14ac:dyDescent="0.15">
      <c r="B786" s="27"/>
      <c r="C786" s="27"/>
    </row>
    <row r="787" spans="2:3" ht="13" x14ac:dyDescent="0.15">
      <c r="B787" s="27"/>
      <c r="C787" s="27"/>
    </row>
    <row r="788" spans="2:3" ht="13" x14ac:dyDescent="0.15">
      <c r="B788" s="27"/>
      <c r="C788" s="27"/>
    </row>
    <row r="789" spans="2:3" ht="13" x14ac:dyDescent="0.15">
      <c r="B789" s="27"/>
      <c r="C789" s="27"/>
    </row>
    <row r="790" spans="2:3" ht="13" x14ac:dyDescent="0.15">
      <c r="B790" s="27"/>
      <c r="C790" s="27"/>
    </row>
    <row r="791" spans="2:3" ht="13" x14ac:dyDescent="0.15">
      <c r="B791" s="27"/>
      <c r="C791" s="27"/>
    </row>
    <row r="792" spans="2:3" ht="13" x14ac:dyDescent="0.15">
      <c r="B792" s="27"/>
      <c r="C792" s="27"/>
    </row>
    <row r="793" spans="2:3" ht="13" x14ac:dyDescent="0.15">
      <c r="B793" s="27"/>
      <c r="C793" s="27"/>
    </row>
    <row r="794" spans="2:3" ht="13" x14ac:dyDescent="0.15">
      <c r="B794" s="27"/>
      <c r="C794" s="27"/>
    </row>
    <row r="795" spans="2:3" ht="13" x14ac:dyDescent="0.15">
      <c r="B795" s="27"/>
      <c r="C795" s="27"/>
    </row>
    <row r="796" spans="2:3" ht="13" x14ac:dyDescent="0.15">
      <c r="B796" s="27"/>
      <c r="C796" s="27"/>
    </row>
    <row r="797" spans="2:3" ht="13" x14ac:dyDescent="0.15">
      <c r="B797" s="27"/>
      <c r="C797" s="27"/>
    </row>
    <row r="798" spans="2:3" ht="13" x14ac:dyDescent="0.15">
      <c r="B798" s="27"/>
      <c r="C798" s="27"/>
    </row>
    <row r="799" spans="2:3" ht="13" x14ac:dyDescent="0.15">
      <c r="B799" s="27"/>
      <c r="C799" s="27"/>
    </row>
    <row r="800" spans="2:3" ht="13" x14ac:dyDescent="0.15">
      <c r="B800" s="27"/>
      <c r="C800" s="27"/>
    </row>
    <row r="801" spans="2:3" ht="13" x14ac:dyDescent="0.15">
      <c r="B801" s="27"/>
      <c r="C801" s="27"/>
    </row>
    <row r="802" spans="2:3" ht="13" x14ac:dyDescent="0.15">
      <c r="B802" s="27"/>
      <c r="C802" s="27"/>
    </row>
    <row r="803" spans="2:3" ht="13" x14ac:dyDescent="0.15">
      <c r="B803" s="27"/>
      <c r="C803" s="27"/>
    </row>
    <row r="804" spans="2:3" ht="13" x14ac:dyDescent="0.15">
      <c r="B804" s="27"/>
      <c r="C804" s="27"/>
    </row>
    <row r="805" spans="2:3" ht="13" x14ac:dyDescent="0.15">
      <c r="B805" s="27"/>
      <c r="C805" s="27"/>
    </row>
    <row r="806" spans="2:3" ht="13" x14ac:dyDescent="0.15">
      <c r="B806" s="27"/>
      <c r="C806" s="27"/>
    </row>
    <row r="807" spans="2:3" ht="13" x14ac:dyDescent="0.15">
      <c r="B807" s="27"/>
      <c r="C807" s="27"/>
    </row>
    <row r="808" spans="2:3" ht="13" x14ac:dyDescent="0.15">
      <c r="B808" s="27"/>
      <c r="C808" s="27"/>
    </row>
    <row r="809" spans="2:3" ht="13" x14ac:dyDescent="0.15">
      <c r="B809" s="27"/>
      <c r="C809" s="27"/>
    </row>
    <row r="810" spans="2:3" ht="13" x14ac:dyDescent="0.15">
      <c r="B810" s="27"/>
      <c r="C810" s="27"/>
    </row>
    <row r="811" spans="2:3" ht="13" x14ac:dyDescent="0.15">
      <c r="B811" s="27"/>
      <c r="C811" s="27"/>
    </row>
    <row r="812" spans="2:3" ht="13" x14ac:dyDescent="0.15">
      <c r="B812" s="27"/>
      <c r="C812" s="27"/>
    </row>
    <row r="813" spans="2:3" ht="13" x14ac:dyDescent="0.15">
      <c r="B813" s="27"/>
      <c r="C813" s="27"/>
    </row>
    <row r="814" spans="2:3" ht="13" x14ac:dyDescent="0.15">
      <c r="B814" s="27"/>
      <c r="C814" s="27"/>
    </row>
    <row r="815" spans="2:3" ht="13" x14ac:dyDescent="0.15">
      <c r="B815" s="27"/>
      <c r="C815" s="27"/>
    </row>
    <row r="816" spans="2:3" ht="13" x14ac:dyDescent="0.15">
      <c r="B816" s="27"/>
      <c r="C816" s="27"/>
    </row>
    <row r="817" spans="2:3" ht="13" x14ac:dyDescent="0.15">
      <c r="B817" s="27"/>
      <c r="C817" s="27"/>
    </row>
    <row r="818" spans="2:3" ht="13" x14ac:dyDescent="0.15">
      <c r="B818" s="27"/>
      <c r="C818" s="27"/>
    </row>
    <row r="819" spans="2:3" ht="13" x14ac:dyDescent="0.15">
      <c r="B819" s="27"/>
      <c r="C819" s="27"/>
    </row>
    <row r="820" spans="2:3" ht="13" x14ac:dyDescent="0.15">
      <c r="B820" s="27"/>
      <c r="C820" s="27"/>
    </row>
    <row r="821" spans="2:3" ht="13" x14ac:dyDescent="0.15">
      <c r="B821" s="27"/>
      <c r="C821" s="27"/>
    </row>
    <row r="822" spans="2:3" ht="13" x14ac:dyDescent="0.15">
      <c r="B822" s="27"/>
      <c r="C822" s="27"/>
    </row>
    <row r="823" spans="2:3" ht="13" x14ac:dyDescent="0.15">
      <c r="B823" s="27"/>
      <c r="C823" s="27"/>
    </row>
    <row r="824" spans="2:3" ht="13" x14ac:dyDescent="0.15">
      <c r="B824" s="27"/>
      <c r="C824" s="27"/>
    </row>
    <row r="825" spans="2:3" ht="13" x14ac:dyDescent="0.15">
      <c r="B825" s="27"/>
      <c r="C825" s="27"/>
    </row>
    <row r="826" spans="2:3" ht="13" x14ac:dyDescent="0.15">
      <c r="B826" s="27"/>
      <c r="C826" s="27"/>
    </row>
    <row r="827" spans="2:3" ht="13" x14ac:dyDescent="0.15">
      <c r="B827" s="27"/>
      <c r="C827" s="27"/>
    </row>
    <row r="828" spans="2:3" ht="13" x14ac:dyDescent="0.15">
      <c r="B828" s="27"/>
      <c r="C828" s="27"/>
    </row>
    <row r="829" spans="2:3" ht="13" x14ac:dyDescent="0.15">
      <c r="B829" s="27"/>
      <c r="C829" s="27"/>
    </row>
    <row r="830" spans="2:3" ht="13" x14ac:dyDescent="0.15">
      <c r="B830" s="27"/>
      <c r="C830" s="27"/>
    </row>
    <row r="831" spans="2:3" ht="13" x14ac:dyDescent="0.15">
      <c r="B831" s="27"/>
      <c r="C831" s="27"/>
    </row>
    <row r="832" spans="2:3" ht="13" x14ac:dyDescent="0.15">
      <c r="B832" s="27"/>
      <c r="C832" s="27"/>
    </row>
    <row r="833" spans="2:3" ht="13" x14ac:dyDescent="0.15">
      <c r="B833" s="27"/>
      <c r="C833" s="27"/>
    </row>
    <row r="834" spans="2:3" ht="13" x14ac:dyDescent="0.15">
      <c r="B834" s="27"/>
      <c r="C834" s="27"/>
    </row>
    <row r="835" spans="2:3" ht="13" x14ac:dyDescent="0.15">
      <c r="B835" s="27"/>
      <c r="C835" s="27"/>
    </row>
    <row r="836" spans="2:3" ht="13" x14ac:dyDescent="0.15">
      <c r="B836" s="27"/>
      <c r="C836" s="27"/>
    </row>
    <row r="837" spans="2:3" ht="13" x14ac:dyDescent="0.15">
      <c r="B837" s="27"/>
      <c r="C837" s="27"/>
    </row>
    <row r="838" spans="2:3" ht="13" x14ac:dyDescent="0.15">
      <c r="B838" s="27"/>
      <c r="C838" s="27"/>
    </row>
    <row r="839" spans="2:3" ht="13" x14ac:dyDescent="0.15">
      <c r="B839" s="27"/>
      <c r="C839" s="27"/>
    </row>
    <row r="840" spans="2:3" ht="13" x14ac:dyDescent="0.15">
      <c r="B840" s="27"/>
      <c r="C840" s="27"/>
    </row>
    <row r="841" spans="2:3" ht="13" x14ac:dyDescent="0.15">
      <c r="B841" s="27"/>
      <c r="C841" s="27"/>
    </row>
    <row r="842" spans="2:3" ht="13" x14ac:dyDescent="0.15">
      <c r="B842" s="27"/>
      <c r="C842" s="27"/>
    </row>
    <row r="843" spans="2:3" ht="13" x14ac:dyDescent="0.15">
      <c r="B843" s="27"/>
      <c r="C843" s="27"/>
    </row>
    <row r="844" spans="2:3" ht="13" x14ac:dyDescent="0.15">
      <c r="B844" s="27"/>
      <c r="C844" s="27"/>
    </row>
    <row r="845" spans="2:3" ht="13" x14ac:dyDescent="0.15">
      <c r="B845" s="27"/>
      <c r="C845" s="27"/>
    </row>
    <row r="846" spans="2:3" ht="13" x14ac:dyDescent="0.15">
      <c r="B846" s="27"/>
      <c r="C846" s="27"/>
    </row>
    <row r="847" spans="2:3" ht="13" x14ac:dyDescent="0.15">
      <c r="B847" s="27"/>
      <c r="C847" s="27"/>
    </row>
    <row r="848" spans="2:3" ht="13" x14ac:dyDescent="0.15">
      <c r="B848" s="27"/>
      <c r="C848" s="27"/>
    </row>
    <row r="849" spans="2:3" ht="13" x14ac:dyDescent="0.15">
      <c r="B849" s="27"/>
      <c r="C849" s="27"/>
    </row>
    <row r="850" spans="2:3" ht="13" x14ac:dyDescent="0.15">
      <c r="B850" s="27"/>
      <c r="C850" s="27"/>
    </row>
    <row r="851" spans="2:3" ht="13" x14ac:dyDescent="0.15">
      <c r="B851" s="27"/>
      <c r="C851" s="27"/>
    </row>
    <row r="852" spans="2:3" ht="13" x14ac:dyDescent="0.15">
      <c r="B852" s="27"/>
      <c r="C852" s="27"/>
    </row>
    <row r="853" spans="2:3" ht="13" x14ac:dyDescent="0.15">
      <c r="B853" s="27"/>
      <c r="C853" s="27"/>
    </row>
    <row r="854" spans="2:3" ht="13" x14ac:dyDescent="0.15">
      <c r="B854" s="27"/>
      <c r="C854" s="27"/>
    </row>
    <row r="855" spans="2:3" ht="13" x14ac:dyDescent="0.15">
      <c r="B855" s="27"/>
      <c r="C855" s="27"/>
    </row>
    <row r="856" spans="2:3" ht="13" x14ac:dyDescent="0.15">
      <c r="B856" s="27"/>
      <c r="C856" s="27"/>
    </row>
    <row r="857" spans="2:3" ht="13" x14ac:dyDescent="0.15">
      <c r="B857" s="27"/>
      <c r="C857" s="27"/>
    </row>
    <row r="858" spans="2:3" ht="13" x14ac:dyDescent="0.15">
      <c r="B858" s="27"/>
      <c r="C858" s="27"/>
    </row>
    <row r="859" spans="2:3" ht="13" x14ac:dyDescent="0.15">
      <c r="B859" s="27"/>
      <c r="C859" s="27"/>
    </row>
    <row r="860" spans="2:3" ht="13" x14ac:dyDescent="0.15">
      <c r="B860" s="27"/>
      <c r="C860" s="27"/>
    </row>
    <row r="861" spans="2:3" ht="13" x14ac:dyDescent="0.15">
      <c r="B861" s="27"/>
      <c r="C861" s="27"/>
    </row>
    <row r="862" spans="2:3" ht="13" x14ac:dyDescent="0.15">
      <c r="B862" s="27"/>
      <c r="C862" s="27"/>
    </row>
    <row r="863" spans="2:3" ht="13" x14ac:dyDescent="0.15">
      <c r="B863" s="27"/>
      <c r="C863" s="27"/>
    </row>
    <row r="864" spans="2:3" ht="13" x14ac:dyDescent="0.15">
      <c r="B864" s="27"/>
      <c r="C864" s="27"/>
    </row>
    <row r="865" spans="2:3" ht="13" x14ac:dyDescent="0.15">
      <c r="B865" s="27"/>
      <c r="C865" s="27"/>
    </row>
    <row r="866" spans="2:3" ht="13" x14ac:dyDescent="0.15">
      <c r="B866" s="27"/>
      <c r="C866" s="27"/>
    </row>
    <row r="867" spans="2:3" ht="13" x14ac:dyDescent="0.15">
      <c r="B867" s="27"/>
      <c r="C867" s="27"/>
    </row>
    <row r="868" spans="2:3" ht="13" x14ac:dyDescent="0.15">
      <c r="B868" s="27"/>
      <c r="C868" s="27"/>
    </row>
    <row r="869" spans="2:3" ht="13" x14ac:dyDescent="0.15">
      <c r="B869" s="27"/>
      <c r="C869" s="27"/>
    </row>
    <row r="870" spans="2:3" ht="13" x14ac:dyDescent="0.15">
      <c r="B870" s="27"/>
      <c r="C870" s="27"/>
    </row>
    <row r="871" spans="2:3" ht="13" x14ac:dyDescent="0.15">
      <c r="B871" s="27"/>
      <c r="C871" s="27"/>
    </row>
    <row r="872" spans="2:3" ht="13" x14ac:dyDescent="0.15">
      <c r="B872" s="27"/>
      <c r="C872" s="27"/>
    </row>
    <row r="873" spans="2:3" ht="13" x14ac:dyDescent="0.15">
      <c r="B873" s="27"/>
      <c r="C873" s="27"/>
    </row>
    <row r="874" spans="2:3" ht="13" x14ac:dyDescent="0.15">
      <c r="B874" s="27"/>
      <c r="C874" s="27"/>
    </row>
    <row r="875" spans="2:3" ht="13" x14ac:dyDescent="0.15">
      <c r="B875" s="27"/>
      <c r="C875" s="27"/>
    </row>
    <row r="876" spans="2:3" ht="13" x14ac:dyDescent="0.15">
      <c r="B876" s="27"/>
      <c r="C876" s="27"/>
    </row>
    <row r="877" spans="2:3" ht="13" x14ac:dyDescent="0.15">
      <c r="B877" s="27"/>
      <c r="C877" s="27"/>
    </row>
    <row r="878" spans="2:3" ht="13" x14ac:dyDescent="0.15">
      <c r="B878" s="27"/>
      <c r="C878" s="27"/>
    </row>
    <row r="879" spans="2:3" ht="13" x14ac:dyDescent="0.15">
      <c r="B879" s="27"/>
      <c r="C879" s="27"/>
    </row>
    <row r="880" spans="2:3" ht="13" x14ac:dyDescent="0.15">
      <c r="B880" s="27"/>
      <c r="C880" s="27"/>
    </row>
    <row r="881" spans="2:3" ht="13" x14ac:dyDescent="0.15">
      <c r="B881" s="27"/>
      <c r="C881" s="27"/>
    </row>
    <row r="882" spans="2:3" ht="13" x14ac:dyDescent="0.15">
      <c r="B882" s="27"/>
      <c r="C882" s="27"/>
    </row>
    <row r="883" spans="2:3" ht="13" x14ac:dyDescent="0.15">
      <c r="B883" s="27"/>
      <c r="C883" s="27"/>
    </row>
    <row r="884" spans="2:3" ht="13" x14ac:dyDescent="0.15">
      <c r="B884" s="27"/>
      <c r="C884" s="27"/>
    </row>
    <row r="885" spans="2:3" ht="13" x14ac:dyDescent="0.15">
      <c r="B885" s="27"/>
      <c r="C885" s="27"/>
    </row>
    <row r="886" spans="2:3" ht="13" x14ac:dyDescent="0.15">
      <c r="B886" s="27"/>
      <c r="C886" s="27"/>
    </row>
    <row r="887" spans="2:3" ht="13" x14ac:dyDescent="0.15">
      <c r="B887" s="27"/>
      <c r="C887" s="27"/>
    </row>
    <row r="888" spans="2:3" ht="13" x14ac:dyDescent="0.15">
      <c r="B888" s="27"/>
      <c r="C888" s="27"/>
    </row>
    <row r="889" spans="2:3" ht="13" x14ac:dyDescent="0.15">
      <c r="B889" s="27"/>
      <c r="C889" s="27"/>
    </row>
    <row r="890" spans="2:3" ht="13" x14ac:dyDescent="0.15">
      <c r="B890" s="27"/>
      <c r="C890" s="27"/>
    </row>
    <row r="891" spans="2:3" ht="13" x14ac:dyDescent="0.15">
      <c r="B891" s="27"/>
      <c r="C891" s="27"/>
    </row>
    <row r="892" spans="2:3" ht="13" x14ac:dyDescent="0.15">
      <c r="B892" s="27"/>
      <c r="C892" s="27"/>
    </row>
    <row r="893" spans="2:3" ht="13" x14ac:dyDescent="0.15">
      <c r="B893" s="27"/>
      <c r="C893" s="27"/>
    </row>
    <row r="894" spans="2:3" ht="13" x14ac:dyDescent="0.15">
      <c r="B894" s="27"/>
      <c r="C894" s="27"/>
    </row>
    <row r="895" spans="2:3" ht="13" x14ac:dyDescent="0.15">
      <c r="B895" s="27"/>
      <c r="C895" s="27"/>
    </row>
    <row r="896" spans="2:3" ht="13" x14ac:dyDescent="0.15">
      <c r="B896" s="27"/>
      <c r="C896" s="27"/>
    </row>
    <row r="897" spans="2:3" ht="13" x14ac:dyDescent="0.15">
      <c r="B897" s="27"/>
      <c r="C897" s="27"/>
    </row>
    <row r="898" spans="2:3" ht="13" x14ac:dyDescent="0.15">
      <c r="B898" s="27"/>
      <c r="C898" s="27"/>
    </row>
    <row r="899" spans="2:3" ht="13" x14ac:dyDescent="0.15">
      <c r="B899" s="27"/>
      <c r="C899" s="27"/>
    </row>
    <row r="900" spans="2:3" ht="13" x14ac:dyDescent="0.15">
      <c r="B900" s="27"/>
      <c r="C900" s="27"/>
    </row>
    <row r="901" spans="2:3" ht="13" x14ac:dyDescent="0.15">
      <c r="B901" s="27"/>
      <c r="C901" s="27"/>
    </row>
    <row r="902" spans="2:3" ht="13" x14ac:dyDescent="0.15">
      <c r="B902" s="27"/>
      <c r="C902" s="27"/>
    </row>
    <row r="903" spans="2:3" ht="13" x14ac:dyDescent="0.15">
      <c r="B903" s="27"/>
      <c r="C903" s="27"/>
    </row>
    <row r="904" spans="2:3" ht="13" x14ac:dyDescent="0.15">
      <c r="B904" s="27"/>
      <c r="C904" s="27"/>
    </row>
    <row r="905" spans="2:3" ht="13" x14ac:dyDescent="0.15">
      <c r="B905" s="27"/>
      <c r="C905" s="27"/>
    </row>
    <row r="906" spans="2:3" ht="13" x14ac:dyDescent="0.15">
      <c r="B906" s="27"/>
      <c r="C906" s="27"/>
    </row>
    <row r="907" spans="2:3" ht="13" x14ac:dyDescent="0.15">
      <c r="B907" s="27"/>
      <c r="C907" s="27"/>
    </row>
    <row r="908" spans="2:3" ht="13" x14ac:dyDescent="0.15">
      <c r="B908" s="27"/>
      <c r="C908" s="27"/>
    </row>
    <row r="909" spans="2:3" ht="13" x14ac:dyDescent="0.15">
      <c r="B909" s="27"/>
      <c r="C909" s="27"/>
    </row>
    <row r="910" spans="2:3" ht="13" x14ac:dyDescent="0.15">
      <c r="B910" s="27"/>
      <c r="C910" s="27"/>
    </row>
    <row r="911" spans="2:3" ht="13" x14ac:dyDescent="0.15">
      <c r="B911" s="27"/>
      <c r="C911" s="27"/>
    </row>
    <row r="912" spans="2:3" ht="13" x14ac:dyDescent="0.15">
      <c r="B912" s="27"/>
      <c r="C912" s="27"/>
    </row>
    <row r="913" spans="2:3" ht="13" x14ac:dyDescent="0.15">
      <c r="B913" s="27"/>
      <c r="C913" s="27"/>
    </row>
    <row r="914" spans="2:3" ht="13" x14ac:dyDescent="0.15">
      <c r="B914" s="27"/>
      <c r="C914" s="27"/>
    </row>
    <row r="915" spans="2:3" ht="13" x14ac:dyDescent="0.15">
      <c r="B915" s="27"/>
      <c r="C915" s="27"/>
    </row>
    <row r="916" spans="2:3" ht="13" x14ac:dyDescent="0.15">
      <c r="B916" s="27"/>
      <c r="C916" s="27"/>
    </row>
    <row r="917" spans="2:3" ht="13" x14ac:dyDescent="0.15">
      <c r="B917" s="27"/>
      <c r="C917" s="27"/>
    </row>
    <row r="918" spans="2:3" ht="13" x14ac:dyDescent="0.15">
      <c r="B918" s="27"/>
      <c r="C918" s="27"/>
    </row>
    <row r="919" spans="2:3" ht="13" x14ac:dyDescent="0.15">
      <c r="B919" s="27"/>
      <c r="C919" s="27"/>
    </row>
    <row r="920" spans="2:3" ht="13" x14ac:dyDescent="0.15">
      <c r="B920" s="27"/>
      <c r="C920" s="27"/>
    </row>
    <row r="921" spans="2:3" ht="13" x14ac:dyDescent="0.15">
      <c r="B921" s="27"/>
      <c r="C921" s="27"/>
    </row>
    <row r="922" spans="2:3" ht="13" x14ac:dyDescent="0.15">
      <c r="B922" s="27"/>
      <c r="C922" s="27"/>
    </row>
    <row r="923" spans="2:3" ht="13" x14ac:dyDescent="0.15">
      <c r="B923" s="27"/>
      <c r="C923" s="27"/>
    </row>
    <row r="924" spans="2:3" ht="13" x14ac:dyDescent="0.15">
      <c r="B924" s="27"/>
      <c r="C924" s="27"/>
    </row>
    <row r="925" spans="2:3" ht="13" x14ac:dyDescent="0.15">
      <c r="B925" s="27"/>
      <c r="C925" s="27"/>
    </row>
    <row r="926" spans="2:3" ht="13" x14ac:dyDescent="0.15">
      <c r="B926" s="27"/>
      <c r="C926" s="27"/>
    </row>
    <row r="927" spans="2:3" ht="13" x14ac:dyDescent="0.15">
      <c r="B927" s="27"/>
      <c r="C927" s="27"/>
    </row>
    <row r="928" spans="2:3" ht="13" x14ac:dyDescent="0.15">
      <c r="B928" s="27"/>
      <c r="C928" s="27"/>
    </row>
    <row r="929" spans="2:3" ht="13" x14ac:dyDescent="0.15">
      <c r="B929" s="27"/>
      <c r="C929" s="27"/>
    </row>
    <row r="930" spans="2:3" ht="13" x14ac:dyDescent="0.15">
      <c r="B930" s="27"/>
      <c r="C930" s="27"/>
    </row>
    <row r="931" spans="2:3" ht="13" x14ac:dyDescent="0.15">
      <c r="B931" s="27"/>
      <c r="C931" s="27"/>
    </row>
    <row r="932" spans="2:3" ht="13" x14ac:dyDescent="0.15">
      <c r="B932" s="27"/>
      <c r="C932" s="27"/>
    </row>
    <row r="933" spans="2:3" ht="13" x14ac:dyDescent="0.15">
      <c r="B933" s="27"/>
      <c r="C933" s="27"/>
    </row>
    <row r="934" spans="2:3" ht="13" x14ac:dyDescent="0.15">
      <c r="B934" s="27"/>
      <c r="C934" s="27"/>
    </row>
    <row r="935" spans="2:3" ht="13" x14ac:dyDescent="0.15">
      <c r="B935" s="27"/>
      <c r="C935" s="27"/>
    </row>
    <row r="936" spans="2:3" ht="13" x14ac:dyDescent="0.15">
      <c r="B936" s="27"/>
      <c r="C936" s="27"/>
    </row>
    <row r="937" spans="2:3" ht="13" x14ac:dyDescent="0.15">
      <c r="B937" s="27"/>
      <c r="C937" s="27"/>
    </row>
    <row r="938" spans="2:3" ht="13" x14ac:dyDescent="0.15">
      <c r="B938" s="27"/>
      <c r="C938" s="27"/>
    </row>
    <row r="939" spans="2:3" ht="13" x14ac:dyDescent="0.15">
      <c r="B939" s="27"/>
      <c r="C939" s="27"/>
    </row>
    <row r="940" spans="2:3" ht="13" x14ac:dyDescent="0.15">
      <c r="B940" s="27"/>
      <c r="C940" s="27"/>
    </row>
    <row r="941" spans="2:3" ht="13" x14ac:dyDescent="0.15">
      <c r="B941" s="27"/>
      <c r="C941" s="27"/>
    </row>
    <row r="942" spans="2:3" ht="13" x14ac:dyDescent="0.15">
      <c r="B942" s="27"/>
      <c r="C942" s="27"/>
    </row>
    <row r="943" spans="2:3" ht="13" x14ac:dyDescent="0.15">
      <c r="B943" s="27"/>
      <c r="C943" s="27"/>
    </row>
    <row r="944" spans="2:3" ht="13" x14ac:dyDescent="0.15">
      <c r="B944" s="27"/>
      <c r="C944" s="27"/>
    </row>
    <row r="945" spans="2:3" ht="13" x14ac:dyDescent="0.15">
      <c r="B945" s="27"/>
      <c r="C945" s="27"/>
    </row>
    <row r="946" spans="2:3" ht="13" x14ac:dyDescent="0.15">
      <c r="B946" s="27"/>
      <c r="C946" s="27"/>
    </row>
    <row r="947" spans="2:3" ht="13" x14ac:dyDescent="0.15">
      <c r="B947" s="27"/>
      <c r="C947" s="27"/>
    </row>
    <row r="948" spans="2:3" ht="13" x14ac:dyDescent="0.15">
      <c r="B948" s="27"/>
      <c r="C948" s="27"/>
    </row>
    <row r="949" spans="2:3" ht="13" x14ac:dyDescent="0.15">
      <c r="B949" s="27"/>
      <c r="C949" s="27"/>
    </row>
    <row r="950" spans="2:3" ht="13" x14ac:dyDescent="0.15">
      <c r="B950" s="27"/>
      <c r="C950" s="27"/>
    </row>
    <row r="951" spans="2:3" ht="13" x14ac:dyDescent="0.15">
      <c r="B951" s="27"/>
      <c r="C951" s="27"/>
    </row>
    <row r="952" spans="2:3" ht="13" x14ac:dyDescent="0.15">
      <c r="B952" s="27"/>
      <c r="C952" s="27"/>
    </row>
    <row r="953" spans="2:3" ht="13" x14ac:dyDescent="0.15">
      <c r="B953" s="27"/>
      <c r="C953" s="27"/>
    </row>
    <row r="954" spans="2:3" ht="13" x14ac:dyDescent="0.15">
      <c r="B954" s="27"/>
      <c r="C954" s="27"/>
    </row>
    <row r="955" spans="2:3" ht="13" x14ac:dyDescent="0.15">
      <c r="B955" s="27"/>
      <c r="C955" s="27"/>
    </row>
    <row r="956" spans="2:3" ht="13" x14ac:dyDescent="0.15">
      <c r="B956" s="27"/>
      <c r="C956" s="27"/>
    </row>
    <row r="957" spans="2:3" ht="13" x14ac:dyDescent="0.15">
      <c r="B957" s="27"/>
      <c r="C957" s="27"/>
    </row>
    <row r="958" spans="2:3" ht="13" x14ac:dyDescent="0.15">
      <c r="B958" s="27"/>
      <c r="C958" s="27"/>
    </row>
    <row r="959" spans="2:3" ht="13" x14ac:dyDescent="0.15">
      <c r="B959" s="27"/>
      <c r="C959" s="27"/>
    </row>
    <row r="960" spans="2:3" ht="13" x14ac:dyDescent="0.15">
      <c r="B960" s="27"/>
      <c r="C960" s="27"/>
    </row>
    <row r="961" spans="2:3" ht="13" x14ac:dyDescent="0.15">
      <c r="B961" s="27"/>
      <c r="C961" s="27"/>
    </row>
    <row r="962" spans="2:3" ht="13" x14ac:dyDescent="0.15">
      <c r="B962" s="27"/>
      <c r="C962" s="27"/>
    </row>
    <row r="963" spans="2:3" ht="13" x14ac:dyDescent="0.15">
      <c r="B963" s="27"/>
      <c r="C963" s="27"/>
    </row>
    <row r="964" spans="2:3" ht="13" x14ac:dyDescent="0.15">
      <c r="B964" s="27"/>
      <c r="C964" s="27"/>
    </row>
    <row r="965" spans="2:3" ht="13" x14ac:dyDescent="0.15">
      <c r="B965" s="27"/>
      <c r="C965" s="27"/>
    </row>
    <row r="966" spans="2:3" ht="13" x14ac:dyDescent="0.15">
      <c r="B966" s="27"/>
      <c r="C966" s="27"/>
    </row>
    <row r="967" spans="2:3" ht="13" x14ac:dyDescent="0.15">
      <c r="B967" s="27"/>
      <c r="C967" s="27"/>
    </row>
    <row r="968" spans="2:3" ht="13" x14ac:dyDescent="0.15">
      <c r="B968" s="27"/>
      <c r="C968" s="27"/>
    </row>
    <row r="969" spans="2:3" ht="13" x14ac:dyDescent="0.15">
      <c r="B969" s="27"/>
      <c r="C969" s="27"/>
    </row>
    <row r="970" spans="2:3" ht="13" x14ac:dyDescent="0.15">
      <c r="B970" s="27"/>
      <c r="C970" s="27"/>
    </row>
    <row r="971" spans="2:3" ht="13" x14ac:dyDescent="0.15">
      <c r="B971" s="27"/>
      <c r="C971" s="27"/>
    </row>
    <row r="972" spans="2:3" ht="13" x14ac:dyDescent="0.15">
      <c r="B972" s="27"/>
      <c r="C972" s="27"/>
    </row>
    <row r="973" spans="2:3" ht="13" x14ac:dyDescent="0.15">
      <c r="B973" s="27"/>
      <c r="C973" s="27"/>
    </row>
    <row r="974" spans="2:3" ht="13" x14ac:dyDescent="0.15">
      <c r="B974" s="27"/>
      <c r="C974" s="27"/>
    </row>
    <row r="975" spans="2:3" ht="13" x14ac:dyDescent="0.15">
      <c r="B975" s="27"/>
      <c r="C975" s="27"/>
    </row>
    <row r="976" spans="2:3" ht="13" x14ac:dyDescent="0.15">
      <c r="B976" s="27"/>
      <c r="C976" s="27"/>
    </row>
    <row r="977" spans="2:3" ht="13" x14ac:dyDescent="0.15">
      <c r="B977" s="27"/>
      <c r="C977" s="27"/>
    </row>
    <row r="978" spans="2:3" ht="13" x14ac:dyDescent="0.15">
      <c r="B978" s="27"/>
      <c r="C978" s="27"/>
    </row>
    <row r="979" spans="2:3" ht="13" x14ac:dyDescent="0.15">
      <c r="B979" s="27"/>
      <c r="C979" s="27"/>
    </row>
    <row r="980" spans="2:3" ht="13" x14ac:dyDescent="0.15">
      <c r="B980" s="27"/>
      <c r="C980" s="27"/>
    </row>
    <row r="981" spans="2:3" ht="13" x14ac:dyDescent="0.15">
      <c r="B981" s="27"/>
      <c r="C981" s="27"/>
    </row>
    <row r="982" spans="2:3" ht="13" x14ac:dyDescent="0.15">
      <c r="B982" s="27"/>
      <c r="C982" s="27"/>
    </row>
    <row r="983" spans="2:3" ht="13" x14ac:dyDescent="0.15">
      <c r="B983" s="27"/>
      <c r="C983" s="27"/>
    </row>
    <row r="984" spans="2:3" ht="13" x14ac:dyDescent="0.15">
      <c r="B984" s="27"/>
      <c r="C984" s="27"/>
    </row>
    <row r="985" spans="2:3" ht="13" x14ac:dyDescent="0.15">
      <c r="B985" s="27"/>
      <c r="C985" s="27"/>
    </row>
    <row r="986" spans="2:3" ht="13" x14ac:dyDescent="0.15">
      <c r="B986" s="27"/>
      <c r="C986" s="27"/>
    </row>
    <row r="987" spans="2:3" ht="13" x14ac:dyDescent="0.15">
      <c r="B987" s="27"/>
      <c r="C987" s="27"/>
    </row>
    <row r="988" spans="2:3" ht="13" x14ac:dyDescent="0.15">
      <c r="B988" s="27"/>
      <c r="C988" s="27"/>
    </row>
    <row r="989" spans="2:3" ht="13" x14ac:dyDescent="0.15">
      <c r="B989" s="27"/>
      <c r="C989" s="27"/>
    </row>
    <row r="990" spans="2:3" ht="13" x14ac:dyDescent="0.15">
      <c r="B990" s="27"/>
      <c r="C990" s="27"/>
    </row>
    <row r="991" spans="2:3" ht="13" x14ac:dyDescent="0.15">
      <c r="B991" s="27"/>
      <c r="C991" s="27"/>
    </row>
    <row r="992" spans="2:3" ht="13" x14ac:dyDescent="0.15">
      <c r="B992" s="27"/>
      <c r="C992" s="27"/>
    </row>
    <row r="993" spans="2:3" ht="13" x14ac:dyDescent="0.15">
      <c r="B993" s="27"/>
      <c r="C993" s="27"/>
    </row>
    <row r="994" spans="2:3" ht="13" x14ac:dyDescent="0.15">
      <c r="B994" s="27"/>
      <c r="C994" s="27"/>
    </row>
    <row r="995" spans="2:3" ht="13" x14ac:dyDescent="0.15">
      <c r="B995" s="27"/>
      <c r="C995" s="27"/>
    </row>
    <row r="996" spans="2:3" ht="13" x14ac:dyDescent="0.15">
      <c r="B996" s="27"/>
      <c r="C996" s="27"/>
    </row>
    <row r="997" spans="2:3" ht="13" x14ac:dyDescent="0.15">
      <c r="B997" s="27"/>
      <c r="C997" s="27"/>
    </row>
    <row r="998" spans="2:3" ht="13" x14ac:dyDescent="0.15">
      <c r="B998" s="27"/>
      <c r="C998" s="27"/>
    </row>
    <row r="999" spans="2:3" ht="13" x14ac:dyDescent="0.15">
      <c r="B999" s="27"/>
      <c r="C999" s="27"/>
    </row>
    <row r="1000" spans="2:3" ht="13" x14ac:dyDescent="0.15">
      <c r="B1000" s="27"/>
      <c r="C1000" s="27"/>
    </row>
    <row r="1001" spans="2:3" ht="13" x14ac:dyDescent="0.15">
      <c r="B1001" s="27"/>
      <c r="C1001" s="27"/>
    </row>
    <row r="1002" spans="2:3" ht="13" x14ac:dyDescent="0.15">
      <c r="B1002" s="27"/>
      <c r="C1002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845"/>
  <sheetViews>
    <sheetView topLeftCell="B413" workbookViewId="0">
      <selection activeCell="E439" sqref="E439"/>
    </sheetView>
  </sheetViews>
  <sheetFormatPr baseColWidth="10" defaultColWidth="14.5" defaultRowHeight="15.75" customHeight="1" x14ac:dyDescent="0.15"/>
  <cols>
    <col min="1" max="1" width="12.6640625" customWidth="1"/>
    <col min="2" max="2" width="29.6640625" customWidth="1"/>
    <col min="3" max="3" width="13.5" customWidth="1"/>
    <col min="4" max="4" width="6.83203125" customWidth="1"/>
    <col min="5" max="5" width="21.83203125" customWidth="1"/>
    <col min="6" max="6" width="16.6640625" customWidth="1"/>
    <col min="7" max="7" width="15.83203125" customWidth="1"/>
  </cols>
  <sheetData>
    <row r="1" spans="1:9" ht="13" x14ac:dyDescent="0.15">
      <c r="A1" s="172" t="s">
        <v>771</v>
      </c>
      <c r="B1" s="173"/>
      <c r="C1" s="171"/>
      <c r="G1" s="172" t="s">
        <v>772</v>
      </c>
      <c r="H1" s="171"/>
      <c r="I1" s="28">
        <v>1</v>
      </c>
    </row>
    <row r="2" spans="1:9" ht="15.75" customHeight="1" x14ac:dyDescent="0.15">
      <c r="A2" s="168" t="s">
        <v>773</v>
      </c>
      <c r="B2" s="168" t="s">
        <v>774</v>
      </c>
      <c r="C2" s="168" t="s">
        <v>775</v>
      </c>
      <c r="D2" s="168" t="s">
        <v>719</v>
      </c>
      <c r="E2" s="168" t="s">
        <v>776</v>
      </c>
      <c r="F2" s="168" t="s">
        <v>777</v>
      </c>
      <c r="G2" s="168" t="s">
        <v>778</v>
      </c>
      <c r="H2" s="168" t="s">
        <v>779</v>
      </c>
      <c r="I2" s="168" t="s">
        <v>780</v>
      </c>
    </row>
    <row r="3" spans="1:9" ht="15.75" customHeight="1" x14ac:dyDescent="0.15">
      <c r="A3" s="169"/>
      <c r="B3" s="169"/>
      <c r="C3" s="169"/>
      <c r="D3" s="169"/>
      <c r="E3" s="169"/>
      <c r="F3" s="169"/>
      <c r="G3" s="169"/>
      <c r="H3" s="169"/>
      <c r="I3" s="169"/>
    </row>
    <row r="4" spans="1:9" ht="13" x14ac:dyDescent="0.15">
      <c r="A4" s="10">
        <v>1</v>
      </c>
      <c r="B4" s="25" t="s">
        <v>76</v>
      </c>
      <c r="C4" s="25">
        <v>2</v>
      </c>
      <c r="D4" s="5" t="s">
        <v>350</v>
      </c>
      <c r="E4" s="5">
        <f>'Master Price list'!G207</f>
        <v>0.5</v>
      </c>
      <c r="F4" s="5">
        <f t="shared" ref="F4:F8" si="0">E4*C4</f>
        <v>1</v>
      </c>
      <c r="G4" s="25">
        <v>0</v>
      </c>
      <c r="H4" s="5">
        <f t="shared" ref="H4:H8" si="1">F4/100*G4</f>
        <v>0</v>
      </c>
      <c r="I4" s="5">
        <f t="shared" ref="I4:I8" si="2">H4+F4</f>
        <v>1</v>
      </c>
    </row>
    <row r="5" spans="1:9" ht="13" x14ac:dyDescent="0.15">
      <c r="A5" s="10">
        <v>2</v>
      </c>
      <c r="B5" s="25" t="s">
        <v>781</v>
      </c>
      <c r="C5" s="25">
        <v>0.09</v>
      </c>
      <c r="D5" s="5" t="s">
        <v>183</v>
      </c>
      <c r="E5" s="5">
        <f>'Master Price list'!G36</f>
        <v>22</v>
      </c>
      <c r="F5" s="5">
        <f t="shared" si="0"/>
        <v>1.98</v>
      </c>
      <c r="G5" s="25">
        <v>0</v>
      </c>
      <c r="H5" s="5">
        <f t="shared" si="1"/>
        <v>0</v>
      </c>
      <c r="I5" s="5">
        <f t="shared" si="2"/>
        <v>1.98</v>
      </c>
    </row>
    <row r="6" spans="1:9" ht="13" x14ac:dyDescent="0.15">
      <c r="A6" s="10">
        <v>3</v>
      </c>
      <c r="B6" s="25" t="s">
        <v>782</v>
      </c>
      <c r="C6" s="25">
        <v>1E-3</v>
      </c>
      <c r="D6" s="5" t="s">
        <v>183</v>
      </c>
      <c r="E6" s="5">
        <f>'Master Price list'!G62</f>
        <v>4.4444444444444446</v>
      </c>
      <c r="F6" s="5">
        <f t="shared" si="0"/>
        <v>4.4444444444444444E-3</v>
      </c>
      <c r="G6" s="25">
        <v>0</v>
      </c>
      <c r="H6" s="5">
        <f t="shared" si="1"/>
        <v>0</v>
      </c>
      <c r="I6" s="5">
        <f t="shared" si="2"/>
        <v>4.4444444444444444E-3</v>
      </c>
    </row>
    <row r="7" spans="1:9" ht="13" x14ac:dyDescent="0.15">
      <c r="A7" s="10">
        <v>4</v>
      </c>
      <c r="B7" s="25" t="s">
        <v>287</v>
      </c>
      <c r="C7" s="25">
        <v>1E-3</v>
      </c>
      <c r="D7" s="5" t="s">
        <v>183</v>
      </c>
      <c r="E7" s="5">
        <f>'Master Price list'!G41</f>
        <v>56</v>
      </c>
      <c r="F7" s="5">
        <f t="shared" si="0"/>
        <v>5.6000000000000001E-2</v>
      </c>
      <c r="G7" s="25">
        <v>0</v>
      </c>
      <c r="H7" s="5">
        <f t="shared" si="1"/>
        <v>0</v>
      </c>
      <c r="I7" s="5">
        <f t="shared" si="2"/>
        <v>5.6000000000000001E-2</v>
      </c>
    </row>
    <row r="8" spans="1:9" ht="13" x14ac:dyDescent="0.15">
      <c r="A8" s="10">
        <v>5</v>
      </c>
      <c r="B8" s="25" t="s">
        <v>783</v>
      </c>
      <c r="C8" s="25">
        <v>1.4999999999999999E-2</v>
      </c>
      <c r="D8" s="5" t="s">
        <v>183</v>
      </c>
      <c r="E8" s="5">
        <f>'Master Price list'!G21</f>
        <v>39.200000000000003</v>
      </c>
      <c r="F8" s="5">
        <f t="shared" si="0"/>
        <v>0.58799999999999997</v>
      </c>
      <c r="G8" s="25">
        <v>0</v>
      </c>
      <c r="H8" s="5">
        <f t="shared" si="1"/>
        <v>0</v>
      </c>
      <c r="I8" s="5">
        <f t="shared" si="2"/>
        <v>0.58799999999999997</v>
      </c>
    </row>
    <row r="9" spans="1:9" ht="13" x14ac:dyDescent="0.15">
      <c r="G9" s="170" t="s">
        <v>777</v>
      </c>
      <c r="H9" s="171"/>
      <c r="I9" s="29">
        <f>SUM(I4:I8)</f>
        <v>3.6284444444444444</v>
      </c>
    </row>
    <row r="10" spans="1:9" ht="13" x14ac:dyDescent="0.15">
      <c r="G10" s="170" t="s">
        <v>784</v>
      </c>
      <c r="H10" s="171"/>
      <c r="I10" s="29">
        <f>I9/I1</f>
        <v>3.6284444444444444</v>
      </c>
    </row>
    <row r="13" spans="1:9" ht="13" x14ac:dyDescent="0.15">
      <c r="A13" s="172" t="s">
        <v>722</v>
      </c>
      <c r="B13" s="173"/>
      <c r="C13" s="171"/>
      <c r="G13" s="172" t="s">
        <v>772</v>
      </c>
      <c r="H13" s="171"/>
      <c r="I13" s="28">
        <v>1</v>
      </c>
    </row>
    <row r="14" spans="1:9" ht="15.75" customHeight="1" x14ac:dyDescent="0.15">
      <c r="A14" s="168" t="s">
        <v>773</v>
      </c>
      <c r="B14" s="168" t="s">
        <v>774</v>
      </c>
      <c r="C14" s="168" t="s">
        <v>775</v>
      </c>
      <c r="D14" s="168" t="s">
        <v>719</v>
      </c>
      <c r="E14" s="168" t="s">
        <v>776</v>
      </c>
      <c r="F14" s="168" t="s">
        <v>777</v>
      </c>
      <c r="G14" s="168" t="s">
        <v>778</v>
      </c>
      <c r="H14" s="168" t="s">
        <v>779</v>
      </c>
      <c r="I14" s="168" t="s">
        <v>780</v>
      </c>
    </row>
    <row r="15" spans="1:9" ht="15.75" customHeight="1" x14ac:dyDescent="0.15">
      <c r="A15" s="169"/>
      <c r="B15" s="169"/>
      <c r="C15" s="169"/>
      <c r="D15" s="169"/>
      <c r="E15" s="169"/>
      <c r="F15" s="169"/>
      <c r="G15" s="169"/>
      <c r="H15" s="169"/>
      <c r="I15" s="169"/>
    </row>
    <row r="16" spans="1:9" ht="13" x14ac:dyDescent="0.15">
      <c r="A16" s="10">
        <v>1</v>
      </c>
      <c r="B16" s="25" t="s">
        <v>66</v>
      </c>
      <c r="C16" s="25">
        <v>0.12</v>
      </c>
      <c r="D16" s="5" t="s">
        <v>183</v>
      </c>
      <c r="E16" s="5">
        <f>'Master Price list'!G182</f>
        <v>23.8</v>
      </c>
      <c r="F16" s="5">
        <f t="shared" ref="F16:F21" si="3">E16*C16</f>
        <v>2.8559999999999999</v>
      </c>
      <c r="G16" s="25">
        <v>0</v>
      </c>
      <c r="H16" s="5">
        <f t="shared" ref="H16:H21" si="4">F16/100*G16</f>
        <v>0</v>
      </c>
      <c r="I16" s="5">
        <f t="shared" ref="I16:I21" si="5">H16+F16</f>
        <v>2.8559999999999999</v>
      </c>
    </row>
    <row r="17" spans="1:9" ht="13" x14ac:dyDescent="0.15">
      <c r="A17" s="10">
        <v>2</v>
      </c>
      <c r="B17" s="25" t="s">
        <v>783</v>
      </c>
      <c r="C17" s="25">
        <v>1.4999999999999999E-2</v>
      </c>
      <c r="D17" s="5" t="s">
        <v>183</v>
      </c>
      <c r="E17" s="5">
        <f>'Master Price list'!G21</f>
        <v>39.200000000000003</v>
      </c>
      <c r="F17" s="5">
        <f t="shared" si="3"/>
        <v>0.58799999999999997</v>
      </c>
      <c r="G17" s="25">
        <v>0</v>
      </c>
      <c r="H17" s="5">
        <f t="shared" si="4"/>
        <v>0</v>
      </c>
      <c r="I17" s="5">
        <f t="shared" si="5"/>
        <v>0.58799999999999997</v>
      </c>
    </row>
    <row r="18" spans="1:9" ht="13" x14ac:dyDescent="0.15">
      <c r="A18" s="10">
        <v>3</v>
      </c>
      <c r="B18" s="25" t="s">
        <v>785</v>
      </c>
      <c r="C18" s="25">
        <v>2E-3</v>
      </c>
      <c r="D18" s="5" t="s">
        <v>183</v>
      </c>
      <c r="E18" s="5">
        <f>'Master Price list'!G174</f>
        <v>15</v>
      </c>
      <c r="F18" s="5">
        <f t="shared" si="3"/>
        <v>0.03</v>
      </c>
      <c r="G18" s="25">
        <v>20</v>
      </c>
      <c r="H18" s="5">
        <f t="shared" si="4"/>
        <v>5.9999999999999993E-3</v>
      </c>
      <c r="I18" s="5">
        <f t="shared" si="5"/>
        <v>3.5999999999999997E-2</v>
      </c>
    </row>
    <row r="19" spans="1:9" ht="13" x14ac:dyDescent="0.15">
      <c r="A19" s="10">
        <v>4</v>
      </c>
      <c r="B19" s="25" t="s">
        <v>786</v>
      </c>
      <c r="C19" s="25">
        <v>2E-3</v>
      </c>
      <c r="D19" s="5" t="s">
        <v>183</v>
      </c>
      <c r="E19" s="5">
        <f>'Master Price list'!G191</f>
        <v>15</v>
      </c>
      <c r="F19" s="5">
        <f t="shared" si="3"/>
        <v>0.03</v>
      </c>
      <c r="G19" s="25">
        <v>20</v>
      </c>
      <c r="H19" s="5">
        <f t="shared" si="4"/>
        <v>5.9999999999999993E-3</v>
      </c>
      <c r="I19" s="5">
        <f t="shared" si="5"/>
        <v>3.5999999999999997E-2</v>
      </c>
    </row>
    <row r="20" spans="1:9" ht="13" x14ac:dyDescent="0.15">
      <c r="A20" s="10">
        <v>5</v>
      </c>
      <c r="B20" s="25" t="s">
        <v>782</v>
      </c>
      <c r="C20" s="25">
        <v>1E-3</v>
      </c>
      <c r="D20" s="5" t="s">
        <v>183</v>
      </c>
      <c r="E20" s="5">
        <f>'Master Price list'!G62</f>
        <v>4.4444444444444446</v>
      </c>
      <c r="F20" s="5">
        <f t="shared" si="3"/>
        <v>4.4444444444444444E-3</v>
      </c>
      <c r="G20" s="25">
        <v>0</v>
      </c>
      <c r="H20" s="5">
        <f t="shared" si="4"/>
        <v>0</v>
      </c>
      <c r="I20" s="5">
        <f t="shared" si="5"/>
        <v>4.4444444444444444E-3</v>
      </c>
    </row>
    <row r="21" spans="1:9" ht="13" x14ac:dyDescent="0.15">
      <c r="A21" s="10">
        <v>6</v>
      </c>
      <c r="B21" s="25" t="s">
        <v>787</v>
      </c>
      <c r="C21" s="25">
        <v>1.4999999999999999E-2</v>
      </c>
      <c r="D21" s="5" t="s">
        <v>183</v>
      </c>
      <c r="E21" s="5">
        <f>'Master Price list'!G80</f>
        <v>42</v>
      </c>
      <c r="F21" s="5">
        <f t="shared" si="3"/>
        <v>0.63</v>
      </c>
      <c r="G21" s="25">
        <v>0</v>
      </c>
      <c r="H21" s="5">
        <f t="shared" si="4"/>
        <v>0</v>
      </c>
      <c r="I21" s="5">
        <f t="shared" si="5"/>
        <v>0.63</v>
      </c>
    </row>
    <row r="22" spans="1:9" ht="13" x14ac:dyDescent="0.15">
      <c r="G22" s="170" t="s">
        <v>777</v>
      </c>
      <c r="H22" s="171"/>
      <c r="I22" s="29">
        <f>SUM(I16:I21)</f>
        <v>4.1504444444444442</v>
      </c>
    </row>
    <row r="23" spans="1:9" ht="13" x14ac:dyDescent="0.15">
      <c r="G23" s="170" t="s">
        <v>788</v>
      </c>
      <c r="H23" s="171"/>
      <c r="I23" s="29">
        <f>I22/I13</f>
        <v>4.1504444444444442</v>
      </c>
    </row>
    <row r="26" spans="1:9" ht="13" x14ac:dyDescent="0.15">
      <c r="A26" s="172" t="s">
        <v>723</v>
      </c>
      <c r="B26" s="173"/>
      <c r="C26" s="171"/>
      <c r="G26" s="172" t="s">
        <v>772</v>
      </c>
      <c r="H26" s="171"/>
      <c r="I26" s="28">
        <v>1</v>
      </c>
    </row>
    <row r="27" spans="1:9" ht="13" x14ac:dyDescent="0.15">
      <c r="A27" s="168" t="s">
        <v>773</v>
      </c>
      <c r="B27" s="168" t="s">
        <v>774</v>
      </c>
      <c r="C27" s="168" t="s">
        <v>775</v>
      </c>
      <c r="D27" s="168" t="s">
        <v>719</v>
      </c>
      <c r="E27" s="168" t="s">
        <v>776</v>
      </c>
      <c r="F27" s="168" t="s">
        <v>777</v>
      </c>
      <c r="G27" s="168" t="s">
        <v>778</v>
      </c>
      <c r="H27" s="168" t="s">
        <v>779</v>
      </c>
      <c r="I27" s="168" t="s">
        <v>780</v>
      </c>
    </row>
    <row r="28" spans="1:9" ht="13" x14ac:dyDescent="0.15">
      <c r="A28" s="169"/>
      <c r="B28" s="169"/>
      <c r="C28" s="169"/>
      <c r="D28" s="169"/>
      <c r="E28" s="169"/>
      <c r="F28" s="169"/>
      <c r="G28" s="169"/>
      <c r="H28" s="169"/>
      <c r="I28" s="169"/>
    </row>
    <row r="29" spans="1:9" ht="13" x14ac:dyDescent="0.15">
      <c r="A29" s="10">
        <v>1</v>
      </c>
      <c r="B29" s="25" t="s">
        <v>588</v>
      </c>
      <c r="C29" s="25">
        <v>0.05</v>
      </c>
      <c r="D29" s="5" t="s">
        <v>183</v>
      </c>
      <c r="E29" s="5">
        <f>'Master Price list'!G158</f>
        <v>5.3</v>
      </c>
      <c r="F29" s="5">
        <f t="shared" ref="F29:F37" si="6">E29*C29</f>
        <v>0.26500000000000001</v>
      </c>
      <c r="G29" s="25">
        <v>0</v>
      </c>
      <c r="H29" s="5">
        <f t="shared" ref="H29:H37" si="7">F29/100*G29</f>
        <v>0</v>
      </c>
      <c r="I29" s="5">
        <f t="shared" ref="I29:I37" si="8">H29+F29</f>
        <v>0.26500000000000001</v>
      </c>
    </row>
    <row r="30" spans="1:9" ht="13" x14ac:dyDescent="0.15">
      <c r="A30" s="10">
        <v>2</v>
      </c>
      <c r="B30" s="25" t="s">
        <v>715</v>
      </c>
      <c r="C30" s="25">
        <v>0.05</v>
      </c>
      <c r="D30" s="5" t="s">
        <v>183</v>
      </c>
      <c r="E30" s="5">
        <f>'Master Price list'!G220</f>
        <v>6.3</v>
      </c>
      <c r="F30" s="5">
        <f t="shared" si="6"/>
        <v>0.315</v>
      </c>
      <c r="G30" s="25">
        <v>10</v>
      </c>
      <c r="H30" s="5">
        <f t="shared" si="7"/>
        <v>3.15E-2</v>
      </c>
      <c r="I30" s="5">
        <f t="shared" si="8"/>
        <v>0.34650000000000003</v>
      </c>
    </row>
    <row r="31" spans="1:9" ht="13" x14ac:dyDescent="0.15">
      <c r="A31" s="10">
        <v>3</v>
      </c>
      <c r="B31" s="25" t="s">
        <v>789</v>
      </c>
      <c r="C31" s="25">
        <v>0.05</v>
      </c>
      <c r="D31" s="5" t="s">
        <v>183</v>
      </c>
      <c r="E31" s="5">
        <f>'Master Price list'!G216</f>
        <v>7</v>
      </c>
      <c r="F31" s="5">
        <f t="shared" si="6"/>
        <v>0.35000000000000003</v>
      </c>
      <c r="G31" s="25">
        <v>10</v>
      </c>
      <c r="H31" s="5">
        <f t="shared" si="7"/>
        <v>3.5000000000000003E-2</v>
      </c>
      <c r="I31" s="5">
        <f t="shared" si="8"/>
        <v>0.38500000000000001</v>
      </c>
    </row>
    <row r="32" spans="1:9" ht="13" x14ac:dyDescent="0.15">
      <c r="A32" s="10">
        <v>4</v>
      </c>
      <c r="B32" s="25" t="s">
        <v>790</v>
      </c>
      <c r="C32" s="25">
        <v>0.05</v>
      </c>
      <c r="D32" s="5" t="s">
        <v>183</v>
      </c>
      <c r="E32" s="5">
        <f>'Master Price list'!G221</f>
        <v>3.8</v>
      </c>
      <c r="F32" s="5">
        <f t="shared" si="6"/>
        <v>0.19</v>
      </c>
      <c r="G32" s="25">
        <v>10</v>
      </c>
      <c r="H32" s="5">
        <f t="shared" si="7"/>
        <v>1.9E-2</v>
      </c>
      <c r="I32" s="5">
        <f t="shared" si="8"/>
        <v>0.20899999999999999</v>
      </c>
    </row>
    <row r="33" spans="1:9" ht="13" x14ac:dyDescent="0.15">
      <c r="A33" s="10">
        <v>5</v>
      </c>
      <c r="B33" s="25" t="s">
        <v>718</v>
      </c>
      <c r="C33" s="25">
        <v>8.0000000000000002E-3</v>
      </c>
      <c r="D33" s="5" t="s">
        <v>183</v>
      </c>
      <c r="E33" s="5">
        <f>'Master Price list'!G222</f>
        <v>37.799999999999997</v>
      </c>
      <c r="F33" s="5">
        <f t="shared" si="6"/>
        <v>0.3024</v>
      </c>
      <c r="G33" s="25">
        <v>0</v>
      </c>
      <c r="H33" s="5">
        <f t="shared" si="7"/>
        <v>0</v>
      </c>
      <c r="I33" s="5">
        <f t="shared" si="8"/>
        <v>0.3024</v>
      </c>
    </row>
    <row r="34" spans="1:9" ht="13" x14ac:dyDescent="0.15">
      <c r="A34" s="10">
        <v>6</v>
      </c>
      <c r="B34" s="25" t="s">
        <v>791</v>
      </c>
      <c r="C34" s="25">
        <v>1E-3</v>
      </c>
      <c r="D34" s="5" t="s">
        <v>183</v>
      </c>
      <c r="E34" s="5">
        <f>'Master Price list'!G160</f>
        <v>86</v>
      </c>
      <c r="F34" s="5">
        <f t="shared" si="6"/>
        <v>8.6000000000000007E-2</v>
      </c>
      <c r="G34" s="25">
        <v>0</v>
      </c>
      <c r="H34" s="5">
        <f t="shared" si="7"/>
        <v>0</v>
      </c>
      <c r="I34" s="5">
        <f t="shared" si="8"/>
        <v>8.6000000000000007E-2</v>
      </c>
    </row>
    <row r="35" spans="1:9" ht="13" x14ac:dyDescent="0.15">
      <c r="A35" s="10">
        <v>7</v>
      </c>
      <c r="B35" s="25" t="s">
        <v>792</v>
      </c>
      <c r="C35" s="25">
        <v>1E-3</v>
      </c>
      <c r="D35" s="5" t="s">
        <v>183</v>
      </c>
      <c r="E35" s="5">
        <f>'Master Price list'!G187</f>
        <v>8.8000000000000007</v>
      </c>
      <c r="F35" s="5">
        <f t="shared" si="6"/>
        <v>8.8000000000000005E-3</v>
      </c>
      <c r="G35" s="25">
        <v>0</v>
      </c>
      <c r="H35" s="5">
        <f t="shared" si="7"/>
        <v>0</v>
      </c>
      <c r="I35" s="5">
        <f t="shared" si="8"/>
        <v>8.8000000000000005E-3</v>
      </c>
    </row>
    <row r="36" spans="1:9" ht="13" x14ac:dyDescent="0.15">
      <c r="A36" s="10">
        <v>8</v>
      </c>
      <c r="B36" s="25" t="s">
        <v>270</v>
      </c>
      <c r="C36" s="25">
        <v>0.03</v>
      </c>
      <c r="D36" s="5" t="s">
        <v>183</v>
      </c>
      <c r="E36" s="5">
        <f>'Master Price list'!G35</f>
        <v>29</v>
      </c>
      <c r="F36" s="5">
        <f t="shared" si="6"/>
        <v>0.87</v>
      </c>
      <c r="G36" s="25">
        <v>0</v>
      </c>
      <c r="H36" s="5">
        <f t="shared" si="7"/>
        <v>0</v>
      </c>
      <c r="I36" s="5">
        <f t="shared" si="8"/>
        <v>0.87</v>
      </c>
    </row>
    <row r="37" spans="1:9" ht="13" x14ac:dyDescent="0.15">
      <c r="A37" s="10">
        <v>9</v>
      </c>
      <c r="B37" s="25" t="s">
        <v>556</v>
      </c>
      <c r="C37" s="25">
        <v>0.03</v>
      </c>
      <c r="D37" s="5" t="s">
        <v>183</v>
      </c>
      <c r="E37" s="5">
        <f>'Master Price list'!G146</f>
        <v>15.8</v>
      </c>
      <c r="F37" s="5">
        <f t="shared" si="6"/>
        <v>0.47399999999999998</v>
      </c>
      <c r="G37" s="25">
        <v>0</v>
      </c>
      <c r="H37" s="5">
        <f t="shared" si="7"/>
        <v>0</v>
      </c>
      <c r="I37" s="5">
        <f t="shared" si="8"/>
        <v>0.47399999999999998</v>
      </c>
    </row>
    <row r="38" spans="1:9" ht="13" x14ac:dyDescent="0.15">
      <c r="G38" s="170" t="s">
        <v>777</v>
      </c>
      <c r="H38" s="171"/>
      <c r="I38" s="29">
        <f>SUM(I29:I37)</f>
        <v>2.9466999999999999</v>
      </c>
    </row>
    <row r="39" spans="1:9" ht="13" x14ac:dyDescent="0.15">
      <c r="G39" s="170" t="s">
        <v>788</v>
      </c>
      <c r="H39" s="171"/>
      <c r="I39" s="29">
        <f>I38/I26</f>
        <v>2.9466999999999999</v>
      </c>
    </row>
    <row r="43" spans="1:9" ht="13" x14ac:dyDescent="0.15">
      <c r="A43" s="172" t="s">
        <v>793</v>
      </c>
      <c r="B43" s="173"/>
      <c r="C43" s="171"/>
      <c r="G43" s="172" t="s">
        <v>772</v>
      </c>
      <c r="H43" s="171"/>
      <c r="I43" s="28">
        <v>2</v>
      </c>
    </row>
    <row r="44" spans="1:9" ht="13" x14ac:dyDescent="0.15">
      <c r="A44" s="174" t="s">
        <v>773</v>
      </c>
      <c r="B44" s="174" t="s">
        <v>774</v>
      </c>
      <c r="C44" s="174" t="s">
        <v>775</v>
      </c>
      <c r="D44" s="174" t="s">
        <v>719</v>
      </c>
      <c r="E44" s="174" t="s">
        <v>776</v>
      </c>
      <c r="F44" s="174" t="s">
        <v>777</v>
      </c>
      <c r="G44" s="174" t="s">
        <v>778</v>
      </c>
      <c r="H44" s="174" t="s">
        <v>779</v>
      </c>
      <c r="I44" s="174" t="s">
        <v>780</v>
      </c>
    </row>
    <row r="45" spans="1:9" ht="13" x14ac:dyDescent="0.15">
      <c r="A45" s="169"/>
      <c r="B45" s="169"/>
      <c r="C45" s="169"/>
      <c r="D45" s="169"/>
      <c r="E45" s="169"/>
      <c r="F45" s="169"/>
      <c r="G45" s="169"/>
      <c r="H45" s="169"/>
      <c r="I45" s="169"/>
    </row>
    <row r="46" spans="1:9" ht="13" x14ac:dyDescent="0.15">
      <c r="A46" s="10">
        <v>1</v>
      </c>
      <c r="B46" s="25" t="s">
        <v>588</v>
      </c>
      <c r="C46" s="25">
        <v>0.1</v>
      </c>
      <c r="D46" s="5" t="s">
        <v>183</v>
      </c>
      <c r="E46" s="5">
        <f>'Master Price list'!G158</f>
        <v>5.3</v>
      </c>
      <c r="F46" s="5">
        <f t="shared" ref="F46:F57" si="9">E46*C46</f>
        <v>0.53</v>
      </c>
      <c r="G46" s="25">
        <v>20</v>
      </c>
      <c r="H46" s="5">
        <f t="shared" ref="H46:H57" si="10">F46/100*G46</f>
        <v>0.106</v>
      </c>
      <c r="I46" s="5">
        <f t="shared" ref="I46:I57" si="11">H46+F46</f>
        <v>0.63600000000000001</v>
      </c>
    </row>
    <row r="47" spans="1:9" ht="13" x14ac:dyDescent="0.15">
      <c r="A47" s="10">
        <v>2</v>
      </c>
      <c r="B47" s="25" t="s">
        <v>794</v>
      </c>
      <c r="C47" s="25">
        <v>0.16</v>
      </c>
      <c r="D47" s="5" t="s">
        <v>183</v>
      </c>
      <c r="E47" s="5">
        <f>'Master Price list'!G27</f>
        <v>9</v>
      </c>
      <c r="F47" s="5">
        <f t="shared" si="9"/>
        <v>1.44</v>
      </c>
      <c r="G47" s="25">
        <v>0</v>
      </c>
      <c r="H47" s="5">
        <f t="shared" si="10"/>
        <v>0</v>
      </c>
      <c r="I47" s="5">
        <f t="shared" si="11"/>
        <v>1.44</v>
      </c>
    </row>
    <row r="48" spans="1:9" ht="13" x14ac:dyDescent="0.15">
      <c r="A48" s="10">
        <v>3</v>
      </c>
      <c r="B48" s="25" t="s">
        <v>76</v>
      </c>
      <c r="C48" s="25">
        <v>1</v>
      </c>
      <c r="D48" s="5" t="s">
        <v>350</v>
      </c>
      <c r="E48" s="5">
        <f>'Master Price list'!G207</f>
        <v>0.5</v>
      </c>
      <c r="F48" s="5">
        <f t="shared" si="9"/>
        <v>0.5</v>
      </c>
      <c r="G48" s="25">
        <v>0</v>
      </c>
      <c r="H48" s="5">
        <f t="shared" si="10"/>
        <v>0</v>
      </c>
      <c r="I48" s="5">
        <f t="shared" si="11"/>
        <v>0.5</v>
      </c>
    </row>
    <row r="49" spans="1:9" ht="13" x14ac:dyDescent="0.15">
      <c r="A49" s="10">
        <v>4</v>
      </c>
      <c r="B49" s="25" t="s">
        <v>795</v>
      </c>
      <c r="C49" s="25">
        <v>0.01</v>
      </c>
      <c r="D49" s="5" t="s">
        <v>183</v>
      </c>
      <c r="E49" s="5">
        <f>'Master Price list'!G121</f>
        <v>39.6</v>
      </c>
      <c r="F49" s="5">
        <f t="shared" si="9"/>
        <v>0.39600000000000002</v>
      </c>
      <c r="G49" s="25">
        <v>0</v>
      </c>
      <c r="H49" s="5">
        <f t="shared" si="10"/>
        <v>0</v>
      </c>
      <c r="I49" s="5">
        <f t="shared" si="11"/>
        <v>0.39600000000000002</v>
      </c>
    </row>
    <row r="50" spans="1:9" ht="13" x14ac:dyDescent="0.15">
      <c r="A50" s="10">
        <v>5</v>
      </c>
      <c r="B50" s="25" t="s">
        <v>796</v>
      </c>
      <c r="C50" s="25">
        <v>0.15</v>
      </c>
      <c r="D50" s="5" t="s">
        <v>183</v>
      </c>
      <c r="E50" s="5">
        <f>'Master Price list'!G21</f>
        <v>39.200000000000003</v>
      </c>
      <c r="F50" s="5">
        <f t="shared" si="9"/>
        <v>5.88</v>
      </c>
      <c r="G50" s="25">
        <v>0</v>
      </c>
      <c r="H50" s="5">
        <f t="shared" si="10"/>
        <v>0</v>
      </c>
      <c r="I50" s="5">
        <f t="shared" si="11"/>
        <v>5.88</v>
      </c>
    </row>
    <row r="51" spans="1:9" ht="13" x14ac:dyDescent="0.15">
      <c r="A51" s="10">
        <v>6</v>
      </c>
      <c r="B51" s="25" t="s">
        <v>492</v>
      </c>
      <c r="C51" s="25">
        <v>0.02</v>
      </c>
      <c r="D51" s="5" t="s">
        <v>183</v>
      </c>
      <c r="E51" s="5">
        <f>'Master Price list'!G120</f>
        <v>4.5999999999999996</v>
      </c>
      <c r="F51" s="5">
        <f t="shared" si="9"/>
        <v>9.1999999999999998E-2</v>
      </c>
      <c r="G51" s="25">
        <v>0</v>
      </c>
      <c r="H51" s="5">
        <f t="shared" si="10"/>
        <v>0</v>
      </c>
      <c r="I51" s="5">
        <f t="shared" si="11"/>
        <v>9.1999999999999998E-2</v>
      </c>
    </row>
    <row r="52" spans="1:9" ht="13" x14ac:dyDescent="0.15">
      <c r="A52" s="10">
        <v>7</v>
      </c>
      <c r="B52" s="25" t="s">
        <v>484</v>
      </c>
      <c r="C52" s="25">
        <v>0.13</v>
      </c>
      <c r="D52" s="5" t="s">
        <v>183</v>
      </c>
      <c r="E52" s="5">
        <f>'Master Price list'!G116</f>
        <v>4.51</v>
      </c>
      <c r="F52" s="5">
        <f t="shared" si="9"/>
        <v>0.58630000000000004</v>
      </c>
      <c r="G52" s="25">
        <v>0</v>
      </c>
      <c r="H52" s="5">
        <f t="shared" si="10"/>
        <v>0</v>
      </c>
      <c r="I52" s="5">
        <f t="shared" si="11"/>
        <v>0.58630000000000004</v>
      </c>
    </row>
    <row r="53" spans="1:9" ht="13" x14ac:dyDescent="0.15">
      <c r="A53" s="10">
        <v>8</v>
      </c>
      <c r="B53" s="25" t="s">
        <v>460</v>
      </c>
      <c r="C53" s="25">
        <v>2.5000000000000001E-3</v>
      </c>
      <c r="D53" s="5" t="s">
        <v>183</v>
      </c>
      <c r="E53" s="5">
        <f>'Master Price list'!G106</f>
        <v>5.8</v>
      </c>
      <c r="F53" s="5">
        <f t="shared" si="9"/>
        <v>1.4499999999999999E-2</v>
      </c>
      <c r="G53" s="25">
        <v>0</v>
      </c>
      <c r="H53" s="5">
        <f t="shared" si="10"/>
        <v>0</v>
      </c>
      <c r="I53" s="5">
        <f t="shared" si="11"/>
        <v>1.4499999999999999E-2</v>
      </c>
    </row>
    <row r="54" spans="1:9" ht="13" x14ac:dyDescent="0.15">
      <c r="A54" s="10">
        <v>9</v>
      </c>
      <c r="B54" s="25" t="s">
        <v>457</v>
      </c>
      <c r="C54" s="25">
        <v>5.0000000000000001E-3</v>
      </c>
      <c r="D54" s="5" t="s">
        <v>183</v>
      </c>
      <c r="E54" s="5">
        <f>'Master Price list'!G105</f>
        <v>21.766666666666666</v>
      </c>
      <c r="F54" s="5">
        <f t="shared" si="9"/>
        <v>0.10883333333333334</v>
      </c>
      <c r="G54" s="25">
        <v>0</v>
      </c>
      <c r="H54" s="5">
        <f t="shared" si="10"/>
        <v>0</v>
      </c>
      <c r="I54" s="5">
        <f t="shared" si="11"/>
        <v>0.10883333333333334</v>
      </c>
    </row>
    <row r="55" spans="1:9" ht="13" x14ac:dyDescent="0.15">
      <c r="A55" s="10">
        <v>10</v>
      </c>
      <c r="B55" s="25" t="s">
        <v>326</v>
      </c>
      <c r="C55" s="25">
        <v>2.5000000000000001E-3</v>
      </c>
      <c r="D55" s="5" t="s">
        <v>183</v>
      </c>
      <c r="E55" s="5">
        <f>'Master Price list'!G58</f>
        <v>62</v>
      </c>
      <c r="F55" s="5">
        <f t="shared" si="9"/>
        <v>0.155</v>
      </c>
      <c r="G55" s="25">
        <v>0</v>
      </c>
      <c r="H55" s="5">
        <f t="shared" si="10"/>
        <v>0</v>
      </c>
      <c r="I55" s="5">
        <f t="shared" si="11"/>
        <v>0.155</v>
      </c>
    </row>
    <row r="56" spans="1:9" ht="13" x14ac:dyDescent="0.15">
      <c r="A56" s="10">
        <v>11</v>
      </c>
      <c r="B56" s="25" t="s">
        <v>797</v>
      </c>
      <c r="C56" s="25">
        <v>1E-4</v>
      </c>
      <c r="D56" s="5" t="s">
        <v>183</v>
      </c>
      <c r="E56" s="5">
        <f>'Master Price list'!G47</f>
        <v>35</v>
      </c>
      <c r="F56" s="5">
        <f t="shared" si="9"/>
        <v>3.5000000000000001E-3</v>
      </c>
      <c r="G56" s="25">
        <v>0</v>
      </c>
      <c r="H56" s="5">
        <f t="shared" si="10"/>
        <v>0</v>
      </c>
      <c r="I56" s="5">
        <f t="shared" si="11"/>
        <v>3.5000000000000001E-3</v>
      </c>
    </row>
    <row r="57" spans="1:9" ht="13" x14ac:dyDescent="0.15">
      <c r="A57" s="10">
        <v>12</v>
      </c>
      <c r="B57" s="25" t="s">
        <v>798</v>
      </c>
      <c r="C57" s="25">
        <v>2</v>
      </c>
      <c r="D57" s="5" t="s">
        <v>350</v>
      </c>
      <c r="E57" s="5">
        <f>'Master Price list'!G207</f>
        <v>0.5</v>
      </c>
      <c r="F57" s="5">
        <f t="shared" si="9"/>
        <v>1</v>
      </c>
      <c r="G57" s="25">
        <v>0</v>
      </c>
      <c r="H57" s="5">
        <f t="shared" si="10"/>
        <v>0</v>
      </c>
      <c r="I57" s="5">
        <f t="shared" si="11"/>
        <v>1</v>
      </c>
    </row>
    <row r="58" spans="1:9" ht="13" x14ac:dyDescent="0.15">
      <c r="G58" s="170" t="s">
        <v>777</v>
      </c>
      <c r="H58" s="171"/>
      <c r="I58" s="29">
        <f>SUM(I46:I57)</f>
        <v>10.812133333333334</v>
      </c>
    </row>
    <row r="59" spans="1:9" ht="13" x14ac:dyDescent="0.15">
      <c r="G59" s="170" t="s">
        <v>788</v>
      </c>
      <c r="H59" s="171"/>
      <c r="I59" s="29">
        <f>I58/I43</f>
        <v>5.4060666666666668</v>
      </c>
    </row>
    <row r="62" spans="1:9" ht="13" x14ac:dyDescent="0.15">
      <c r="A62" s="172" t="s">
        <v>725</v>
      </c>
      <c r="B62" s="173"/>
      <c r="C62" s="171"/>
      <c r="G62" s="172" t="s">
        <v>772</v>
      </c>
      <c r="H62" s="171"/>
      <c r="I62" s="28">
        <v>5</v>
      </c>
    </row>
    <row r="63" spans="1:9" ht="13" x14ac:dyDescent="0.15">
      <c r="A63" s="174" t="s">
        <v>773</v>
      </c>
      <c r="B63" s="174" t="s">
        <v>774</v>
      </c>
      <c r="C63" s="174" t="s">
        <v>775</v>
      </c>
      <c r="D63" s="174" t="s">
        <v>719</v>
      </c>
      <c r="E63" s="174" t="s">
        <v>776</v>
      </c>
      <c r="F63" s="174" t="s">
        <v>777</v>
      </c>
      <c r="G63" s="174" t="s">
        <v>778</v>
      </c>
      <c r="H63" s="174" t="s">
        <v>779</v>
      </c>
      <c r="I63" s="174" t="s">
        <v>780</v>
      </c>
    </row>
    <row r="64" spans="1:9" ht="13" x14ac:dyDescent="0.15">
      <c r="A64" s="169"/>
      <c r="B64" s="169"/>
      <c r="C64" s="169"/>
      <c r="D64" s="169"/>
      <c r="E64" s="169"/>
      <c r="F64" s="169"/>
      <c r="G64" s="169"/>
      <c r="H64" s="169"/>
      <c r="I64" s="169"/>
    </row>
    <row r="65" spans="1:9" ht="13" x14ac:dyDescent="0.15">
      <c r="A65" s="10">
        <v>1</v>
      </c>
      <c r="B65" s="25" t="s">
        <v>794</v>
      </c>
      <c r="C65" s="25">
        <v>0.11</v>
      </c>
      <c r="D65" s="5" t="s">
        <v>183</v>
      </c>
      <c r="E65" s="5">
        <f>'Master Price list'!G27</f>
        <v>9</v>
      </c>
      <c r="F65" s="5">
        <f t="shared" ref="F65:F72" si="12">E65*C65</f>
        <v>0.99</v>
      </c>
      <c r="G65" s="25">
        <v>0</v>
      </c>
      <c r="H65" s="5">
        <f t="shared" ref="H65:H72" si="13">F65/100*G65</f>
        <v>0</v>
      </c>
      <c r="I65" s="5">
        <f t="shared" ref="I65:I72" si="14">H65+F65</f>
        <v>0.99</v>
      </c>
    </row>
    <row r="66" spans="1:9" ht="13" x14ac:dyDescent="0.15">
      <c r="A66" s="10">
        <v>2</v>
      </c>
      <c r="B66" s="25" t="s">
        <v>76</v>
      </c>
      <c r="C66" s="25">
        <v>3</v>
      </c>
      <c r="D66" s="5" t="s">
        <v>350</v>
      </c>
      <c r="E66" s="5">
        <f>'Master Price list'!G207</f>
        <v>0.5</v>
      </c>
      <c r="F66" s="5">
        <f t="shared" si="12"/>
        <v>1.5</v>
      </c>
      <c r="G66" s="25">
        <v>0</v>
      </c>
      <c r="H66" s="5">
        <f t="shared" si="13"/>
        <v>0</v>
      </c>
      <c r="I66" s="5">
        <f t="shared" si="14"/>
        <v>1.5</v>
      </c>
    </row>
    <row r="67" spans="1:9" ht="13" x14ac:dyDescent="0.15">
      <c r="A67" s="10">
        <v>3</v>
      </c>
      <c r="B67" s="25" t="s">
        <v>482</v>
      </c>
      <c r="C67" s="25">
        <v>0.06</v>
      </c>
      <c r="D67" s="5" t="s">
        <v>183</v>
      </c>
      <c r="E67" s="5">
        <f>'Master Price list'!G115</f>
        <v>7.2</v>
      </c>
      <c r="F67" s="5">
        <f t="shared" si="12"/>
        <v>0.432</v>
      </c>
      <c r="G67" s="25">
        <v>0</v>
      </c>
      <c r="H67" s="5">
        <f t="shared" si="13"/>
        <v>0</v>
      </c>
      <c r="I67" s="5">
        <f t="shared" si="14"/>
        <v>0.432</v>
      </c>
    </row>
    <row r="68" spans="1:9" ht="13" x14ac:dyDescent="0.15">
      <c r="A68" s="10">
        <v>4</v>
      </c>
      <c r="B68" s="25" t="s">
        <v>799</v>
      </c>
      <c r="C68" s="25">
        <v>5.0000000000000001E-3</v>
      </c>
      <c r="D68" s="5" t="s">
        <v>183</v>
      </c>
      <c r="E68" s="5">
        <f>'Master Price list'!G121</f>
        <v>39.6</v>
      </c>
      <c r="F68" s="5">
        <f t="shared" si="12"/>
        <v>0.19800000000000001</v>
      </c>
      <c r="G68" s="25">
        <v>0</v>
      </c>
      <c r="H68" s="5">
        <f t="shared" si="13"/>
        <v>0</v>
      </c>
      <c r="I68" s="5">
        <f t="shared" si="14"/>
        <v>0.19800000000000001</v>
      </c>
    </row>
    <row r="69" spans="1:9" ht="13" x14ac:dyDescent="0.15">
      <c r="A69" s="10">
        <v>5</v>
      </c>
      <c r="B69" s="25" t="s">
        <v>800</v>
      </c>
      <c r="C69" s="25">
        <v>5.0000000000000001E-3</v>
      </c>
      <c r="D69" s="5" t="s">
        <v>183</v>
      </c>
      <c r="E69" s="5">
        <v>0</v>
      </c>
      <c r="F69" s="5">
        <f t="shared" si="12"/>
        <v>0</v>
      </c>
      <c r="G69" s="25">
        <v>0</v>
      </c>
      <c r="H69" s="5">
        <f t="shared" si="13"/>
        <v>0</v>
      </c>
      <c r="I69" s="5">
        <f t="shared" si="14"/>
        <v>0</v>
      </c>
    </row>
    <row r="70" spans="1:9" ht="13" x14ac:dyDescent="0.15">
      <c r="A70" s="10">
        <v>6</v>
      </c>
      <c r="B70" s="25" t="s">
        <v>797</v>
      </c>
      <c r="C70" s="25">
        <v>2.5000000000000001E-3</v>
      </c>
      <c r="D70" s="5" t="s">
        <v>183</v>
      </c>
      <c r="E70" s="5">
        <f>'Master Price list'!G47</f>
        <v>35</v>
      </c>
      <c r="F70" s="5">
        <f t="shared" si="12"/>
        <v>8.7500000000000008E-2</v>
      </c>
      <c r="G70" s="25">
        <v>0</v>
      </c>
      <c r="H70" s="5">
        <f t="shared" si="13"/>
        <v>0</v>
      </c>
      <c r="I70" s="5">
        <f t="shared" si="14"/>
        <v>8.7500000000000008E-2</v>
      </c>
    </row>
    <row r="71" spans="1:9" ht="13" x14ac:dyDescent="0.15">
      <c r="A71" s="10">
        <v>7</v>
      </c>
      <c r="B71" s="25" t="s">
        <v>801</v>
      </c>
      <c r="C71" s="25">
        <v>2.5000000000000001E-3</v>
      </c>
      <c r="D71" s="5" t="s">
        <v>183</v>
      </c>
      <c r="E71" s="5">
        <f>'Master Price list'!G61</f>
        <v>75</v>
      </c>
      <c r="F71" s="5">
        <f t="shared" si="12"/>
        <v>0.1875</v>
      </c>
      <c r="G71" s="25">
        <v>0</v>
      </c>
      <c r="H71" s="5">
        <f t="shared" si="13"/>
        <v>0</v>
      </c>
      <c r="I71" s="5">
        <f t="shared" si="14"/>
        <v>0.1875</v>
      </c>
    </row>
    <row r="72" spans="1:9" ht="13" x14ac:dyDescent="0.15">
      <c r="A72" s="10">
        <v>8</v>
      </c>
      <c r="B72" s="25" t="s">
        <v>782</v>
      </c>
      <c r="C72" s="25">
        <v>1E-4</v>
      </c>
      <c r="D72" s="5" t="s">
        <v>183</v>
      </c>
      <c r="E72" s="5">
        <f>'Master Price list'!G62</f>
        <v>4.4444444444444446</v>
      </c>
      <c r="F72" s="5">
        <f t="shared" si="12"/>
        <v>4.4444444444444447E-4</v>
      </c>
      <c r="G72" s="25">
        <v>0</v>
      </c>
      <c r="H72" s="5">
        <f t="shared" si="13"/>
        <v>0</v>
      </c>
      <c r="I72" s="5">
        <f t="shared" si="14"/>
        <v>4.4444444444444447E-4</v>
      </c>
    </row>
    <row r="73" spans="1:9" ht="13" x14ac:dyDescent="0.15">
      <c r="G73" s="170" t="s">
        <v>777</v>
      </c>
      <c r="H73" s="171"/>
      <c r="I73" s="29">
        <f>SUM(I65:I72)</f>
        <v>3.3954444444444443</v>
      </c>
    </row>
    <row r="74" spans="1:9" ht="13" x14ac:dyDescent="0.15">
      <c r="G74" s="170" t="s">
        <v>788</v>
      </c>
      <c r="H74" s="171"/>
      <c r="I74" s="29">
        <f>I73/I62</f>
        <v>0.67908888888888885</v>
      </c>
    </row>
    <row r="77" spans="1:9" ht="13" x14ac:dyDescent="0.15">
      <c r="A77" s="172" t="s">
        <v>726</v>
      </c>
      <c r="B77" s="173"/>
      <c r="C77" s="171"/>
      <c r="G77" s="172" t="s">
        <v>772</v>
      </c>
      <c r="H77" s="171"/>
      <c r="I77" s="28">
        <v>3</v>
      </c>
    </row>
    <row r="78" spans="1:9" ht="13" x14ac:dyDescent="0.15">
      <c r="A78" s="174" t="s">
        <v>773</v>
      </c>
      <c r="B78" s="174" t="s">
        <v>774</v>
      </c>
      <c r="C78" s="174" t="s">
        <v>775</v>
      </c>
      <c r="D78" s="174" t="s">
        <v>719</v>
      </c>
      <c r="E78" s="174" t="s">
        <v>776</v>
      </c>
      <c r="F78" s="174" t="s">
        <v>777</v>
      </c>
      <c r="G78" s="174" t="s">
        <v>778</v>
      </c>
      <c r="H78" s="174" t="s">
        <v>779</v>
      </c>
      <c r="I78" s="174" t="s">
        <v>780</v>
      </c>
    </row>
    <row r="79" spans="1:9" ht="13" x14ac:dyDescent="0.15">
      <c r="A79" s="169"/>
      <c r="B79" s="169"/>
      <c r="C79" s="169"/>
      <c r="D79" s="169"/>
      <c r="E79" s="169"/>
      <c r="F79" s="169"/>
      <c r="G79" s="169"/>
      <c r="H79" s="169"/>
      <c r="I79" s="169"/>
    </row>
    <row r="80" spans="1:9" ht="13" x14ac:dyDescent="0.15">
      <c r="A80" s="10">
        <v>1</v>
      </c>
      <c r="B80" s="25" t="s">
        <v>76</v>
      </c>
      <c r="C80" s="25">
        <v>2</v>
      </c>
      <c r="D80" s="5" t="s">
        <v>350</v>
      </c>
      <c r="E80" s="5">
        <f>E66</f>
        <v>0.5</v>
      </c>
      <c r="F80" s="5">
        <f t="shared" ref="F80:F87" si="15">E80*C80</f>
        <v>1</v>
      </c>
      <c r="G80" s="25">
        <v>0</v>
      </c>
      <c r="H80" s="5">
        <f t="shared" ref="H80:H87" si="16">F80/100*G80</f>
        <v>0</v>
      </c>
      <c r="I80" s="5">
        <f t="shared" ref="I80:I87" si="17">H80+F80</f>
        <v>1</v>
      </c>
    </row>
    <row r="81" spans="1:9" ht="13" x14ac:dyDescent="0.15">
      <c r="A81" s="10">
        <v>2</v>
      </c>
      <c r="B81" s="25" t="s">
        <v>484</v>
      </c>
      <c r="C81" s="25">
        <v>0.24</v>
      </c>
      <c r="D81" s="5" t="s">
        <v>183</v>
      </c>
      <c r="E81" s="5">
        <f>'Master Price list'!G116</f>
        <v>4.51</v>
      </c>
      <c r="F81" s="5">
        <f t="shared" si="15"/>
        <v>1.0823999999999998</v>
      </c>
      <c r="G81" s="25">
        <v>0</v>
      </c>
      <c r="H81" s="5">
        <f t="shared" si="16"/>
        <v>0</v>
      </c>
      <c r="I81" s="5">
        <f t="shared" si="17"/>
        <v>1.0823999999999998</v>
      </c>
    </row>
    <row r="82" spans="1:9" ht="13" x14ac:dyDescent="0.15">
      <c r="A82" s="10">
        <v>3</v>
      </c>
      <c r="B82" s="25" t="s">
        <v>797</v>
      </c>
      <c r="C82" s="25">
        <v>5.0000000000000001E-3</v>
      </c>
      <c r="D82" s="5" t="s">
        <v>183</v>
      </c>
      <c r="E82" s="5">
        <f>E70</f>
        <v>35</v>
      </c>
      <c r="F82" s="5">
        <f t="shared" si="15"/>
        <v>0.17500000000000002</v>
      </c>
      <c r="G82" s="25">
        <v>0</v>
      </c>
      <c r="H82" s="5">
        <f t="shared" si="16"/>
        <v>0</v>
      </c>
      <c r="I82" s="5">
        <f t="shared" si="17"/>
        <v>0.17500000000000002</v>
      </c>
    </row>
    <row r="83" spans="1:9" ht="13" x14ac:dyDescent="0.15">
      <c r="A83" s="10">
        <v>4</v>
      </c>
      <c r="B83" s="25" t="s">
        <v>457</v>
      </c>
      <c r="C83" s="25">
        <v>5.0000000000000001E-3</v>
      </c>
      <c r="D83" s="5" t="s">
        <v>183</v>
      </c>
      <c r="E83" s="5">
        <f>'Master Price list'!G105</f>
        <v>21.766666666666666</v>
      </c>
      <c r="F83" s="5">
        <f t="shared" si="15"/>
        <v>0.10883333333333334</v>
      </c>
      <c r="G83" s="25">
        <v>0</v>
      </c>
      <c r="H83" s="5">
        <f t="shared" si="16"/>
        <v>0</v>
      </c>
      <c r="I83" s="5">
        <f t="shared" si="17"/>
        <v>0.10883333333333334</v>
      </c>
    </row>
    <row r="84" spans="1:9" ht="13" x14ac:dyDescent="0.15">
      <c r="A84" s="10">
        <v>5</v>
      </c>
      <c r="B84" s="25" t="s">
        <v>482</v>
      </c>
      <c r="C84" s="25">
        <v>0.03</v>
      </c>
      <c r="D84" s="5" t="s">
        <v>183</v>
      </c>
      <c r="E84" s="5">
        <f>'Master Price list'!G115</f>
        <v>7.2</v>
      </c>
      <c r="F84" s="5">
        <f t="shared" si="15"/>
        <v>0.216</v>
      </c>
      <c r="G84" s="25">
        <v>0</v>
      </c>
      <c r="H84" s="5">
        <f t="shared" si="16"/>
        <v>0</v>
      </c>
      <c r="I84" s="5">
        <f t="shared" si="17"/>
        <v>0.216</v>
      </c>
    </row>
    <row r="85" spans="1:9" ht="13" x14ac:dyDescent="0.15">
      <c r="A85" s="10">
        <v>6</v>
      </c>
      <c r="B85" s="25" t="s">
        <v>794</v>
      </c>
      <c r="C85" s="25">
        <v>0.36</v>
      </c>
      <c r="D85" s="5" t="s">
        <v>183</v>
      </c>
      <c r="E85" s="5">
        <f>E65</f>
        <v>9</v>
      </c>
      <c r="F85" s="5">
        <f t="shared" si="15"/>
        <v>3.2399999999999998</v>
      </c>
      <c r="G85" s="25">
        <v>0</v>
      </c>
      <c r="H85" s="5">
        <f t="shared" si="16"/>
        <v>0</v>
      </c>
      <c r="I85" s="5">
        <f t="shared" si="17"/>
        <v>3.2399999999999998</v>
      </c>
    </row>
    <row r="86" spans="1:9" ht="13" x14ac:dyDescent="0.15">
      <c r="A86" s="10">
        <v>7</v>
      </c>
      <c r="B86" s="25" t="s">
        <v>802</v>
      </c>
      <c r="C86" s="25">
        <v>1.4999999999999999E-2</v>
      </c>
      <c r="D86" s="5" t="s">
        <v>183</v>
      </c>
      <c r="E86" s="5">
        <v>0</v>
      </c>
      <c r="F86" s="5">
        <f t="shared" si="15"/>
        <v>0</v>
      </c>
      <c r="G86" s="25">
        <v>0</v>
      </c>
      <c r="H86" s="5">
        <f t="shared" si="16"/>
        <v>0</v>
      </c>
      <c r="I86" s="5">
        <f t="shared" si="17"/>
        <v>0</v>
      </c>
    </row>
    <row r="87" spans="1:9" ht="13" x14ac:dyDescent="0.15">
      <c r="A87" s="10">
        <v>8</v>
      </c>
      <c r="B87" s="25" t="s">
        <v>796</v>
      </c>
      <c r="C87" s="25">
        <v>0.03</v>
      </c>
      <c r="D87" s="5" t="s">
        <v>183</v>
      </c>
      <c r="E87" s="5">
        <f>'Master Price list'!G21</f>
        <v>39.200000000000003</v>
      </c>
      <c r="F87" s="5">
        <f t="shared" si="15"/>
        <v>1.1759999999999999</v>
      </c>
      <c r="G87" s="25">
        <v>0</v>
      </c>
      <c r="H87" s="5">
        <f t="shared" si="16"/>
        <v>0</v>
      </c>
      <c r="I87" s="5">
        <f t="shared" si="17"/>
        <v>1.1759999999999999</v>
      </c>
    </row>
    <row r="88" spans="1:9" ht="13" x14ac:dyDescent="0.15">
      <c r="G88" s="170" t="s">
        <v>777</v>
      </c>
      <c r="H88" s="171"/>
      <c r="I88" s="29">
        <f>SUM(I80:I87)</f>
        <v>6.9982333333333333</v>
      </c>
    </row>
    <row r="89" spans="1:9" ht="13" x14ac:dyDescent="0.15">
      <c r="G89" s="170" t="s">
        <v>788</v>
      </c>
      <c r="H89" s="171"/>
      <c r="I89" s="29">
        <f>I88/I77</f>
        <v>2.3327444444444443</v>
      </c>
    </row>
    <row r="92" spans="1:9" ht="13" x14ac:dyDescent="0.15">
      <c r="A92" s="172" t="s">
        <v>727</v>
      </c>
      <c r="B92" s="173"/>
      <c r="C92" s="171"/>
      <c r="G92" s="172" t="s">
        <v>772</v>
      </c>
      <c r="H92" s="171"/>
      <c r="I92" s="28">
        <v>3</v>
      </c>
    </row>
    <row r="93" spans="1:9" ht="13" x14ac:dyDescent="0.15">
      <c r="A93" s="174" t="s">
        <v>773</v>
      </c>
      <c r="B93" s="174" t="s">
        <v>774</v>
      </c>
      <c r="C93" s="174" t="s">
        <v>775</v>
      </c>
      <c r="D93" s="174" t="s">
        <v>719</v>
      </c>
      <c r="E93" s="174" t="s">
        <v>776</v>
      </c>
      <c r="F93" s="174" t="s">
        <v>777</v>
      </c>
      <c r="G93" s="174" t="s">
        <v>778</v>
      </c>
      <c r="H93" s="174" t="s">
        <v>779</v>
      </c>
      <c r="I93" s="174" t="s">
        <v>780</v>
      </c>
    </row>
    <row r="94" spans="1:9" ht="13" x14ac:dyDescent="0.15">
      <c r="A94" s="169"/>
      <c r="B94" s="169"/>
      <c r="C94" s="169"/>
      <c r="D94" s="169"/>
      <c r="E94" s="169"/>
      <c r="F94" s="169"/>
      <c r="G94" s="169"/>
      <c r="H94" s="169"/>
      <c r="I94" s="169"/>
    </row>
    <row r="95" spans="1:9" ht="13" x14ac:dyDescent="0.15">
      <c r="A95" s="10">
        <v>1</v>
      </c>
      <c r="B95" s="25" t="s">
        <v>803</v>
      </c>
      <c r="C95" s="25">
        <v>3</v>
      </c>
      <c r="D95" s="5" t="s">
        <v>350</v>
      </c>
      <c r="E95" s="5">
        <f>E80</f>
        <v>0.5</v>
      </c>
      <c r="F95" s="5">
        <f t="shared" ref="F95:F100" si="18">E95*C95</f>
        <v>1.5</v>
      </c>
      <c r="G95" s="25">
        <v>0</v>
      </c>
      <c r="H95" s="5">
        <f t="shared" ref="H95:H100" si="19">F95/100*G95</f>
        <v>0</v>
      </c>
      <c r="I95" s="5">
        <f t="shared" ref="I95:I100" si="20">H95+F95</f>
        <v>1.5</v>
      </c>
    </row>
    <row r="96" spans="1:9" ht="13" x14ac:dyDescent="0.15">
      <c r="A96" s="10">
        <v>2</v>
      </c>
      <c r="B96" s="25" t="s">
        <v>794</v>
      </c>
      <c r="C96" s="25">
        <v>0.25</v>
      </c>
      <c r="D96" s="5" t="s">
        <v>183</v>
      </c>
      <c r="E96" s="5">
        <f>E85</f>
        <v>9</v>
      </c>
      <c r="F96" s="5">
        <f t="shared" si="18"/>
        <v>2.25</v>
      </c>
      <c r="G96" s="25">
        <v>0</v>
      </c>
      <c r="H96" s="5">
        <f t="shared" si="19"/>
        <v>0</v>
      </c>
      <c r="I96" s="5">
        <f t="shared" si="20"/>
        <v>2.25</v>
      </c>
    </row>
    <row r="97" spans="1:9" ht="13" x14ac:dyDescent="0.15">
      <c r="A97" s="10">
        <v>3</v>
      </c>
      <c r="B97" s="25" t="s">
        <v>796</v>
      </c>
      <c r="C97" s="25">
        <v>0.06</v>
      </c>
      <c r="D97" s="5" t="s">
        <v>183</v>
      </c>
      <c r="E97" s="5">
        <f>E87</f>
        <v>39.200000000000003</v>
      </c>
      <c r="F97" s="5">
        <f t="shared" si="18"/>
        <v>2.3519999999999999</v>
      </c>
      <c r="G97" s="25">
        <v>0</v>
      </c>
      <c r="H97" s="5">
        <f t="shared" si="19"/>
        <v>0</v>
      </c>
      <c r="I97" s="5">
        <f t="shared" si="20"/>
        <v>2.3519999999999999</v>
      </c>
    </row>
    <row r="98" spans="1:9" ht="13" x14ac:dyDescent="0.15">
      <c r="A98" s="10">
        <v>4</v>
      </c>
      <c r="B98" s="25" t="s">
        <v>454</v>
      </c>
      <c r="C98" s="25">
        <v>7.4999999999999997E-2</v>
      </c>
      <c r="D98" s="5" t="s">
        <v>183</v>
      </c>
      <c r="E98" s="5">
        <f>'Master Price list'!G104</f>
        <v>2.1764705882352939</v>
      </c>
      <c r="F98" s="5">
        <f t="shared" si="18"/>
        <v>0.16323529411764703</v>
      </c>
      <c r="G98" s="25">
        <v>0</v>
      </c>
      <c r="H98" s="5">
        <f t="shared" si="19"/>
        <v>0</v>
      </c>
      <c r="I98" s="5">
        <f t="shared" si="20"/>
        <v>0.16323529411764703</v>
      </c>
    </row>
    <row r="99" spans="1:9" ht="13" x14ac:dyDescent="0.15">
      <c r="A99" s="10">
        <v>5</v>
      </c>
      <c r="B99" s="25" t="s">
        <v>804</v>
      </c>
      <c r="C99" s="25">
        <v>5.0000000000000001E-3</v>
      </c>
      <c r="D99" s="5" t="s">
        <v>183</v>
      </c>
      <c r="E99" s="5">
        <f>'Master Price list'!G121</f>
        <v>39.6</v>
      </c>
      <c r="F99" s="5">
        <f t="shared" si="18"/>
        <v>0.19800000000000001</v>
      </c>
      <c r="G99" s="25">
        <v>0</v>
      </c>
      <c r="H99" s="5">
        <f t="shared" si="19"/>
        <v>0</v>
      </c>
      <c r="I99" s="5">
        <f t="shared" si="20"/>
        <v>0.19800000000000001</v>
      </c>
    </row>
    <row r="100" spans="1:9" ht="13" x14ac:dyDescent="0.15">
      <c r="A100" s="10">
        <v>6</v>
      </c>
      <c r="B100" s="25" t="s">
        <v>782</v>
      </c>
      <c r="C100" s="25">
        <v>1E-4</v>
      </c>
      <c r="D100" s="5" t="s">
        <v>183</v>
      </c>
      <c r="E100" s="5">
        <f>E72</f>
        <v>4.4444444444444446</v>
      </c>
      <c r="F100" s="5">
        <f t="shared" si="18"/>
        <v>4.4444444444444447E-4</v>
      </c>
      <c r="G100" s="25">
        <v>0</v>
      </c>
      <c r="H100" s="5">
        <f t="shared" si="19"/>
        <v>0</v>
      </c>
      <c r="I100" s="5">
        <f t="shared" si="20"/>
        <v>4.4444444444444447E-4</v>
      </c>
    </row>
    <row r="101" spans="1:9" ht="13" x14ac:dyDescent="0.15">
      <c r="G101" s="170" t="s">
        <v>777</v>
      </c>
      <c r="H101" s="171"/>
      <c r="I101" s="29">
        <f>SUM(I95:I100)</f>
        <v>6.4636797385620923</v>
      </c>
    </row>
    <row r="102" spans="1:9" ht="13" x14ac:dyDescent="0.15">
      <c r="G102" s="170" t="s">
        <v>788</v>
      </c>
      <c r="H102" s="171"/>
      <c r="I102" s="29">
        <f>I101/I92</f>
        <v>2.1545599128540309</v>
      </c>
    </row>
    <row r="105" spans="1:9" ht="13" x14ac:dyDescent="0.15">
      <c r="A105" s="172" t="s">
        <v>728</v>
      </c>
      <c r="B105" s="173"/>
      <c r="C105" s="171"/>
      <c r="G105" s="172" t="s">
        <v>772</v>
      </c>
      <c r="H105" s="171"/>
      <c r="I105" s="28">
        <v>5</v>
      </c>
    </row>
    <row r="106" spans="1:9" ht="13" x14ac:dyDescent="0.15">
      <c r="A106" s="174" t="s">
        <v>773</v>
      </c>
      <c r="B106" s="174" t="s">
        <v>774</v>
      </c>
      <c r="C106" s="174" t="s">
        <v>775</v>
      </c>
      <c r="D106" s="174" t="s">
        <v>719</v>
      </c>
      <c r="E106" s="174" t="s">
        <v>776</v>
      </c>
      <c r="F106" s="174" t="s">
        <v>777</v>
      </c>
      <c r="G106" s="174" t="s">
        <v>778</v>
      </c>
      <c r="H106" s="174" t="s">
        <v>779</v>
      </c>
      <c r="I106" s="174" t="s">
        <v>780</v>
      </c>
    </row>
    <row r="107" spans="1:9" ht="13" x14ac:dyDescent="0.15">
      <c r="A107" s="169"/>
      <c r="B107" s="169"/>
      <c r="C107" s="169"/>
      <c r="D107" s="169"/>
      <c r="E107" s="169"/>
      <c r="F107" s="169"/>
      <c r="G107" s="169"/>
      <c r="H107" s="169"/>
      <c r="I107" s="169"/>
    </row>
    <row r="108" spans="1:9" ht="13" x14ac:dyDescent="0.15">
      <c r="A108" s="10">
        <v>1</v>
      </c>
      <c r="B108" s="25" t="s">
        <v>484</v>
      </c>
      <c r="C108" s="25">
        <v>0.18</v>
      </c>
      <c r="D108" s="5" t="s">
        <v>183</v>
      </c>
      <c r="E108" s="5">
        <f>E81</f>
        <v>4.51</v>
      </c>
      <c r="F108" s="5">
        <f t="shared" ref="F108:F113" si="21">E108*C108</f>
        <v>0.81179999999999997</v>
      </c>
      <c r="G108" s="25">
        <v>0</v>
      </c>
      <c r="H108" s="5">
        <f t="shared" ref="H108:H113" si="22">F108/100*G108</f>
        <v>0</v>
      </c>
      <c r="I108" s="5">
        <f t="shared" ref="I108:I113" si="23">H108+F108</f>
        <v>0.81179999999999997</v>
      </c>
    </row>
    <row r="109" spans="1:9" ht="13" x14ac:dyDescent="0.15">
      <c r="A109" s="10">
        <v>2</v>
      </c>
      <c r="B109" s="25" t="s">
        <v>457</v>
      </c>
      <c r="C109" s="25">
        <v>0.01</v>
      </c>
      <c r="D109" s="5" t="s">
        <v>183</v>
      </c>
      <c r="E109" s="5">
        <f>E83</f>
        <v>21.766666666666666</v>
      </c>
      <c r="F109" s="5">
        <f t="shared" si="21"/>
        <v>0.21766666666666667</v>
      </c>
      <c r="G109" s="25">
        <v>0</v>
      </c>
      <c r="H109" s="5">
        <f t="shared" si="22"/>
        <v>0</v>
      </c>
      <c r="I109" s="5">
        <f t="shared" si="23"/>
        <v>0.21766666666666667</v>
      </c>
    </row>
    <row r="110" spans="1:9" ht="13" x14ac:dyDescent="0.15">
      <c r="A110" s="10">
        <v>3</v>
      </c>
      <c r="B110" s="25" t="s">
        <v>805</v>
      </c>
      <c r="C110" s="25">
        <v>1</v>
      </c>
      <c r="D110" s="5" t="s">
        <v>472</v>
      </c>
      <c r="E110" s="5">
        <v>8.2899999999999991</v>
      </c>
      <c r="F110" s="5">
        <f t="shared" si="21"/>
        <v>8.2899999999999991</v>
      </c>
      <c r="G110" s="25">
        <v>0</v>
      </c>
      <c r="H110" s="5">
        <f t="shared" si="22"/>
        <v>0</v>
      </c>
      <c r="I110" s="5">
        <f t="shared" si="23"/>
        <v>8.2899999999999991</v>
      </c>
    </row>
    <row r="111" spans="1:9" ht="13" x14ac:dyDescent="0.15">
      <c r="A111" s="10">
        <v>4</v>
      </c>
      <c r="B111" s="25" t="s">
        <v>806</v>
      </c>
      <c r="C111" s="25">
        <v>0.01</v>
      </c>
      <c r="D111" s="5" t="s">
        <v>183</v>
      </c>
      <c r="E111" s="5">
        <f>'Master Price list'!G57</f>
        <v>70</v>
      </c>
      <c r="F111" s="5">
        <f t="shared" si="21"/>
        <v>0.70000000000000007</v>
      </c>
      <c r="G111" s="25">
        <v>0</v>
      </c>
      <c r="H111" s="5">
        <f t="shared" si="22"/>
        <v>0</v>
      </c>
      <c r="I111" s="5">
        <f t="shared" si="23"/>
        <v>0.70000000000000007</v>
      </c>
    </row>
    <row r="112" spans="1:9" ht="13" x14ac:dyDescent="0.15">
      <c r="A112" s="10">
        <v>5</v>
      </c>
      <c r="B112" s="25" t="s">
        <v>807</v>
      </c>
      <c r="C112" s="25">
        <v>5.0000000000000001E-3</v>
      </c>
      <c r="D112" s="5" t="s">
        <v>183</v>
      </c>
      <c r="E112" s="5">
        <f>'Master Price list'!G41</f>
        <v>56</v>
      </c>
      <c r="F112" s="5">
        <f t="shared" si="21"/>
        <v>0.28000000000000003</v>
      </c>
      <c r="G112" s="25">
        <v>0</v>
      </c>
      <c r="H112" s="5">
        <f t="shared" si="22"/>
        <v>0</v>
      </c>
      <c r="I112" s="5">
        <f t="shared" si="23"/>
        <v>0.28000000000000003</v>
      </c>
    </row>
    <row r="113" spans="1:9" ht="13" x14ac:dyDescent="0.15">
      <c r="A113" s="10">
        <v>6</v>
      </c>
      <c r="B113" s="25" t="s">
        <v>782</v>
      </c>
      <c r="C113" s="25">
        <v>5.0000000000000001E-3</v>
      </c>
      <c r="D113" s="5" t="s">
        <v>183</v>
      </c>
      <c r="E113" s="5">
        <f>E100</f>
        <v>4.4444444444444446</v>
      </c>
      <c r="F113" s="5">
        <f t="shared" si="21"/>
        <v>2.2222222222222223E-2</v>
      </c>
      <c r="G113" s="25">
        <v>0</v>
      </c>
      <c r="H113" s="5">
        <f t="shared" si="22"/>
        <v>0</v>
      </c>
      <c r="I113" s="5">
        <f t="shared" si="23"/>
        <v>2.2222222222222223E-2</v>
      </c>
    </row>
    <row r="114" spans="1:9" ht="13" x14ac:dyDescent="0.15">
      <c r="G114" s="170" t="s">
        <v>777</v>
      </c>
      <c r="H114" s="171"/>
      <c r="I114" s="29">
        <f>SUM(I108:I113)</f>
        <v>10.321688888888886</v>
      </c>
    </row>
    <row r="115" spans="1:9" ht="13" x14ac:dyDescent="0.15">
      <c r="G115" s="170" t="s">
        <v>788</v>
      </c>
      <c r="H115" s="171"/>
      <c r="I115" s="29">
        <f>I114/I105</f>
        <v>2.0643377777777774</v>
      </c>
    </row>
    <row r="118" spans="1:9" ht="13" x14ac:dyDescent="0.15">
      <c r="A118" s="172" t="s">
        <v>729</v>
      </c>
      <c r="B118" s="173"/>
      <c r="C118" s="171"/>
      <c r="G118" s="172" t="s">
        <v>772</v>
      </c>
      <c r="H118" s="171"/>
      <c r="I118" s="28">
        <v>17</v>
      </c>
    </row>
    <row r="119" spans="1:9" ht="13" x14ac:dyDescent="0.15">
      <c r="A119" s="174" t="s">
        <v>773</v>
      </c>
      <c r="B119" s="174" t="s">
        <v>774</v>
      </c>
      <c r="C119" s="174" t="s">
        <v>775</v>
      </c>
      <c r="D119" s="174" t="s">
        <v>719</v>
      </c>
      <c r="E119" s="174" t="s">
        <v>776</v>
      </c>
      <c r="F119" s="174" t="s">
        <v>777</v>
      </c>
      <c r="G119" s="174" t="s">
        <v>778</v>
      </c>
      <c r="H119" s="174" t="s">
        <v>779</v>
      </c>
      <c r="I119" s="174" t="s">
        <v>780</v>
      </c>
    </row>
    <row r="120" spans="1:9" ht="13" x14ac:dyDescent="0.15">
      <c r="A120" s="169"/>
      <c r="B120" s="169"/>
      <c r="C120" s="169"/>
      <c r="D120" s="169"/>
      <c r="E120" s="169"/>
      <c r="F120" s="169"/>
      <c r="G120" s="169"/>
      <c r="H120" s="169"/>
      <c r="I120" s="169"/>
    </row>
    <row r="121" spans="1:9" ht="13" x14ac:dyDescent="0.15">
      <c r="A121" s="10">
        <v>1</v>
      </c>
      <c r="B121" s="25" t="s">
        <v>480</v>
      </c>
      <c r="C121" s="25">
        <v>1</v>
      </c>
      <c r="D121" s="5" t="s">
        <v>183</v>
      </c>
      <c r="E121" s="5">
        <f>'Master Price list'!G114</f>
        <v>4.5</v>
      </c>
      <c r="F121" s="5">
        <f t="shared" ref="F121:F130" si="24">E121*C121</f>
        <v>4.5</v>
      </c>
      <c r="G121" s="25">
        <v>0</v>
      </c>
      <c r="H121" s="5">
        <f t="shared" ref="H121:H130" si="25">F121/100*G121</f>
        <v>0</v>
      </c>
      <c r="I121" s="5">
        <f t="shared" ref="I121:I130" si="26">H121+F121</f>
        <v>4.5</v>
      </c>
    </row>
    <row r="122" spans="1:9" ht="13" x14ac:dyDescent="0.15">
      <c r="A122" s="10">
        <v>2</v>
      </c>
      <c r="B122" s="25" t="s">
        <v>492</v>
      </c>
      <c r="C122" s="25">
        <v>0.03</v>
      </c>
      <c r="D122" s="5" t="s">
        <v>183</v>
      </c>
      <c r="E122" s="5">
        <f>'Master Price list'!G120</f>
        <v>4.5999999999999996</v>
      </c>
      <c r="F122" s="5">
        <f t="shared" si="24"/>
        <v>0.13799999999999998</v>
      </c>
      <c r="G122" s="25">
        <v>0</v>
      </c>
      <c r="H122" s="5">
        <f t="shared" si="25"/>
        <v>0</v>
      </c>
      <c r="I122" s="5">
        <f t="shared" si="26"/>
        <v>0.13799999999999998</v>
      </c>
    </row>
    <row r="123" spans="1:9" ht="13" x14ac:dyDescent="0.15">
      <c r="A123" s="10">
        <v>3</v>
      </c>
      <c r="B123" s="25" t="s">
        <v>497</v>
      </c>
      <c r="C123" s="25">
        <v>0.01</v>
      </c>
      <c r="D123" s="5" t="s">
        <v>183</v>
      </c>
      <c r="E123" s="5">
        <f>'Master Price list'!G122</f>
        <v>7.4</v>
      </c>
      <c r="F123" s="5">
        <f t="shared" si="24"/>
        <v>7.400000000000001E-2</v>
      </c>
      <c r="G123" s="25">
        <v>0</v>
      </c>
      <c r="H123" s="5">
        <f t="shared" si="25"/>
        <v>0</v>
      </c>
      <c r="I123" s="5">
        <f t="shared" si="26"/>
        <v>7.400000000000001E-2</v>
      </c>
    </row>
    <row r="124" spans="1:9" ht="13" x14ac:dyDescent="0.15">
      <c r="A124" s="10">
        <v>4</v>
      </c>
      <c r="B124" s="25" t="s">
        <v>782</v>
      </c>
      <c r="C124" s="25">
        <v>1.4999999999999999E-2</v>
      </c>
      <c r="D124" s="5" t="s">
        <v>183</v>
      </c>
      <c r="E124" s="5">
        <f>E113</f>
        <v>4.4444444444444446</v>
      </c>
      <c r="F124" s="5">
        <f t="shared" si="24"/>
        <v>6.6666666666666666E-2</v>
      </c>
      <c r="G124" s="25">
        <v>0</v>
      </c>
      <c r="H124" s="5">
        <f t="shared" si="25"/>
        <v>0</v>
      </c>
      <c r="I124" s="5">
        <f t="shared" si="26"/>
        <v>6.6666666666666666E-2</v>
      </c>
    </row>
    <row r="125" spans="1:9" ht="13" x14ac:dyDescent="0.15">
      <c r="A125" s="10">
        <v>5</v>
      </c>
      <c r="B125" s="25" t="s">
        <v>808</v>
      </c>
      <c r="C125" s="25">
        <v>0.3</v>
      </c>
      <c r="D125" s="5" t="s">
        <v>183</v>
      </c>
      <c r="E125" s="5">
        <v>0</v>
      </c>
      <c r="F125" s="5">
        <f t="shared" si="24"/>
        <v>0</v>
      </c>
      <c r="G125" s="25">
        <v>0</v>
      </c>
      <c r="H125" s="5">
        <f t="shared" si="25"/>
        <v>0</v>
      </c>
      <c r="I125" s="5">
        <f t="shared" si="26"/>
        <v>0</v>
      </c>
    </row>
    <row r="126" spans="1:9" ht="13" x14ac:dyDescent="0.15">
      <c r="A126" s="10">
        <v>6</v>
      </c>
      <c r="B126" s="25" t="s">
        <v>442</v>
      </c>
      <c r="C126" s="25">
        <v>0.4</v>
      </c>
      <c r="D126" s="5" t="s">
        <v>183</v>
      </c>
      <c r="E126" s="5">
        <f>'Master Price list'!G100</f>
        <v>19.583333333333336</v>
      </c>
      <c r="F126" s="5">
        <f t="shared" si="24"/>
        <v>7.8333333333333348</v>
      </c>
      <c r="G126" s="25">
        <v>0</v>
      </c>
      <c r="H126" s="5">
        <f t="shared" si="25"/>
        <v>0</v>
      </c>
      <c r="I126" s="5">
        <f t="shared" si="26"/>
        <v>7.8333333333333348</v>
      </c>
    </row>
    <row r="127" spans="1:9" ht="13" x14ac:dyDescent="0.15">
      <c r="A127" s="10">
        <v>7</v>
      </c>
      <c r="B127" s="25" t="s">
        <v>809</v>
      </c>
      <c r="C127" s="25">
        <v>0.02</v>
      </c>
      <c r="D127" s="5" t="s">
        <v>183</v>
      </c>
      <c r="E127" s="5">
        <f>'Master Price list'!G160</f>
        <v>86</v>
      </c>
      <c r="F127" s="5">
        <f t="shared" si="24"/>
        <v>1.72</v>
      </c>
      <c r="G127" s="25">
        <v>50</v>
      </c>
      <c r="H127" s="5">
        <f t="shared" si="25"/>
        <v>0.86</v>
      </c>
      <c r="I127" s="5">
        <f t="shared" si="26"/>
        <v>2.58</v>
      </c>
    </row>
    <row r="128" spans="1:9" ht="13" x14ac:dyDescent="0.15">
      <c r="A128" s="10">
        <v>8</v>
      </c>
      <c r="B128" s="25" t="s">
        <v>810</v>
      </c>
      <c r="C128" s="25">
        <v>0.3</v>
      </c>
      <c r="D128" s="5" t="s">
        <v>183</v>
      </c>
      <c r="E128" s="5">
        <f>'Master Price list'!G24</f>
        <v>50</v>
      </c>
      <c r="F128" s="5">
        <f t="shared" si="24"/>
        <v>15</v>
      </c>
      <c r="G128" s="25">
        <v>0</v>
      </c>
      <c r="H128" s="5">
        <f t="shared" si="25"/>
        <v>0</v>
      </c>
      <c r="I128" s="5">
        <f t="shared" si="26"/>
        <v>15</v>
      </c>
    </row>
    <row r="129" spans="1:9" ht="13" x14ac:dyDescent="0.15">
      <c r="A129" s="10">
        <v>9</v>
      </c>
      <c r="B129" s="25" t="s">
        <v>811</v>
      </c>
      <c r="C129" s="25">
        <v>0.1</v>
      </c>
      <c r="D129" s="5" t="s">
        <v>183</v>
      </c>
      <c r="E129" s="5">
        <f>'Master Price list'!G96</f>
        <v>46.551724137931039</v>
      </c>
      <c r="F129" s="5">
        <f t="shared" si="24"/>
        <v>4.6551724137931041</v>
      </c>
      <c r="G129" s="25">
        <v>0</v>
      </c>
      <c r="H129" s="5">
        <f t="shared" si="25"/>
        <v>0</v>
      </c>
      <c r="I129" s="5">
        <f t="shared" si="26"/>
        <v>4.6551724137931041</v>
      </c>
    </row>
    <row r="130" spans="1:9" ht="13" x14ac:dyDescent="0.15">
      <c r="A130" s="10">
        <v>10</v>
      </c>
      <c r="B130" s="25" t="s">
        <v>76</v>
      </c>
      <c r="C130" s="25">
        <v>1</v>
      </c>
      <c r="D130" s="5" t="s">
        <v>350</v>
      </c>
      <c r="E130" s="5">
        <f>E95</f>
        <v>0.5</v>
      </c>
      <c r="F130" s="5">
        <f t="shared" si="24"/>
        <v>0.5</v>
      </c>
      <c r="G130" s="25">
        <v>0</v>
      </c>
      <c r="H130" s="5">
        <f t="shared" si="25"/>
        <v>0</v>
      </c>
      <c r="I130" s="5">
        <f t="shared" si="26"/>
        <v>0.5</v>
      </c>
    </row>
    <row r="131" spans="1:9" ht="13" x14ac:dyDescent="0.15">
      <c r="G131" s="170" t="s">
        <v>777</v>
      </c>
      <c r="H131" s="171"/>
      <c r="I131" s="29">
        <f>SUM(I121:I130)</f>
        <v>35.347172413793103</v>
      </c>
    </row>
    <row r="132" spans="1:9" ht="13" x14ac:dyDescent="0.15">
      <c r="G132" s="170" t="s">
        <v>812</v>
      </c>
      <c r="H132" s="171"/>
      <c r="I132" s="29">
        <f>I131/I118</f>
        <v>2.0792454361054769</v>
      </c>
    </row>
    <row r="135" spans="1:9" ht="13" x14ac:dyDescent="0.15">
      <c r="A135" s="172" t="s">
        <v>731</v>
      </c>
      <c r="B135" s="173"/>
      <c r="C135" s="171"/>
      <c r="G135" s="172" t="s">
        <v>772</v>
      </c>
      <c r="H135" s="171"/>
      <c r="I135" s="28">
        <v>5</v>
      </c>
    </row>
    <row r="136" spans="1:9" ht="13" x14ac:dyDescent="0.15">
      <c r="A136" s="174" t="s">
        <v>773</v>
      </c>
      <c r="B136" s="174" t="s">
        <v>774</v>
      </c>
      <c r="C136" s="174" t="s">
        <v>775</v>
      </c>
      <c r="D136" s="174" t="s">
        <v>719</v>
      </c>
      <c r="E136" s="174" t="s">
        <v>776</v>
      </c>
      <c r="F136" s="174" t="s">
        <v>777</v>
      </c>
      <c r="G136" s="174" t="s">
        <v>778</v>
      </c>
      <c r="H136" s="174" t="s">
        <v>779</v>
      </c>
      <c r="I136" s="174" t="s">
        <v>780</v>
      </c>
    </row>
    <row r="137" spans="1:9" ht="13" x14ac:dyDescent="0.15">
      <c r="A137" s="169"/>
      <c r="B137" s="169"/>
      <c r="C137" s="169"/>
      <c r="D137" s="169"/>
      <c r="E137" s="169"/>
      <c r="F137" s="169"/>
      <c r="G137" s="169"/>
      <c r="H137" s="169"/>
      <c r="I137" s="169"/>
    </row>
    <row r="138" spans="1:9" ht="13" x14ac:dyDescent="0.15">
      <c r="A138" s="10">
        <v>1</v>
      </c>
      <c r="B138" s="25" t="s">
        <v>806</v>
      </c>
      <c r="C138" s="25">
        <v>0.03</v>
      </c>
      <c r="D138" s="5" t="s">
        <v>183</v>
      </c>
      <c r="E138" s="5">
        <f>'Master Price list'!G57</f>
        <v>70</v>
      </c>
      <c r="F138" s="5">
        <f t="shared" ref="F138:F142" si="27">E138*C138</f>
        <v>2.1</v>
      </c>
      <c r="G138" s="25">
        <v>0</v>
      </c>
      <c r="H138" s="5">
        <f t="shared" ref="H138:H142" si="28">F138/100*G138</f>
        <v>0</v>
      </c>
      <c r="I138" s="5">
        <f t="shared" ref="I138:I142" si="29">H138+F138</f>
        <v>2.1</v>
      </c>
    </row>
    <row r="139" spans="1:9" ht="13" x14ac:dyDescent="0.15">
      <c r="A139" s="10">
        <v>2</v>
      </c>
      <c r="B139" s="25" t="s">
        <v>813</v>
      </c>
      <c r="C139" s="25">
        <v>0.03</v>
      </c>
      <c r="D139" s="5" t="s">
        <v>183</v>
      </c>
      <c r="E139" s="5">
        <f>'Master Price list'!G42</f>
        <v>49</v>
      </c>
      <c r="F139" s="5">
        <f t="shared" si="27"/>
        <v>1.47</v>
      </c>
      <c r="G139" s="25">
        <v>0</v>
      </c>
      <c r="H139" s="5">
        <f t="shared" si="28"/>
        <v>0</v>
      </c>
      <c r="I139" s="5">
        <f t="shared" si="29"/>
        <v>1.47</v>
      </c>
    </row>
    <row r="140" spans="1:9" ht="13" x14ac:dyDescent="0.15">
      <c r="A140" s="10">
        <v>3</v>
      </c>
      <c r="B140" s="25" t="s">
        <v>316</v>
      </c>
      <c r="C140" s="25">
        <v>5.0000000000000001E-3</v>
      </c>
      <c r="D140" s="5" t="s">
        <v>183</v>
      </c>
      <c r="E140" s="5">
        <f>'Master Price list'!G54</f>
        <v>43.8</v>
      </c>
      <c r="F140" s="5">
        <f t="shared" si="27"/>
        <v>0.219</v>
      </c>
      <c r="G140" s="25">
        <v>0</v>
      </c>
      <c r="H140" s="5">
        <f t="shared" si="28"/>
        <v>0</v>
      </c>
      <c r="I140" s="5">
        <f t="shared" si="29"/>
        <v>0.219</v>
      </c>
    </row>
    <row r="141" spans="1:9" ht="13" x14ac:dyDescent="0.15">
      <c r="A141" s="10">
        <v>4</v>
      </c>
      <c r="B141" s="25" t="s">
        <v>454</v>
      </c>
      <c r="C141" s="25">
        <v>0.12</v>
      </c>
      <c r="D141" s="5" t="s">
        <v>183</v>
      </c>
      <c r="E141" s="5">
        <f>'Master Price list'!G104</f>
        <v>2.1764705882352939</v>
      </c>
      <c r="F141" s="5">
        <f t="shared" si="27"/>
        <v>0.26117647058823529</v>
      </c>
      <c r="G141" s="25">
        <v>0</v>
      </c>
      <c r="H141" s="5">
        <f t="shared" si="28"/>
        <v>0</v>
      </c>
      <c r="I141" s="5">
        <f t="shared" si="29"/>
        <v>0.26117647058823529</v>
      </c>
    </row>
    <row r="142" spans="1:9" ht="13" x14ac:dyDescent="0.15">
      <c r="A142" s="10">
        <v>5</v>
      </c>
      <c r="B142" s="25" t="s">
        <v>814</v>
      </c>
      <c r="C142" s="25">
        <v>0.1</v>
      </c>
      <c r="D142" s="5" t="s">
        <v>183</v>
      </c>
      <c r="E142" s="5">
        <f>'Master Price list'!G205</f>
        <v>6.5</v>
      </c>
      <c r="F142" s="5">
        <f t="shared" si="27"/>
        <v>0.65</v>
      </c>
      <c r="G142" s="25">
        <v>0</v>
      </c>
      <c r="H142" s="5">
        <f t="shared" si="28"/>
        <v>0</v>
      </c>
      <c r="I142" s="5">
        <f t="shared" si="29"/>
        <v>0.65</v>
      </c>
    </row>
    <row r="143" spans="1:9" ht="13" x14ac:dyDescent="0.15">
      <c r="G143" s="170" t="s">
        <v>777</v>
      </c>
      <c r="H143" s="171"/>
      <c r="I143" s="29">
        <f>SUM(I138:I142)</f>
        <v>4.7001764705882358</v>
      </c>
    </row>
    <row r="144" spans="1:9" ht="13" x14ac:dyDescent="0.15">
      <c r="G144" s="170" t="s">
        <v>788</v>
      </c>
      <c r="H144" s="171"/>
      <c r="I144" s="29">
        <f>I143/I135</f>
        <v>0.94003529411764719</v>
      </c>
    </row>
    <row r="147" spans="1:9" ht="13" x14ac:dyDescent="0.15">
      <c r="A147" s="172" t="s">
        <v>58</v>
      </c>
      <c r="B147" s="173"/>
      <c r="C147" s="171"/>
      <c r="G147" s="172" t="s">
        <v>772</v>
      </c>
      <c r="H147" s="171"/>
      <c r="I147" s="28">
        <v>8</v>
      </c>
    </row>
    <row r="148" spans="1:9" ht="13" x14ac:dyDescent="0.15">
      <c r="A148" s="174" t="s">
        <v>773</v>
      </c>
      <c r="B148" s="174" t="s">
        <v>774</v>
      </c>
      <c r="C148" s="174" t="s">
        <v>775</v>
      </c>
      <c r="D148" s="174" t="s">
        <v>719</v>
      </c>
      <c r="E148" s="174" t="s">
        <v>776</v>
      </c>
      <c r="F148" s="174" t="s">
        <v>777</v>
      </c>
      <c r="G148" s="174" t="s">
        <v>778</v>
      </c>
      <c r="H148" s="174" t="s">
        <v>779</v>
      </c>
      <c r="I148" s="174" t="s">
        <v>780</v>
      </c>
    </row>
    <row r="149" spans="1:9" ht="13" x14ac:dyDescent="0.15">
      <c r="A149" s="169"/>
      <c r="B149" s="169"/>
      <c r="C149" s="169"/>
      <c r="D149" s="169"/>
      <c r="E149" s="169"/>
      <c r="F149" s="169"/>
      <c r="G149" s="169"/>
      <c r="H149" s="169"/>
      <c r="I149" s="169"/>
    </row>
    <row r="150" spans="1:9" ht="13" x14ac:dyDescent="0.15">
      <c r="A150" s="10">
        <v>1</v>
      </c>
      <c r="B150" s="25" t="s">
        <v>659</v>
      </c>
      <c r="C150" s="25">
        <v>1</v>
      </c>
      <c r="D150" s="5" t="s">
        <v>183</v>
      </c>
      <c r="E150" s="5">
        <f>'Master Price list'!G193</f>
        <v>4.3</v>
      </c>
      <c r="F150" s="5">
        <f t="shared" ref="F150:F156" si="30">E150*C150</f>
        <v>4.3</v>
      </c>
      <c r="G150" s="25">
        <v>10</v>
      </c>
      <c r="H150" s="5">
        <f t="shared" ref="H150:H156" si="31">F150/100*G150</f>
        <v>0.42999999999999994</v>
      </c>
      <c r="I150" s="5">
        <f t="shared" ref="I150:I156" si="32">H150+F150</f>
        <v>4.7299999999999995</v>
      </c>
    </row>
    <row r="151" spans="1:9" ht="13" x14ac:dyDescent="0.15">
      <c r="A151" s="10">
        <v>2</v>
      </c>
      <c r="B151" s="25" t="s">
        <v>815</v>
      </c>
      <c r="C151" s="25">
        <v>0.18</v>
      </c>
      <c r="D151" s="5" t="s">
        <v>183</v>
      </c>
      <c r="E151" s="5">
        <f>'Master Price list'!G190</f>
        <v>3.5</v>
      </c>
      <c r="F151" s="5">
        <f t="shared" si="30"/>
        <v>0.63</v>
      </c>
      <c r="G151" s="25">
        <v>5</v>
      </c>
      <c r="H151" s="5">
        <f t="shared" si="31"/>
        <v>3.15E-2</v>
      </c>
      <c r="I151" s="5">
        <f t="shared" si="32"/>
        <v>0.66149999999999998</v>
      </c>
    </row>
    <row r="152" spans="1:9" ht="13" x14ac:dyDescent="0.15">
      <c r="A152" s="10">
        <v>3</v>
      </c>
      <c r="B152" s="25" t="s">
        <v>787</v>
      </c>
      <c r="C152" s="25">
        <v>0.03</v>
      </c>
      <c r="D152" s="5" t="s">
        <v>183</v>
      </c>
      <c r="E152" s="5">
        <f>'Master Price list'!G80</f>
        <v>42</v>
      </c>
      <c r="F152" s="5">
        <f t="shared" si="30"/>
        <v>1.26</v>
      </c>
      <c r="G152" s="25">
        <v>0</v>
      </c>
      <c r="H152" s="5">
        <f t="shared" si="31"/>
        <v>0</v>
      </c>
      <c r="I152" s="5">
        <f t="shared" si="32"/>
        <v>1.26</v>
      </c>
    </row>
    <row r="153" spans="1:9" ht="13" x14ac:dyDescent="0.15">
      <c r="A153" s="10">
        <v>4</v>
      </c>
      <c r="B153" s="25" t="s">
        <v>816</v>
      </c>
      <c r="C153" s="25">
        <v>0.03</v>
      </c>
      <c r="D153" s="5" t="s">
        <v>183</v>
      </c>
      <c r="E153" s="5">
        <f>'Master Price list'!G178</f>
        <v>11</v>
      </c>
      <c r="F153" s="5">
        <f t="shared" si="30"/>
        <v>0.32999999999999996</v>
      </c>
      <c r="G153" s="25">
        <v>5</v>
      </c>
      <c r="H153" s="5">
        <f t="shared" si="31"/>
        <v>1.6499999999999997E-2</v>
      </c>
      <c r="I153" s="5">
        <f t="shared" si="32"/>
        <v>0.34649999999999997</v>
      </c>
    </row>
    <row r="154" spans="1:9" ht="13" x14ac:dyDescent="0.15">
      <c r="A154" s="10">
        <v>5</v>
      </c>
      <c r="B154" s="25" t="s">
        <v>817</v>
      </c>
      <c r="C154" s="25">
        <v>5.0000000000000001E-3</v>
      </c>
      <c r="D154" s="5" t="s">
        <v>183</v>
      </c>
      <c r="E154" s="5">
        <f>'Master Price list'!G201</f>
        <v>86</v>
      </c>
      <c r="F154" s="5">
        <f t="shared" si="30"/>
        <v>0.43</v>
      </c>
      <c r="G154" s="25">
        <v>50</v>
      </c>
      <c r="H154" s="5">
        <f t="shared" si="31"/>
        <v>0.215</v>
      </c>
      <c r="I154" s="5">
        <f t="shared" si="32"/>
        <v>0.64500000000000002</v>
      </c>
    </row>
    <row r="155" spans="1:9" ht="13" x14ac:dyDescent="0.15">
      <c r="A155" s="10">
        <v>6</v>
      </c>
      <c r="B155" s="25" t="s">
        <v>782</v>
      </c>
      <c r="C155" s="25">
        <v>5.0000000000000001E-3</v>
      </c>
      <c r="D155" s="5" t="s">
        <v>183</v>
      </c>
      <c r="E155" s="5">
        <f>E124</f>
        <v>4.4444444444444446</v>
      </c>
      <c r="F155" s="5">
        <f t="shared" si="30"/>
        <v>2.2222222222222223E-2</v>
      </c>
      <c r="G155" s="25">
        <v>0</v>
      </c>
      <c r="H155" s="5">
        <f t="shared" si="31"/>
        <v>0</v>
      </c>
      <c r="I155" s="5">
        <f t="shared" si="32"/>
        <v>2.2222222222222223E-2</v>
      </c>
    </row>
    <row r="156" spans="1:9" ht="13" x14ac:dyDescent="0.15">
      <c r="A156" s="10">
        <v>7</v>
      </c>
      <c r="B156" s="25" t="s">
        <v>287</v>
      </c>
      <c r="C156" s="25">
        <v>5.0000000000000001E-3</v>
      </c>
      <c r="D156" s="5" t="s">
        <v>183</v>
      </c>
      <c r="E156" s="5">
        <f>E112</f>
        <v>56</v>
      </c>
      <c r="F156" s="5">
        <f t="shared" si="30"/>
        <v>0.28000000000000003</v>
      </c>
      <c r="G156" s="25">
        <v>0</v>
      </c>
      <c r="H156" s="5">
        <f t="shared" si="31"/>
        <v>0</v>
      </c>
      <c r="I156" s="5">
        <f t="shared" si="32"/>
        <v>0.28000000000000003</v>
      </c>
    </row>
    <row r="157" spans="1:9" ht="13" x14ac:dyDescent="0.15">
      <c r="G157" s="170" t="s">
        <v>777</v>
      </c>
      <c r="H157" s="171"/>
      <c r="I157" s="29">
        <f>SUM(I150:I156)</f>
        <v>7.9452222222222213</v>
      </c>
    </row>
    <row r="158" spans="1:9" ht="13" x14ac:dyDescent="0.15">
      <c r="G158" s="170" t="s">
        <v>818</v>
      </c>
      <c r="H158" s="171"/>
      <c r="I158" s="29">
        <f>I157/I147</f>
        <v>0.99315277777777766</v>
      </c>
    </row>
    <row r="161" spans="1:9" ht="13" x14ac:dyDescent="0.15">
      <c r="A161" s="172" t="s">
        <v>57</v>
      </c>
      <c r="B161" s="173"/>
      <c r="C161" s="171"/>
      <c r="G161" s="172" t="s">
        <v>772</v>
      </c>
      <c r="H161" s="171"/>
      <c r="I161" s="28">
        <v>16</v>
      </c>
    </row>
    <row r="162" spans="1:9" ht="13" x14ac:dyDescent="0.15">
      <c r="A162" s="174" t="s">
        <v>773</v>
      </c>
      <c r="B162" s="174" t="s">
        <v>774</v>
      </c>
      <c r="C162" s="174" t="s">
        <v>775</v>
      </c>
      <c r="D162" s="174" t="s">
        <v>719</v>
      </c>
      <c r="E162" s="174" t="s">
        <v>776</v>
      </c>
      <c r="F162" s="174" t="s">
        <v>777</v>
      </c>
      <c r="G162" s="174" t="s">
        <v>778</v>
      </c>
      <c r="H162" s="174" t="s">
        <v>779</v>
      </c>
      <c r="I162" s="174" t="s">
        <v>780</v>
      </c>
    </row>
    <row r="163" spans="1:9" ht="13" x14ac:dyDescent="0.15">
      <c r="A163" s="169"/>
      <c r="B163" s="169"/>
      <c r="C163" s="169"/>
      <c r="D163" s="169"/>
      <c r="E163" s="169"/>
      <c r="F163" s="169"/>
      <c r="G163" s="169"/>
      <c r="H163" s="169"/>
      <c r="I163" s="169"/>
    </row>
    <row r="164" spans="1:9" ht="13" x14ac:dyDescent="0.15">
      <c r="A164" s="10">
        <v>1</v>
      </c>
      <c r="B164" s="25" t="s">
        <v>67</v>
      </c>
      <c r="C164" s="25">
        <v>1</v>
      </c>
      <c r="D164" s="5" t="s">
        <v>183</v>
      </c>
      <c r="E164" s="5">
        <f>'Master Price list'!G202</f>
        <v>4.8</v>
      </c>
      <c r="F164" s="5">
        <f t="shared" ref="F164:F173" si="33">E164*C164</f>
        <v>4.8</v>
      </c>
      <c r="G164" s="25">
        <v>10</v>
      </c>
      <c r="H164" s="5">
        <f t="shared" ref="H164:H173" si="34">F164/100*G164</f>
        <v>0.48</v>
      </c>
      <c r="I164" s="5">
        <f t="shared" ref="I164:I173" si="35">H164+F164</f>
        <v>5.2799999999999994</v>
      </c>
    </row>
    <row r="165" spans="1:9" ht="13" x14ac:dyDescent="0.15">
      <c r="A165" s="10">
        <v>2</v>
      </c>
      <c r="B165" s="25" t="s">
        <v>815</v>
      </c>
      <c r="C165" s="25">
        <v>0.6</v>
      </c>
      <c r="D165" s="5" t="s">
        <v>183</v>
      </c>
      <c r="E165" s="5">
        <f>'Master Price list'!G190</f>
        <v>3.5</v>
      </c>
      <c r="F165" s="5">
        <f t="shared" si="33"/>
        <v>2.1</v>
      </c>
      <c r="G165" s="25">
        <v>5</v>
      </c>
      <c r="H165" s="5">
        <f t="shared" si="34"/>
        <v>0.10500000000000001</v>
      </c>
      <c r="I165" s="5">
        <f t="shared" si="35"/>
        <v>2.2050000000000001</v>
      </c>
    </row>
    <row r="166" spans="1:9" ht="13" x14ac:dyDescent="0.15">
      <c r="A166" s="10">
        <v>3</v>
      </c>
      <c r="B166" s="25" t="s">
        <v>787</v>
      </c>
      <c r="C166" s="25">
        <v>0.03</v>
      </c>
      <c r="D166" s="5" t="s">
        <v>183</v>
      </c>
      <c r="E166" s="5">
        <f>E152</f>
        <v>42</v>
      </c>
      <c r="F166" s="5">
        <f t="shared" si="33"/>
        <v>1.26</v>
      </c>
      <c r="G166" s="25">
        <v>0</v>
      </c>
      <c r="H166" s="5">
        <f t="shared" si="34"/>
        <v>0</v>
      </c>
      <c r="I166" s="5">
        <f t="shared" si="35"/>
        <v>1.26</v>
      </c>
    </row>
    <row r="167" spans="1:9" ht="13" x14ac:dyDescent="0.15">
      <c r="A167" s="10">
        <v>4</v>
      </c>
      <c r="B167" s="25" t="s">
        <v>439</v>
      </c>
      <c r="C167" s="25">
        <v>0.06</v>
      </c>
      <c r="D167" s="5" t="s">
        <v>183</v>
      </c>
      <c r="E167" s="5">
        <v>5.0000000000000001E-3</v>
      </c>
      <c r="F167" s="5">
        <f t="shared" si="33"/>
        <v>2.9999999999999997E-4</v>
      </c>
      <c r="G167" s="25">
        <v>0</v>
      </c>
      <c r="H167" s="5">
        <f t="shared" si="34"/>
        <v>0</v>
      </c>
      <c r="I167" s="5">
        <f t="shared" si="35"/>
        <v>2.9999999999999997E-4</v>
      </c>
    </row>
    <row r="168" spans="1:9" ht="13" x14ac:dyDescent="0.15">
      <c r="A168" s="10">
        <v>5</v>
      </c>
      <c r="B168" s="25" t="s">
        <v>819</v>
      </c>
      <c r="C168" s="25">
        <v>0.01</v>
      </c>
      <c r="D168" s="5" t="s">
        <v>183</v>
      </c>
      <c r="E168" s="5">
        <f>'Master Price list'!G46</f>
        <v>29.5</v>
      </c>
      <c r="F168" s="5">
        <f t="shared" si="33"/>
        <v>0.29499999999999998</v>
      </c>
      <c r="G168" s="25">
        <v>0</v>
      </c>
      <c r="H168" s="5">
        <f t="shared" si="34"/>
        <v>0</v>
      </c>
      <c r="I168" s="5">
        <f t="shared" si="35"/>
        <v>0.29499999999999998</v>
      </c>
    </row>
    <row r="169" spans="1:9" ht="13" x14ac:dyDescent="0.15">
      <c r="A169" s="10">
        <v>6</v>
      </c>
      <c r="B169" s="25" t="s">
        <v>232</v>
      </c>
      <c r="C169" s="25">
        <v>0.05</v>
      </c>
      <c r="D169" s="5" t="s">
        <v>183</v>
      </c>
      <c r="E169" s="5">
        <f>'Master Price list'!G21</f>
        <v>39.200000000000003</v>
      </c>
      <c r="F169" s="5">
        <f t="shared" si="33"/>
        <v>1.9600000000000002</v>
      </c>
      <c r="G169" s="25">
        <v>0</v>
      </c>
      <c r="H169" s="5">
        <f t="shared" si="34"/>
        <v>0</v>
      </c>
      <c r="I169" s="5">
        <f t="shared" si="35"/>
        <v>1.9600000000000002</v>
      </c>
    </row>
    <row r="170" spans="1:9" ht="13" x14ac:dyDescent="0.15">
      <c r="A170" s="10">
        <v>7</v>
      </c>
      <c r="B170" s="25" t="s">
        <v>782</v>
      </c>
      <c r="C170" s="25">
        <v>1E-4</v>
      </c>
      <c r="D170" s="5" t="s">
        <v>183</v>
      </c>
      <c r="E170" s="5">
        <f t="shared" ref="E170:E171" si="36">E155</f>
        <v>4.4444444444444446</v>
      </c>
      <c r="F170" s="5">
        <f t="shared" si="33"/>
        <v>4.4444444444444447E-4</v>
      </c>
      <c r="G170" s="25">
        <v>0</v>
      </c>
      <c r="H170" s="5">
        <f t="shared" si="34"/>
        <v>0</v>
      </c>
      <c r="I170" s="5">
        <f t="shared" si="35"/>
        <v>4.4444444444444447E-4</v>
      </c>
    </row>
    <row r="171" spans="1:9" ht="13" x14ac:dyDescent="0.15">
      <c r="A171" s="10">
        <v>8</v>
      </c>
      <c r="B171" s="25" t="s">
        <v>287</v>
      </c>
      <c r="C171" s="25">
        <v>1E-4</v>
      </c>
      <c r="D171" s="5" t="s">
        <v>183</v>
      </c>
      <c r="E171" s="5">
        <f t="shared" si="36"/>
        <v>56</v>
      </c>
      <c r="F171" s="5">
        <f t="shared" si="33"/>
        <v>5.5999999999999999E-3</v>
      </c>
      <c r="G171" s="25">
        <v>0</v>
      </c>
      <c r="H171" s="5">
        <f t="shared" si="34"/>
        <v>0</v>
      </c>
      <c r="I171" s="5">
        <f t="shared" si="35"/>
        <v>5.5999999999999999E-3</v>
      </c>
    </row>
    <row r="172" spans="1:9" ht="13" x14ac:dyDescent="0.15">
      <c r="A172" s="10">
        <v>9</v>
      </c>
      <c r="B172" s="25" t="s">
        <v>820</v>
      </c>
      <c r="C172" s="25">
        <v>0.4</v>
      </c>
      <c r="D172" s="5" t="s">
        <v>183</v>
      </c>
      <c r="E172" s="5">
        <f>'Master Price list'!G166</f>
        <v>17</v>
      </c>
      <c r="F172" s="5">
        <f t="shared" si="33"/>
        <v>6.8000000000000007</v>
      </c>
      <c r="G172" s="25">
        <v>10</v>
      </c>
      <c r="H172" s="5">
        <f t="shared" si="34"/>
        <v>0.68</v>
      </c>
      <c r="I172" s="5">
        <f t="shared" si="35"/>
        <v>7.48</v>
      </c>
    </row>
    <row r="173" spans="1:9" ht="13" x14ac:dyDescent="0.15">
      <c r="A173" s="10">
        <v>10</v>
      </c>
      <c r="B173" s="25" t="s">
        <v>808</v>
      </c>
      <c r="C173" s="25">
        <v>1</v>
      </c>
      <c r="D173" s="5" t="s">
        <v>183</v>
      </c>
      <c r="E173" s="5">
        <v>0</v>
      </c>
      <c r="F173" s="5">
        <f t="shared" si="33"/>
        <v>0</v>
      </c>
      <c r="G173" s="25">
        <v>0</v>
      </c>
      <c r="H173" s="5">
        <f t="shared" si="34"/>
        <v>0</v>
      </c>
      <c r="I173" s="5">
        <f t="shared" si="35"/>
        <v>0</v>
      </c>
    </row>
    <row r="174" spans="1:9" ht="13" x14ac:dyDescent="0.15">
      <c r="G174" s="170" t="s">
        <v>777</v>
      </c>
      <c r="H174" s="171"/>
      <c r="I174" s="29">
        <f>SUM(I164:I173)</f>
        <v>18.486344444444441</v>
      </c>
    </row>
    <row r="175" spans="1:9" ht="13" x14ac:dyDescent="0.15">
      <c r="G175" s="170" t="s">
        <v>788</v>
      </c>
      <c r="H175" s="171"/>
      <c r="I175" s="29">
        <f>I174/I161</f>
        <v>1.1553965277777776</v>
      </c>
    </row>
    <row r="178" spans="1:9" ht="13" x14ac:dyDescent="0.15">
      <c r="A178" s="172" t="s">
        <v>54</v>
      </c>
      <c r="B178" s="173"/>
      <c r="C178" s="171"/>
      <c r="G178" s="172" t="s">
        <v>772</v>
      </c>
      <c r="H178" s="171"/>
      <c r="I178" s="28">
        <v>6</v>
      </c>
    </row>
    <row r="179" spans="1:9" ht="13" x14ac:dyDescent="0.15">
      <c r="A179" s="174" t="s">
        <v>773</v>
      </c>
      <c r="B179" s="174" t="s">
        <v>774</v>
      </c>
      <c r="C179" s="174" t="s">
        <v>775</v>
      </c>
      <c r="D179" s="174" t="s">
        <v>719</v>
      </c>
      <c r="E179" s="174" t="s">
        <v>776</v>
      </c>
      <c r="F179" s="174" t="s">
        <v>777</v>
      </c>
      <c r="G179" s="174" t="s">
        <v>778</v>
      </c>
      <c r="H179" s="174" t="s">
        <v>779</v>
      </c>
      <c r="I179" s="174" t="s">
        <v>780</v>
      </c>
    </row>
    <row r="180" spans="1:9" ht="13" x14ac:dyDescent="0.15">
      <c r="A180" s="169"/>
      <c r="B180" s="169"/>
      <c r="C180" s="169"/>
      <c r="D180" s="169"/>
      <c r="E180" s="169"/>
      <c r="F180" s="169"/>
      <c r="G180" s="169"/>
      <c r="H180" s="169"/>
      <c r="I180" s="169"/>
    </row>
    <row r="181" spans="1:9" ht="13" x14ac:dyDescent="0.15">
      <c r="A181" s="10">
        <v>1</v>
      </c>
      <c r="B181" s="25" t="s">
        <v>821</v>
      </c>
      <c r="C181" s="25">
        <v>1</v>
      </c>
      <c r="D181" s="5" t="s">
        <v>183</v>
      </c>
      <c r="E181" s="5">
        <f>'Master Price list'!G4</f>
        <v>71</v>
      </c>
      <c r="F181" s="5">
        <f t="shared" ref="F181:F191" si="37">E181*C181</f>
        <v>71</v>
      </c>
      <c r="G181" s="25">
        <v>25</v>
      </c>
      <c r="H181" s="5">
        <f t="shared" ref="H181:H191" si="38">F181/100*G181</f>
        <v>17.75</v>
      </c>
      <c r="I181" s="5">
        <f t="shared" ref="I181:I191" si="39">H181+F181</f>
        <v>88.75</v>
      </c>
    </row>
    <row r="182" spans="1:9" ht="13" x14ac:dyDescent="0.15">
      <c r="A182" s="10">
        <v>2</v>
      </c>
      <c r="B182" s="25" t="s">
        <v>822</v>
      </c>
      <c r="C182" s="25">
        <v>5.0000000000000001E-3</v>
      </c>
      <c r="D182" s="5" t="s">
        <v>183</v>
      </c>
      <c r="E182" s="5">
        <f>'Master Price list'!G178</f>
        <v>11</v>
      </c>
      <c r="F182" s="5">
        <f t="shared" si="37"/>
        <v>5.5E-2</v>
      </c>
      <c r="G182" s="25">
        <v>5</v>
      </c>
      <c r="H182" s="5">
        <f t="shared" si="38"/>
        <v>2.7500000000000003E-3</v>
      </c>
      <c r="I182" s="5">
        <f t="shared" si="39"/>
        <v>5.7750000000000003E-2</v>
      </c>
    </row>
    <row r="183" spans="1:9" ht="13" x14ac:dyDescent="0.15">
      <c r="A183" s="10">
        <v>3</v>
      </c>
      <c r="B183" s="25" t="s">
        <v>807</v>
      </c>
      <c r="C183" s="25">
        <v>5.0000000000000001E-3</v>
      </c>
      <c r="D183" s="5" t="s">
        <v>183</v>
      </c>
      <c r="E183" s="5">
        <f>E171</f>
        <v>56</v>
      </c>
      <c r="F183" s="5">
        <f t="shared" si="37"/>
        <v>0.28000000000000003</v>
      </c>
      <c r="G183" s="25">
        <v>0</v>
      </c>
      <c r="H183" s="5">
        <f t="shared" si="38"/>
        <v>0</v>
      </c>
      <c r="I183" s="5">
        <f t="shared" si="39"/>
        <v>0.28000000000000003</v>
      </c>
    </row>
    <row r="184" spans="1:9" ht="13" x14ac:dyDescent="0.15">
      <c r="A184" s="10">
        <v>4</v>
      </c>
      <c r="B184" s="25" t="s">
        <v>292</v>
      </c>
      <c r="C184" s="25">
        <v>5.0000000000000001E-3</v>
      </c>
      <c r="D184" s="5" t="s">
        <v>183</v>
      </c>
      <c r="E184" s="5">
        <f>'Master Price list'!G43</f>
        <v>215</v>
      </c>
      <c r="F184" s="5">
        <f t="shared" si="37"/>
        <v>1.075</v>
      </c>
      <c r="G184" s="25">
        <v>0</v>
      </c>
      <c r="H184" s="5">
        <f t="shared" si="38"/>
        <v>0</v>
      </c>
      <c r="I184" s="5">
        <f t="shared" si="39"/>
        <v>1.075</v>
      </c>
    </row>
    <row r="185" spans="1:9" ht="13" x14ac:dyDescent="0.15">
      <c r="A185" s="10">
        <v>5</v>
      </c>
      <c r="B185" s="25" t="s">
        <v>782</v>
      </c>
      <c r="C185" s="25">
        <v>1E-4</v>
      </c>
      <c r="D185" s="5" t="s">
        <v>183</v>
      </c>
      <c r="E185" s="5">
        <f>E170</f>
        <v>4.4444444444444446</v>
      </c>
      <c r="F185" s="5">
        <f t="shared" si="37"/>
        <v>4.4444444444444447E-4</v>
      </c>
      <c r="G185" s="25">
        <v>0</v>
      </c>
      <c r="H185" s="5">
        <f t="shared" si="38"/>
        <v>0</v>
      </c>
      <c r="I185" s="5">
        <f t="shared" si="39"/>
        <v>4.4444444444444447E-4</v>
      </c>
    </row>
    <row r="186" spans="1:9" ht="13" x14ac:dyDescent="0.15">
      <c r="A186" s="10">
        <v>6</v>
      </c>
      <c r="B186" s="25" t="s">
        <v>718</v>
      </c>
      <c r="C186" s="25">
        <v>0.02</v>
      </c>
      <c r="D186" s="5" t="s">
        <v>183</v>
      </c>
      <c r="E186" s="5">
        <f>'Master Price list'!G222</f>
        <v>37.799999999999997</v>
      </c>
      <c r="F186" s="5">
        <f t="shared" si="37"/>
        <v>0.75600000000000001</v>
      </c>
      <c r="G186" s="25">
        <v>0</v>
      </c>
      <c r="H186" s="5">
        <f t="shared" si="38"/>
        <v>0</v>
      </c>
      <c r="I186" s="5">
        <f t="shared" si="39"/>
        <v>0.75600000000000001</v>
      </c>
    </row>
    <row r="187" spans="1:9" ht="13" x14ac:dyDescent="0.15">
      <c r="A187" s="10">
        <v>7</v>
      </c>
      <c r="B187" s="25" t="s">
        <v>304</v>
      </c>
      <c r="C187" s="25">
        <v>5.0000000000000001E-3</v>
      </c>
      <c r="D187" s="5" t="s">
        <v>183</v>
      </c>
      <c r="E187" s="5">
        <f>'Master Price list'!G49</f>
        <v>22</v>
      </c>
      <c r="F187" s="5">
        <f t="shared" si="37"/>
        <v>0.11</v>
      </c>
      <c r="G187" s="25">
        <v>0</v>
      </c>
      <c r="H187" s="5">
        <f t="shared" si="38"/>
        <v>0</v>
      </c>
      <c r="I187" s="5">
        <f t="shared" si="39"/>
        <v>0.11</v>
      </c>
    </row>
    <row r="188" spans="1:9" ht="13" x14ac:dyDescent="0.15">
      <c r="A188" s="10">
        <v>8</v>
      </c>
      <c r="B188" s="25" t="s">
        <v>823</v>
      </c>
      <c r="C188" s="25">
        <v>5.0000000000000001E-3</v>
      </c>
      <c r="D188" s="5" t="s">
        <v>183</v>
      </c>
      <c r="E188" s="5">
        <f>'Master Price list'!G59</f>
        <v>24</v>
      </c>
      <c r="F188" s="5">
        <f t="shared" si="37"/>
        <v>0.12</v>
      </c>
      <c r="G188" s="25">
        <v>0</v>
      </c>
      <c r="H188" s="5">
        <f t="shared" si="38"/>
        <v>0</v>
      </c>
      <c r="I188" s="5">
        <f t="shared" si="39"/>
        <v>0.12</v>
      </c>
    </row>
    <row r="189" spans="1:9" ht="13" x14ac:dyDescent="0.15">
      <c r="A189" s="10">
        <v>9</v>
      </c>
      <c r="B189" s="25" t="s">
        <v>824</v>
      </c>
      <c r="C189" s="25">
        <v>2.5000000000000001E-3</v>
      </c>
      <c r="D189" s="5" t="s">
        <v>183</v>
      </c>
      <c r="E189" s="5">
        <f>'Master Price list'!G60</f>
        <v>42</v>
      </c>
      <c r="F189" s="5">
        <f t="shared" si="37"/>
        <v>0.105</v>
      </c>
      <c r="G189" s="25">
        <v>0</v>
      </c>
      <c r="H189" s="5">
        <f t="shared" si="38"/>
        <v>0</v>
      </c>
      <c r="I189" s="5">
        <f t="shared" si="39"/>
        <v>0.105</v>
      </c>
    </row>
    <row r="190" spans="1:9" ht="13" x14ac:dyDescent="0.15">
      <c r="A190" s="10">
        <v>10</v>
      </c>
      <c r="B190" s="25" t="s">
        <v>825</v>
      </c>
      <c r="C190" s="25">
        <v>0.2</v>
      </c>
      <c r="D190" s="5" t="s">
        <v>183</v>
      </c>
      <c r="E190" s="5">
        <f>'Master Price list'!G189</f>
        <v>3.3</v>
      </c>
      <c r="F190" s="5">
        <f t="shared" si="37"/>
        <v>0.66</v>
      </c>
      <c r="G190" s="25">
        <v>5</v>
      </c>
      <c r="H190" s="5">
        <f t="shared" si="38"/>
        <v>3.3000000000000002E-2</v>
      </c>
      <c r="I190" s="5">
        <f t="shared" si="39"/>
        <v>0.69300000000000006</v>
      </c>
    </row>
    <row r="191" spans="1:9" ht="13" x14ac:dyDescent="0.15">
      <c r="A191" s="10">
        <v>11</v>
      </c>
      <c r="B191" s="25" t="s">
        <v>308</v>
      </c>
      <c r="C191" s="25">
        <v>2.5000000000000001E-3</v>
      </c>
      <c r="D191" s="5" t="s">
        <v>183</v>
      </c>
      <c r="E191" s="5">
        <f>'Master Price list'!G51</f>
        <v>56</v>
      </c>
      <c r="F191" s="5">
        <f t="shared" si="37"/>
        <v>0.14000000000000001</v>
      </c>
      <c r="G191" s="25">
        <v>0</v>
      </c>
      <c r="H191" s="5">
        <f t="shared" si="38"/>
        <v>0</v>
      </c>
      <c r="I191" s="5">
        <f t="shared" si="39"/>
        <v>0.14000000000000001</v>
      </c>
    </row>
    <row r="192" spans="1:9" ht="13" x14ac:dyDescent="0.15">
      <c r="G192" s="170" t="s">
        <v>777</v>
      </c>
      <c r="H192" s="171"/>
      <c r="I192" s="29">
        <f>SUM(I181:I191)</f>
        <v>92.087194444444449</v>
      </c>
    </row>
    <row r="193" spans="1:9" ht="13" x14ac:dyDescent="0.15">
      <c r="G193" s="170" t="s">
        <v>788</v>
      </c>
      <c r="H193" s="171"/>
      <c r="I193" s="29">
        <f>I192/I178</f>
        <v>15.347865740740742</v>
      </c>
    </row>
    <row r="196" spans="1:9" ht="13" x14ac:dyDescent="0.15">
      <c r="A196" s="172" t="s">
        <v>53</v>
      </c>
      <c r="B196" s="173"/>
      <c r="C196" s="171"/>
      <c r="G196" s="172" t="s">
        <v>772</v>
      </c>
      <c r="H196" s="171"/>
      <c r="I196" s="28">
        <v>11</v>
      </c>
    </row>
    <row r="197" spans="1:9" ht="13" x14ac:dyDescent="0.15">
      <c r="A197" s="174" t="s">
        <v>773</v>
      </c>
      <c r="B197" s="174" t="s">
        <v>774</v>
      </c>
      <c r="C197" s="174" t="s">
        <v>775</v>
      </c>
      <c r="D197" s="174" t="s">
        <v>719</v>
      </c>
      <c r="E197" s="174" t="s">
        <v>776</v>
      </c>
      <c r="F197" s="174" t="s">
        <v>777</v>
      </c>
      <c r="G197" s="174" t="s">
        <v>778</v>
      </c>
      <c r="H197" s="174" t="s">
        <v>779</v>
      </c>
      <c r="I197" s="174" t="s">
        <v>780</v>
      </c>
    </row>
    <row r="198" spans="1:9" ht="13" x14ac:dyDescent="0.15">
      <c r="A198" s="169"/>
      <c r="B198" s="169"/>
      <c r="C198" s="169"/>
      <c r="D198" s="169"/>
      <c r="E198" s="169"/>
      <c r="F198" s="169"/>
      <c r="G198" s="169"/>
      <c r="H198" s="169"/>
      <c r="I198" s="169"/>
    </row>
    <row r="199" spans="1:9" ht="13" x14ac:dyDescent="0.15">
      <c r="A199" s="10">
        <v>1</v>
      </c>
      <c r="B199" s="25" t="s">
        <v>826</v>
      </c>
      <c r="C199" s="25">
        <v>2</v>
      </c>
      <c r="D199" s="5" t="s">
        <v>183</v>
      </c>
      <c r="E199" s="5">
        <f>'Master Price list'!G3</f>
        <v>100</v>
      </c>
      <c r="F199" s="5">
        <f t="shared" ref="F199:F210" si="40">E199*C199</f>
        <v>200</v>
      </c>
      <c r="G199" s="25">
        <v>10</v>
      </c>
      <c r="H199" s="5">
        <f t="shared" ref="H199:H210" si="41">F199/100*G199</f>
        <v>20</v>
      </c>
      <c r="I199" s="5">
        <f t="shared" ref="I199:I210" si="42">H199+F199</f>
        <v>220</v>
      </c>
    </row>
    <row r="200" spans="1:9" ht="13" x14ac:dyDescent="0.15">
      <c r="A200" s="10">
        <v>2</v>
      </c>
      <c r="B200" s="25" t="s">
        <v>822</v>
      </c>
      <c r="C200" s="25">
        <v>5.0000000000000001E-3</v>
      </c>
      <c r="D200" s="5" t="s">
        <v>183</v>
      </c>
      <c r="E200" s="5">
        <f>E182</f>
        <v>11</v>
      </c>
      <c r="F200" s="5">
        <f t="shared" si="40"/>
        <v>5.5E-2</v>
      </c>
      <c r="G200" s="25">
        <v>5</v>
      </c>
      <c r="H200" s="5">
        <f t="shared" si="41"/>
        <v>2.7500000000000003E-3</v>
      </c>
      <c r="I200" s="5">
        <f t="shared" si="42"/>
        <v>5.7750000000000003E-2</v>
      </c>
    </row>
    <row r="201" spans="1:9" ht="13" x14ac:dyDescent="0.15">
      <c r="A201" s="10">
        <v>3</v>
      </c>
      <c r="B201" s="25" t="s">
        <v>782</v>
      </c>
      <c r="C201" s="25">
        <v>5.0000000000000001E-3</v>
      </c>
      <c r="D201" s="5" t="s">
        <v>183</v>
      </c>
      <c r="E201" s="5">
        <f>E185</f>
        <v>4.4444444444444446</v>
      </c>
      <c r="F201" s="5">
        <f t="shared" si="40"/>
        <v>2.2222222222222223E-2</v>
      </c>
      <c r="G201" s="25">
        <v>0</v>
      </c>
      <c r="H201" s="5">
        <f t="shared" si="41"/>
        <v>0</v>
      </c>
      <c r="I201" s="5">
        <f t="shared" si="42"/>
        <v>2.2222222222222223E-2</v>
      </c>
    </row>
    <row r="202" spans="1:9" ht="13" x14ac:dyDescent="0.15">
      <c r="A202" s="10">
        <v>4</v>
      </c>
      <c r="B202" s="25" t="s">
        <v>287</v>
      </c>
      <c r="C202" s="25">
        <v>5.0000000000000001E-3</v>
      </c>
      <c r="D202" s="5" t="s">
        <v>183</v>
      </c>
      <c r="E202" s="5">
        <f>E183</f>
        <v>56</v>
      </c>
      <c r="F202" s="5">
        <f t="shared" si="40"/>
        <v>0.28000000000000003</v>
      </c>
      <c r="G202" s="25">
        <v>0</v>
      </c>
      <c r="H202" s="5">
        <f t="shared" si="41"/>
        <v>0</v>
      </c>
      <c r="I202" s="5">
        <f t="shared" si="42"/>
        <v>0.28000000000000003</v>
      </c>
    </row>
    <row r="203" spans="1:9" ht="13" x14ac:dyDescent="0.15">
      <c r="A203" s="10">
        <v>5</v>
      </c>
      <c r="B203" s="25" t="s">
        <v>308</v>
      </c>
      <c r="C203" s="25">
        <v>5.0000000000000001E-3</v>
      </c>
      <c r="D203" s="5" t="s">
        <v>183</v>
      </c>
      <c r="E203" s="5">
        <f>E191</f>
        <v>56</v>
      </c>
      <c r="F203" s="5">
        <f t="shared" si="40"/>
        <v>0.28000000000000003</v>
      </c>
      <c r="G203" s="25">
        <v>0</v>
      </c>
      <c r="H203" s="5">
        <f t="shared" si="41"/>
        <v>0</v>
      </c>
      <c r="I203" s="5">
        <f t="shared" si="42"/>
        <v>0.28000000000000003</v>
      </c>
    </row>
    <row r="204" spans="1:9" ht="13" x14ac:dyDescent="0.15">
      <c r="A204" s="10">
        <v>6</v>
      </c>
      <c r="B204" s="25" t="s">
        <v>827</v>
      </c>
      <c r="C204" s="25">
        <v>0.01</v>
      </c>
      <c r="D204" s="5" t="s">
        <v>183</v>
      </c>
      <c r="E204" s="5">
        <f>'Master Price list'!G222</f>
        <v>37.799999999999997</v>
      </c>
      <c r="F204" s="5">
        <f t="shared" si="40"/>
        <v>0.378</v>
      </c>
      <c r="G204" s="25">
        <v>0</v>
      </c>
      <c r="H204" s="5">
        <f t="shared" si="41"/>
        <v>0</v>
      </c>
      <c r="I204" s="5">
        <f t="shared" si="42"/>
        <v>0.378</v>
      </c>
    </row>
    <row r="205" spans="1:9" ht="13" x14ac:dyDescent="0.15">
      <c r="A205" s="10">
        <v>7</v>
      </c>
      <c r="B205" s="25" t="s">
        <v>718</v>
      </c>
      <c r="C205" s="25">
        <v>0.01</v>
      </c>
      <c r="D205" s="5" t="s">
        <v>183</v>
      </c>
      <c r="E205" s="5">
        <f>E204</f>
        <v>37.799999999999997</v>
      </c>
      <c r="F205" s="5">
        <f t="shared" si="40"/>
        <v>0.378</v>
      </c>
      <c r="G205" s="25">
        <v>0</v>
      </c>
      <c r="H205" s="5">
        <f t="shared" si="41"/>
        <v>0</v>
      </c>
      <c r="I205" s="5">
        <f t="shared" si="42"/>
        <v>0.378</v>
      </c>
    </row>
    <row r="206" spans="1:9" ht="13" x14ac:dyDescent="0.15">
      <c r="A206" s="10">
        <v>8</v>
      </c>
      <c r="B206" s="25" t="s">
        <v>462</v>
      </c>
      <c r="C206" s="25">
        <v>1.4999999999999999E-2</v>
      </c>
      <c r="D206" s="5" t="s">
        <v>183</v>
      </c>
      <c r="E206" s="5">
        <f>'Master Price list'!G107</f>
        <v>6.4</v>
      </c>
      <c r="F206" s="5">
        <f t="shared" si="40"/>
        <v>9.6000000000000002E-2</v>
      </c>
      <c r="G206" s="25">
        <v>0</v>
      </c>
      <c r="H206" s="5">
        <f t="shared" si="41"/>
        <v>0</v>
      </c>
      <c r="I206" s="5">
        <f t="shared" si="42"/>
        <v>9.6000000000000002E-2</v>
      </c>
    </row>
    <row r="207" spans="1:9" ht="13" x14ac:dyDescent="0.15">
      <c r="A207" s="10">
        <v>9</v>
      </c>
      <c r="B207" s="25" t="s">
        <v>787</v>
      </c>
      <c r="C207" s="25">
        <v>0.02</v>
      </c>
      <c r="D207" s="5" t="s">
        <v>183</v>
      </c>
      <c r="E207" s="5">
        <f>E166</f>
        <v>42</v>
      </c>
      <c r="F207" s="5">
        <f t="shared" si="40"/>
        <v>0.84</v>
      </c>
      <c r="G207" s="25">
        <v>0</v>
      </c>
      <c r="H207" s="5">
        <f t="shared" si="41"/>
        <v>0</v>
      </c>
      <c r="I207" s="5">
        <f t="shared" si="42"/>
        <v>0.84</v>
      </c>
    </row>
    <row r="208" spans="1:9" ht="13" x14ac:dyDescent="0.15">
      <c r="A208" s="10">
        <v>10</v>
      </c>
      <c r="B208" s="25" t="s">
        <v>828</v>
      </c>
      <c r="C208" s="25">
        <v>0.1</v>
      </c>
      <c r="D208" s="5" t="s">
        <v>183</v>
      </c>
      <c r="E208" s="5">
        <f>'Master Price list'!G191</f>
        <v>15</v>
      </c>
      <c r="F208" s="5">
        <f t="shared" si="40"/>
        <v>1.5</v>
      </c>
      <c r="G208" s="25">
        <v>20</v>
      </c>
      <c r="H208" s="5">
        <f t="shared" si="41"/>
        <v>0.3</v>
      </c>
      <c r="I208" s="5">
        <f t="shared" si="42"/>
        <v>1.8</v>
      </c>
    </row>
    <row r="209" spans="1:9" ht="13" x14ac:dyDescent="0.15">
      <c r="A209" s="10">
        <v>11</v>
      </c>
      <c r="B209" s="25" t="s">
        <v>829</v>
      </c>
      <c r="C209" s="25">
        <v>0.1</v>
      </c>
      <c r="D209" s="5" t="s">
        <v>183</v>
      </c>
      <c r="E209" s="5">
        <f>'Master Price list'!G187</f>
        <v>8.8000000000000007</v>
      </c>
      <c r="F209" s="5">
        <f t="shared" si="40"/>
        <v>0.88000000000000012</v>
      </c>
      <c r="G209" s="25">
        <v>20</v>
      </c>
      <c r="H209" s="5">
        <f t="shared" si="41"/>
        <v>0.17600000000000002</v>
      </c>
      <c r="I209" s="5">
        <f t="shared" si="42"/>
        <v>1.056</v>
      </c>
    </row>
    <row r="210" spans="1:9" ht="13" x14ac:dyDescent="0.15">
      <c r="A210" s="10">
        <v>12</v>
      </c>
      <c r="B210" s="25" t="s">
        <v>830</v>
      </c>
      <c r="C210" s="25">
        <v>0.1</v>
      </c>
      <c r="D210" s="5" t="s">
        <v>183</v>
      </c>
      <c r="E210" s="5">
        <f>'Master Price list'!G174</f>
        <v>15</v>
      </c>
      <c r="F210" s="5">
        <f t="shared" si="40"/>
        <v>1.5</v>
      </c>
      <c r="G210" s="25">
        <v>20</v>
      </c>
      <c r="H210" s="5">
        <f t="shared" si="41"/>
        <v>0.3</v>
      </c>
      <c r="I210" s="5">
        <f t="shared" si="42"/>
        <v>1.8</v>
      </c>
    </row>
    <row r="211" spans="1:9" ht="13" x14ac:dyDescent="0.15">
      <c r="G211" s="170" t="s">
        <v>777</v>
      </c>
      <c r="H211" s="171"/>
      <c r="I211" s="29">
        <f>SUM(I199:I210)</f>
        <v>226.98797222222223</v>
      </c>
    </row>
    <row r="212" spans="1:9" ht="13" x14ac:dyDescent="0.15">
      <c r="G212" s="170" t="s">
        <v>788</v>
      </c>
      <c r="H212" s="171"/>
      <c r="I212" s="29">
        <f>I211/I196</f>
        <v>20.635270202020202</v>
      </c>
    </row>
    <row r="215" spans="1:9" ht="13" x14ac:dyDescent="0.15">
      <c r="A215" s="175" t="s">
        <v>44</v>
      </c>
      <c r="B215" s="173"/>
      <c r="C215" s="171"/>
      <c r="G215" s="172" t="s">
        <v>772</v>
      </c>
      <c r="H215" s="171"/>
      <c r="I215" s="28">
        <v>1</v>
      </c>
    </row>
    <row r="216" spans="1:9" ht="13" x14ac:dyDescent="0.15">
      <c r="A216" s="168" t="s">
        <v>773</v>
      </c>
      <c r="B216" s="168" t="s">
        <v>774</v>
      </c>
      <c r="C216" s="168" t="s">
        <v>775</v>
      </c>
      <c r="D216" s="168" t="s">
        <v>719</v>
      </c>
      <c r="E216" s="168" t="s">
        <v>776</v>
      </c>
      <c r="F216" s="168" t="s">
        <v>777</v>
      </c>
      <c r="G216" s="168" t="s">
        <v>778</v>
      </c>
      <c r="H216" s="168" t="s">
        <v>779</v>
      </c>
      <c r="I216" s="168" t="s">
        <v>780</v>
      </c>
    </row>
    <row r="217" spans="1:9" ht="13" x14ac:dyDescent="0.15">
      <c r="A217" s="169"/>
      <c r="B217" s="169"/>
      <c r="C217" s="169"/>
      <c r="D217" s="169"/>
      <c r="E217" s="169"/>
      <c r="F217" s="169"/>
      <c r="G217" s="169"/>
      <c r="H217" s="169"/>
      <c r="I217" s="169"/>
    </row>
    <row r="218" spans="1:9" ht="13" x14ac:dyDescent="0.15">
      <c r="A218" s="10">
        <v>1</v>
      </c>
      <c r="B218" s="25"/>
      <c r="C218" s="25">
        <v>2</v>
      </c>
      <c r="D218" s="5" t="s">
        <v>350</v>
      </c>
      <c r="E218" s="5">
        <v>0.35</v>
      </c>
      <c r="F218" s="5">
        <f t="shared" ref="F218:F222" si="43">E218*C218</f>
        <v>0.7</v>
      </c>
      <c r="G218" s="25">
        <v>10</v>
      </c>
      <c r="H218" s="5">
        <f t="shared" ref="H218:H222" si="44">F218/100*G218</f>
        <v>6.9999999999999993E-2</v>
      </c>
      <c r="I218" s="5">
        <f t="shared" ref="I218:I222" si="45">H218+F218</f>
        <v>0.76999999999999991</v>
      </c>
    </row>
    <row r="219" spans="1:9" ht="13" x14ac:dyDescent="0.15">
      <c r="A219" s="10">
        <v>2</v>
      </c>
      <c r="B219" s="25"/>
      <c r="C219" s="25">
        <v>100</v>
      </c>
      <c r="D219" s="5"/>
      <c r="E219" s="5">
        <v>8.5000000000000006E-3</v>
      </c>
      <c r="F219" s="5">
        <f t="shared" si="43"/>
        <v>0.85000000000000009</v>
      </c>
      <c r="G219" s="25">
        <v>5</v>
      </c>
      <c r="H219" s="5">
        <f t="shared" si="44"/>
        <v>4.2500000000000003E-2</v>
      </c>
      <c r="I219" s="5">
        <f t="shared" si="45"/>
        <v>0.89250000000000007</v>
      </c>
    </row>
    <row r="220" spans="1:9" ht="13" x14ac:dyDescent="0.15">
      <c r="A220" s="10">
        <v>3</v>
      </c>
      <c r="B220" s="25"/>
      <c r="C220" s="25">
        <v>20</v>
      </c>
      <c r="D220" s="5"/>
      <c r="E220" s="5">
        <v>7.0000000000000001E-3</v>
      </c>
      <c r="F220" s="5">
        <f t="shared" si="43"/>
        <v>0.14000000000000001</v>
      </c>
      <c r="G220" s="25">
        <v>0</v>
      </c>
      <c r="H220" s="5">
        <f t="shared" si="44"/>
        <v>0</v>
      </c>
      <c r="I220" s="5">
        <f t="shared" si="45"/>
        <v>0.14000000000000001</v>
      </c>
    </row>
    <row r="221" spans="1:9" ht="13" x14ac:dyDescent="0.15">
      <c r="A221" s="10">
        <v>4</v>
      </c>
      <c r="B221" s="25"/>
      <c r="C221" s="25">
        <v>20</v>
      </c>
      <c r="D221" s="5"/>
      <c r="E221" s="5">
        <v>5.0000000000000001E-3</v>
      </c>
      <c r="F221" s="5">
        <f t="shared" si="43"/>
        <v>0.1</v>
      </c>
      <c r="G221" s="25">
        <v>0</v>
      </c>
      <c r="H221" s="5">
        <f t="shared" si="44"/>
        <v>0</v>
      </c>
      <c r="I221" s="5">
        <f t="shared" si="45"/>
        <v>0.1</v>
      </c>
    </row>
    <row r="222" spans="1:9" ht="13" x14ac:dyDescent="0.15">
      <c r="A222" s="10">
        <v>5</v>
      </c>
      <c r="B222" s="25"/>
      <c r="C222" s="25"/>
      <c r="D222" s="5"/>
      <c r="E222" s="5">
        <v>8.5000000000000006E-3</v>
      </c>
      <c r="F222" s="5">
        <f t="shared" si="43"/>
        <v>0</v>
      </c>
      <c r="G222" s="25">
        <v>0</v>
      </c>
      <c r="H222" s="5">
        <f t="shared" si="44"/>
        <v>0</v>
      </c>
      <c r="I222" s="5">
        <f t="shared" si="45"/>
        <v>0</v>
      </c>
    </row>
    <row r="223" spans="1:9" ht="13" x14ac:dyDescent="0.15">
      <c r="A223" s="10">
        <v>6</v>
      </c>
      <c r="B223" s="25"/>
      <c r="C223" s="25"/>
      <c r="D223" s="5"/>
      <c r="E223" s="5"/>
      <c r="F223" s="5"/>
      <c r="G223" s="25"/>
      <c r="H223" s="5"/>
      <c r="I223" s="5"/>
    </row>
    <row r="224" spans="1:9" ht="13" x14ac:dyDescent="0.15">
      <c r="A224" s="10">
        <v>7</v>
      </c>
      <c r="B224" s="25"/>
      <c r="C224" s="25"/>
      <c r="D224" s="5"/>
      <c r="E224" s="5"/>
      <c r="F224" s="5"/>
      <c r="G224" s="25"/>
      <c r="H224" s="5"/>
      <c r="I224" s="5"/>
    </row>
    <row r="225" spans="1:9" ht="13" x14ac:dyDescent="0.15">
      <c r="A225" s="10">
        <v>8</v>
      </c>
      <c r="B225" s="25"/>
      <c r="C225" s="25"/>
      <c r="D225" s="5"/>
      <c r="E225" s="5"/>
      <c r="F225" s="5"/>
      <c r="G225" s="25"/>
      <c r="H225" s="5"/>
      <c r="I225" s="5"/>
    </row>
    <row r="226" spans="1:9" ht="13" x14ac:dyDescent="0.15">
      <c r="A226" s="10">
        <v>9</v>
      </c>
      <c r="B226" s="25"/>
      <c r="C226" s="25"/>
      <c r="D226" s="5"/>
      <c r="E226" s="5"/>
      <c r="F226" s="5"/>
      <c r="G226" s="25"/>
      <c r="H226" s="5"/>
      <c r="I226" s="5"/>
    </row>
    <row r="227" spans="1:9" ht="13" x14ac:dyDescent="0.15">
      <c r="A227" s="10">
        <v>10</v>
      </c>
      <c r="B227" s="25"/>
      <c r="C227" s="25"/>
      <c r="D227" s="5"/>
      <c r="E227" s="5"/>
      <c r="F227" s="5"/>
      <c r="G227" s="25">
        <v>20</v>
      </c>
      <c r="H227" s="5"/>
      <c r="I227" s="5"/>
    </row>
    <row r="228" spans="1:9" ht="13" x14ac:dyDescent="0.15">
      <c r="A228" s="10">
        <v>11</v>
      </c>
      <c r="B228" s="25"/>
      <c r="C228" s="25"/>
      <c r="D228" s="5"/>
      <c r="E228" s="5"/>
      <c r="F228" s="25"/>
      <c r="G228" s="25">
        <v>20</v>
      </c>
      <c r="H228" s="5"/>
      <c r="I228" s="5"/>
    </row>
    <row r="229" spans="1:9" ht="13" x14ac:dyDescent="0.15">
      <c r="A229" s="10">
        <v>12</v>
      </c>
      <c r="B229" s="25"/>
      <c r="C229" s="25"/>
      <c r="D229" s="5"/>
      <c r="E229" s="5"/>
      <c r="F229" s="25"/>
      <c r="G229" s="25">
        <v>20</v>
      </c>
      <c r="H229" s="5"/>
      <c r="I229" s="5"/>
    </row>
    <row r="230" spans="1:9" ht="13" x14ac:dyDescent="0.15">
      <c r="A230" s="10">
        <v>13</v>
      </c>
      <c r="B230" s="25"/>
      <c r="C230" s="25"/>
      <c r="D230" s="5"/>
      <c r="E230" s="5"/>
      <c r="F230" s="25"/>
      <c r="G230" s="25"/>
      <c r="H230" s="5"/>
      <c r="I230" s="5"/>
    </row>
    <row r="231" spans="1:9" ht="13" x14ac:dyDescent="0.15">
      <c r="A231" s="10">
        <v>14</v>
      </c>
      <c r="B231" s="25"/>
      <c r="C231" s="25"/>
      <c r="D231" s="5"/>
      <c r="E231" s="5"/>
      <c r="F231" s="25"/>
      <c r="G231" s="25"/>
      <c r="H231" s="5"/>
      <c r="I231" s="5"/>
    </row>
    <row r="232" spans="1:9" ht="13" x14ac:dyDescent="0.15">
      <c r="A232" s="10">
        <v>15</v>
      </c>
      <c r="B232" s="25"/>
      <c r="C232" s="25"/>
      <c r="D232" s="5"/>
      <c r="E232" s="5"/>
      <c r="F232" s="25"/>
      <c r="G232" s="25"/>
      <c r="H232" s="5"/>
      <c r="I232" s="5"/>
    </row>
    <row r="233" spans="1:9" ht="13" x14ac:dyDescent="0.15">
      <c r="A233" s="10">
        <v>16</v>
      </c>
      <c r="B233" s="25"/>
      <c r="C233" s="25"/>
      <c r="D233" s="5"/>
      <c r="E233" s="5"/>
      <c r="F233" s="25"/>
      <c r="G233" s="25"/>
      <c r="H233" s="5"/>
      <c r="I233" s="5"/>
    </row>
    <row r="234" spans="1:9" ht="13" x14ac:dyDescent="0.15">
      <c r="G234" s="170" t="s">
        <v>777</v>
      </c>
      <c r="H234" s="171"/>
      <c r="I234" s="29">
        <f>SUM(I218:I233)</f>
        <v>1.9025000000000003</v>
      </c>
    </row>
    <row r="235" spans="1:9" ht="13" x14ac:dyDescent="0.15">
      <c r="G235" s="170" t="s">
        <v>784</v>
      </c>
      <c r="H235" s="171"/>
      <c r="I235" s="29">
        <f>I234/I215</f>
        <v>1.9025000000000003</v>
      </c>
    </row>
    <row r="238" spans="1:9" ht="13" x14ac:dyDescent="0.15">
      <c r="A238" s="172" t="s">
        <v>74</v>
      </c>
      <c r="B238" s="173"/>
      <c r="C238" s="171"/>
      <c r="G238" s="172" t="s">
        <v>772</v>
      </c>
      <c r="H238" s="171"/>
      <c r="I238" s="28">
        <v>5</v>
      </c>
    </row>
    <row r="239" spans="1:9" ht="13" x14ac:dyDescent="0.15">
      <c r="A239" s="168" t="s">
        <v>773</v>
      </c>
      <c r="B239" s="168" t="s">
        <v>774</v>
      </c>
      <c r="C239" s="168" t="s">
        <v>775</v>
      </c>
      <c r="D239" s="168" t="s">
        <v>719</v>
      </c>
      <c r="E239" s="168" t="s">
        <v>776</v>
      </c>
      <c r="F239" s="168" t="s">
        <v>777</v>
      </c>
      <c r="G239" s="168" t="s">
        <v>778</v>
      </c>
      <c r="H239" s="168" t="s">
        <v>779</v>
      </c>
      <c r="I239" s="168" t="s">
        <v>780</v>
      </c>
    </row>
    <row r="240" spans="1:9" ht="13" x14ac:dyDescent="0.15">
      <c r="A240" s="169"/>
      <c r="B240" s="169"/>
      <c r="C240" s="169"/>
      <c r="D240" s="169"/>
      <c r="E240" s="169"/>
      <c r="F240" s="169"/>
      <c r="G240" s="169"/>
      <c r="H240" s="169"/>
      <c r="I240" s="169"/>
    </row>
    <row r="241" spans="1:9" ht="13" x14ac:dyDescent="0.15">
      <c r="A241" s="10">
        <v>1</v>
      </c>
      <c r="B241" s="25" t="s">
        <v>207</v>
      </c>
      <c r="C241" s="25">
        <v>1</v>
      </c>
      <c r="D241" s="5" t="s">
        <v>183</v>
      </c>
      <c r="E241" s="5">
        <f>'Master Price list'!G12</f>
        <v>9</v>
      </c>
      <c r="F241" s="5">
        <f t="shared" ref="F241:F245" si="46">E241*C241</f>
        <v>9</v>
      </c>
      <c r="G241" s="25">
        <v>5</v>
      </c>
      <c r="H241" s="5">
        <f t="shared" ref="H241:H245" si="47">F241/100*G241</f>
        <v>0.44999999999999996</v>
      </c>
      <c r="I241" s="5">
        <f t="shared" ref="I241:I245" si="48">H241+F241</f>
        <v>9.4499999999999993</v>
      </c>
    </row>
    <row r="242" spans="1:9" ht="13" x14ac:dyDescent="0.15">
      <c r="A242" s="10">
        <v>2</v>
      </c>
      <c r="B242" s="25" t="s">
        <v>822</v>
      </c>
      <c r="C242" s="25">
        <v>0.02</v>
      </c>
      <c r="D242" s="5" t="s">
        <v>183</v>
      </c>
      <c r="E242" s="5">
        <f>E200</f>
        <v>11</v>
      </c>
      <c r="F242" s="5">
        <f t="shared" si="46"/>
        <v>0.22</v>
      </c>
      <c r="G242" s="25">
        <v>5</v>
      </c>
      <c r="H242" s="5">
        <f t="shared" si="47"/>
        <v>1.1000000000000001E-2</v>
      </c>
      <c r="I242" s="5">
        <f t="shared" si="48"/>
        <v>0.23100000000000001</v>
      </c>
    </row>
    <row r="243" spans="1:9" ht="13" x14ac:dyDescent="0.15">
      <c r="A243" s="10">
        <v>3</v>
      </c>
      <c r="B243" s="25" t="s">
        <v>433</v>
      </c>
      <c r="C243" s="25">
        <v>0.05</v>
      </c>
      <c r="D243" s="5" t="s">
        <v>183</v>
      </c>
      <c r="E243" s="5">
        <f>'Master Price list'!G97</f>
        <v>13.5</v>
      </c>
      <c r="F243" s="5">
        <f t="shared" si="46"/>
        <v>0.67500000000000004</v>
      </c>
      <c r="G243" s="25">
        <v>0</v>
      </c>
      <c r="H243" s="5">
        <f t="shared" si="47"/>
        <v>0</v>
      </c>
      <c r="I243" s="5">
        <f t="shared" si="48"/>
        <v>0.67500000000000004</v>
      </c>
    </row>
    <row r="244" spans="1:9" ht="13" x14ac:dyDescent="0.15">
      <c r="A244" s="10">
        <v>4</v>
      </c>
      <c r="B244" s="25" t="s">
        <v>782</v>
      </c>
      <c r="C244" s="25">
        <v>1E-4</v>
      </c>
      <c r="D244" s="5" t="s">
        <v>183</v>
      </c>
      <c r="E244" s="5">
        <f t="shared" ref="E244:E245" si="49">E201</f>
        <v>4.4444444444444446</v>
      </c>
      <c r="F244" s="5">
        <f t="shared" si="46"/>
        <v>4.4444444444444447E-4</v>
      </c>
      <c r="G244" s="25">
        <v>0</v>
      </c>
      <c r="H244" s="5">
        <f t="shared" si="47"/>
        <v>0</v>
      </c>
      <c r="I244" s="5">
        <f t="shared" si="48"/>
        <v>4.4444444444444447E-4</v>
      </c>
    </row>
    <row r="245" spans="1:9" ht="13" x14ac:dyDescent="0.15">
      <c r="A245" s="10">
        <v>5</v>
      </c>
      <c r="B245" s="25" t="s">
        <v>287</v>
      </c>
      <c r="C245" s="25">
        <v>2.0000000000000001E-4</v>
      </c>
      <c r="D245" s="5" t="s">
        <v>183</v>
      </c>
      <c r="E245" s="5">
        <f t="shared" si="49"/>
        <v>56</v>
      </c>
      <c r="F245" s="5">
        <f t="shared" si="46"/>
        <v>1.12E-2</v>
      </c>
      <c r="G245" s="25">
        <v>0</v>
      </c>
      <c r="H245" s="5">
        <f t="shared" si="47"/>
        <v>0</v>
      </c>
      <c r="I245" s="5">
        <f t="shared" si="48"/>
        <v>1.12E-2</v>
      </c>
    </row>
    <row r="246" spans="1:9" ht="13" x14ac:dyDescent="0.15">
      <c r="G246" s="170" t="s">
        <v>777</v>
      </c>
      <c r="H246" s="171"/>
      <c r="I246" s="29">
        <f>SUM(I241:I245)</f>
        <v>10.367644444444444</v>
      </c>
    </row>
    <row r="247" spans="1:9" ht="13" x14ac:dyDescent="0.15">
      <c r="G247" s="170" t="s">
        <v>788</v>
      </c>
      <c r="H247" s="171"/>
      <c r="I247" s="29">
        <f>I246/I238</f>
        <v>2.0735288888888888</v>
      </c>
    </row>
    <row r="250" spans="1:9" ht="13" x14ac:dyDescent="0.15">
      <c r="A250" s="172" t="s">
        <v>831</v>
      </c>
      <c r="B250" s="173"/>
      <c r="C250" s="171"/>
      <c r="G250" s="172" t="s">
        <v>772</v>
      </c>
      <c r="H250" s="171"/>
      <c r="I250" s="28">
        <v>5</v>
      </c>
    </row>
    <row r="251" spans="1:9" ht="13" x14ac:dyDescent="0.15">
      <c r="A251" s="168" t="s">
        <v>773</v>
      </c>
      <c r="B251" s="168" t="s">
        <v>774</v>
      </c>
      <c r="C251" s="168" t="s">
        <v>775</v>
      </c>
      <c r="D251" s="168" t="s">
        <v>719</v>
      </c>
      <c r="E251" s="168" t="s">
        <v>776</v>
      </c>
      <c r="F251" s="168" t="s">
        <v>777</v>
      </c>
      <c r="G251" s="168" t="s">
        <v>778</v>
      </c>
      <c r="H251" s="168" t="s">
        <v>779</v>
      </c>
      <c r="I251" s="168" t="s">
        <v>780</v>
      </c>
    </row>
    <row r="252" spans="1:9" ht="13" x14ac:dyDescent="0.15">
      <c r="A252" s="169"/>
      <c r="B252" s="169"/>
      <c r="C252" s="169"/>
      <c r="D252" s="169"/>
      <c r="E252" s="169"/>
      <c r="F252" s="169"/>
      <c r="G252" s="169"/>
      <c r="H252" s="169"/>
      <c r="I252" s="169"/>
    </row>
    <row r="253" spans="1:9" ht="13" x14ac:dyDescent="0.15">
      <c r="A253" s="10">
        <v>1</v>
      </c>
      <c r="B253" s="25" t="s">
        <v>207</v>
      </c>
      <c r="C253" s="25">
        <v>1</v>
      </c>
      <c r="D253" s="5" t="s">
        <v>183</v>
      </c>
      <c r="E253" s="5">
        <f>E241</f>
        <v>9</v>
      </c>
      <c r="F253" s="5">
        <f t="shared" ref="F253:F260" si="50">E253*C253</f>
        <v>9</v>
      </c>
      <c r="G253" s="25">
        <v>5</v>
      </c>
      <c r="H253" s="5">
        <f t="shared" ref="H253:H260" si="51">F253/100*G253</f>
        <v>0.44999999999999996</v>
      </c>
      <c r="I253" s="5">
        <f t="shared" ref="I253:I260" si="52">H253+F253</f>
        <v>9.4499999999999993</v>
      </c>
    </row>
    <row r="254" spans="1:9" ht="13" x14ac:dyDescent="0.15">
      <c r="A254" s="10">
        <v>2</v>
      </c>
      <c r="B254" s="25" t="s">
        <v>824</v>
      </c>
      <c r="C254" s="25">
        <v>2.5000000000000001E-2</v>
      </c>
      <c r="D254" s="5" t="s">
        <v>183</v>
      </c>
      <c r="E254" s="5">
        <f>'Master Price list'!G60</f>
        <v>42</v>
      </c>
      <c r="F254" s="5">
        <f t="shared" si="50"/>
        <v>1.05</v>
      </c>
      <c r="G254" s="25">
        <v>0</v>
      </c>
      <c r="H254" s="5">
        <f t="shared" si="51"/>
        <v>0</v>
      </c>
      <c r="I254" s="5">
        <f t="shared" si="52"/>
        <v>1.05</v>
      </c>
    </row>
    <row r="255" spans="1:9" ht="13" x14ac:dyDescent="0.15">
      <c r="A255" s="10">
        <v>3</v>
      </c>
      <c r="B255" s="25" t="s">
        <v>433</v>
      </c>
      <c r="C255" s="25">
        <v>0.05</v>
      </c>
      <c r="D255" s="5" t="s">
        <v>183</v>
      </c>
      <c r="E255" s="5">
        <f>E243</f>
        <v>13.5</v>
      </c>
      <c r="F255" s="5">
        <f t="shared" si="50"/>
        <v>0.67500000000000004</v>
      </c>
      <c r="G255" s="25">
        <v>0</v>
      </c>
      <c r="H255" s="5">
        <f t="shared" si="51"/>
        <v>0</v>
      </c>
      <c r="I255" s="5">
        <f t="shared" si="52"/>
        <v>0.67500000000000004</v>
      </c>
    </row>
    <row r="256" spans="1:9" ht="13" x14ac:dyDescent="0.15">
      <c r="A256" s="10">
        <v>4</v>
      </c>
      <c r="B256" s="25" t="s">
        <v>718</v>
      </c>
      <c r="C256" s="25">
        <v>0.05</v>
      </c>
      <c r="D256" s="5" t="s">
        <v>183</v>
      </c>
      <c r="E256" s="5">
        <f>E205</f>
        <v>37.799999999999997</v>
      </c>
      <c r="F256" s="5">
        <f t="shared" si="50"/>
        <v>1.89</v>
      </c>
      <c r="G256" s="25">
        <v>0</v>
      </c>
      <c r="H256" s="5">
        <f t="shared" si="51"/>
        <v>0</v>
      </c>
      <c r="I256" s="5">
        <f t="shared" si="52"/>
        <v>1.89</v>
      </c>
    </row>
    <row r="257" spans="1:9" ht="13" x14ac:dyDescent="0.15">
      <c r="A257" s="10">
        <v>5</v>
      </c>
      <c r="B257" s="25" t="s">
        <v>310</v>
      </c>
      <c r="C257" s="25">
        <v>1.4999999999999999E-2</v>
      </c>
      <c r="D257" s="5" t="s">
        <v>183</v>
      </c>
      <c r="E257" s="5">
        <f>'Master Price list'!G52</f>
        <v>28</v>
      </c>
      <c r="F257" s="5">
        <f t="shared" si="50"/>
        <v>0.42</v>
      </c>
      <c r="G257" s="25">
        <v>0</v>
      </c>
      <c r="H257" s="5">
        <f t="shared" si="51"/>
        <v>0</v>
      </c>
      <c r="I257" s="5">
        <f t="shared" si="52"/>
        <v>0.42</v>
      </c>
    </row>
    <row r="258" spans="1:9" ht="13" x14ac:dyDescent="0.15">
      <c r="A258" s="10">
        <v>6</v>
      </c>
      <c r="B258" s="25" t="s">
        <v>822</v>
      </c>
      <c r="C258" s="25">
        <v>0.01</v>
      </c>
      <c r="D258" s="5" t="s">
        <v>183</v>
      </c>
      <c r="E258" s="5">
        <f>E242</f>
        <v>11</v>
      </c>
      <c r="F258" s="5">
        <f t="shared" si="50"/>
        <v>0.11</v>
      </c>
      <c r="G258" s="25">
        <v>5</v>
      </c>
      <c r="H258" s="5">
        <f t="shared" si="51"/>
        <v>5.5000000000000005E-3</v>
      </c>
      <c r="I258" s="5">
        <f t="shared" si="52"/>
        <v>0.11550000000000001</v>
      </c>
    </row>
    <row r="259" spans="1:9" ht="13" x14ac:dyDescent="0.15">
      <c r="A259" s="10">
        <v>7</v>
      </c>
      <c r="B259" s="25" t="s">
        <v>782</v>
      </c>
      <c r="C259" s="25">
        <v>0.01</v>
      </c>
      <c r="D259" s="5" t="s">
        <v>183</v>
      </c>
      <c r="E259" s="5">
        <f t="shared" ref="E259:E260" si="53">E244</f>
        <v>4.4444444444444446</v>
      </c>
      <c r="F259" s="5">
        <f t="shared" si="50"/>
        <v>4.4444444444444446E-2</v>
      </c>
      <c r="G259" s="25">
        <v>0</v>
      </c>
      <c r="H259" s="5">
        <f t="shared" si="51"/>
        <v>0</v>
      </c>
      <c r="I259" s="5">
        <f t="shared" si="52"/>
        <v>4.4444444444444446E-2</v>
      </c>
    </row>
    <row r="260" spans="1:9" ht="13" x14ac:dyDescent="0.15">
      <c r="A260" s="10">
        <v>8</v>
      </c>
      <c r="B260" s="25" t="s">
        <v>287</v>
      </c>
      <c r="C260" s="25">
        <v>0.01</v>
      </c>
      <c r="D260" s="5" t="s">
        <v>183</v>
      </c>
      <c r="E260" s="5">
        <f t="shared" si="53"/>
        <v>56</v>
      </c>
      <c r="F260" s="5">
        <f t="shared" si="50"/>
        <v>0.56000000000000005</v>
      </c>
      <c r="G260" s="25">
        <v>0</v>
      </c>
      <c r="H260" s="5">
        <f t="shared" si="51"/>
        <v>0</v>
      </c>
      <c r="I260" s="5">
        <f t="shared" si="52"/>
        <v>0.56000000000000005</v>
      </c>
    </row>
    <row r="261" spans="1:9" ht="13" x14ac:dyDescent="0.15">
      <c r="G261" s="170" t="s">
        <v>777</v>
      </c>
      <c r="H261" s="171"/>
      <c r="I261" s="29">
        <f>SUM(I253:I260)</f>
        <v>14.204944444444447</v>
      </c>
    </row>
    <row r="262" spans="1:9" ht="13" x14ac:dyDescent="0.15">
      <c r="G262" s="170" t="s">
        <v>788</v>
      </c>
      <c r="H262" s="171"/>
      <c r="I262" s="29">
        <f>I261/I250</f>
        <v>2.8409888888888895</v>
      </c>
    </row>
    <row r="265" spans="1:9" ht="13" x14ac:dyDescent="0.15">
      <c r="A265" s="172" t="s">
        <v>52</v>
      </c>
      <c r="B265" s="173"/>
      <c r="C265" s="171"/>
      <c r="G265" s="172" t="s">
        <v>772</v>
      </c>
      <c r="H265" s="171"/>
      <c r="I265" s="28">
        <v>5</v>
      </c>
    </row>
    <row r="266" spans="1:9" ht="13" x14ac:dyDescent="0.15">
      <c r="A266" s="168" t="s">
        <v>773</v>
      </c>
      <c r="B266" s="168" t="s">
        <v>774</v>
      </c>
      <c r="C266" s="168" t="s">
        <v>775</v>
      </c>
      <c r="D266" s="168" t="s">
        <v>719</v>
      </c>
      <c r="E266" s="168" t="s">
        <v>776</v>
      </c>
      <c r="F266" s="168" t="s">
        <v>777</v>
      </c>
      <c r="G266" s="168" t="s">
        <v>778</v>
      </c>
      <c r="H266" s="168" t="s">
        <v>779</v>
      </c>
      <c r="I266" s="168" t="s">
        <v>780</v>
      </c>
    </row>
    <row r="267" spans="1:9" ht="13" x14ac:dyDescent="0.15">
      <c r="A267" s="169"/>
      <c r="B267" s="169"/>
      <c r="C267" s="169"/>
      <c r="D267" s="169"/>
      <c r="E267" s="169"/>
      <c r="F267" s="169"/>
      <c r="G267" s="169"/>
      <c r="H267" s="169"/>
      <c r="I267" s="169"/>
    </row>
    <row r="268" spans="1:9" ht="13" x14ac:dyDescent="0.15">
      <c r="A268" s="10">
        <v>1</v>
      </c>
      <c r="B268" s="25" t="s">
        <v>832</v>
      </c>
      <c r="C268" s="25">
        <v>1</v>
      </c>
      <c r="D268" s="5" t="s">
        <v>183</v>
      </c>
      <c r="E268" s="5">
        <f>E253</f>
        <v>9</v>
      </c>
      <c r="F268" s="5">
        <f t="shared" ref="F268:F280" si="54">E268*C268</f>
        <v>9</v>
      </c>
      <c r="G268" s="25">
        <v>5</v>
      </c>
      <c r="H268" s="5">
        <f t="shared" ref="H268:H280" si="55">F268/100*G268</f>
        <v>0.44999999999999996</v>
      </c>
      <c r="I268" s="5">
        <f t="shared" ref="I268:I280" si="56">H268+F268</f>
        <v>9.4499999999999993</v>
      </c>
    </row>
    <row r="269" spans="1:9" ht="13" x14ac:dyDescent="0.15">
      <c r="A269" s="10">
        <v>2</v>
      </c>
      <c r="B269" s="25" t="s">
        <v>833</v>
      </c>
      <c r="C269" s="25">
        <v>0.5</v>
      </c>
      <c r="D269" s="5" t="s">
        <v>183</v>
      </c>
      <c r="E269" s="5">
        <f>'Master Price list'!G189</f>
        <v>3.3</v>
      </c>
      <c r="F269" s="5">
        <f t="shared" si="54"/>
        <v>1.65</v>
      </c>
      <c r="G269" s="25">
        <v>5</v>
      </c>
      <c r="H269" s="5">
        <f t="shared" si="55"/>
        <v>8.2500000000000004E-2</v>
      </c>
      <c r="I269" s="5">
        <f t="shared" si="56"/>
        <v>1.7324999999999999</v>
      </c>
    </row>
    <row r="270" spans="1:9" ht="13" x14ac:dyDescent="0.15">
      <c r="A270" s="10">
        <v>3</v>
      </c>
      <c r="B270" s="25" t="s">
        <v>782</v>
      </c>
      <c r="C270" s="25">
        <v>5.0000000000000001E-3</v>
      </c>
      <c r="D270" s="5" t="s">
        <v>183</v>
      </c>
      <c r="E270" s="5">
        <f t="shared" ref="E270:E271" si="57">E259</f>
        <v>4.4444444444444446</v>
      </c>
      <c r="F270" s="5">
        <f t="shared" si="54"/>
        <v>2.2222222222222223E-2</v>
      </c>
      <c r="G270" s="25">
        <v>0</v>
      </c>
      <c r="H270" s="5">
        <f t="shared" si="55"/>
        <v>0</v>
      </c>
      <c r="I270" s="5">
        <f t="shared" si="56"/>
        <v>2.2222222222222223E-2</v>
      </c>
    </row>
    <row r="271" spans="1:9" ht="13" x14ac:dyDescent="0.15">
      <c r="A271" s="10">
        <v>4</v>
      </c>
      <c r="B271" s="25" t="s">
        <v>287</v>
      </c>
      <c r="C271" s="25">
        <v>5.0000000000000001E-3</v>
      </c>
      <c r="D271" s="5" t="s">
        <v>183</v>
      </c>
      <c r="E271" s="5">
        <f t="shared" si="57"/>
        <v>56</v>
      </c>
      <c r="F271" s="5">
        <f t="shared" si="54"/>
        <v>0.28000000000000003</v>
      </c>
      <c r="G271" s="25">
        <v>0</v>
      </c>
      <c r="H271" s="5">
        <f t="shared" si="55"/>
        <v>0</v>
      </c>
      <c r="I271" s="5">
        <f t="shared" si="56"/>
        <v>0.28000000000000003</v>
      </c>
    </row>
    <row r="272" spans="1:9" ht="13" x14ac:dyDescent="0.15">
      <c r="A272" s="10">
        <v>5</v>
      </c>
      <c r="B272" s="25" t="s">
        <v>834</v>
      </c>
      <c r="C272" s="25">
        <v>0.02</v>
      </c>
      <c r="D272" s="5" t="s">
        <v>183</v>
      </c>
      <c r="E272" s="5">
        <f>'Master Price list'!G174</f>
        <v>15</v>
      </c>
      <c r="F272" s="5">
        <f t="shared" si="54"/>
        <v>0.3</v>
      </c>
      <c r="G272" s="25">
        <v>20</v>
      </c>
      <c r="H272" s="5">
        <f t="shared" si="55"/>
        <v>0.06</v>
      </c>
      <c r="I272" s="5">
        <f t="shared" si="56"/>
        <v>0.36</v>
      </c>
    </row>
    <row r="273" spans="1:9" ht="13" x14ac:dyDescent="0.15">
      <c r="A273" s="10">
        <v>6</v>
      </c>
      <c r="B273" s="25" t="s">
        <v>824</v>
      </c>
      <c r="C273" s="25">
        <v>0.01</v>
      </c>
      <c r="D273" s="5" t="s">
        <v>183</v>
      </c>
      <c r="E273" s="5">
        <f>E254</f>
        <v>42</v>
      </c>
      <c r="F273" s="5">
        <f t="shared" si="54"/>
        <v>0.42</v>
      </c>
      <c r="G273" s="25">
        <v>0</v>
      </c>
      <c r="H273" s="5">
        <f t="shared" si="55"/>
        <v>0</v>
      </c>
      <c r="I273" s="5">
        <f t="shared" si="56"/>
        <v>0.42</v>
      </c>
    </row>
    <row r="274" spans="1:9" ht="13" x14ac:dyDescent="0.15">
      <c r="A274" s="10">
        <v>7</v>
      </c>
      <c r="B274" s="25" t="s">
        <v>308</v>
      </c>
      <c r="C274" s="25">
        <v>5.0000000000000001E-3</v>
      </c>
      <c r="D274" s="5" t="s">
        <v>183</v>
      </c>
      <c r="E274" s="5">
        <f>'Master Price list'!G52</f>
        <v>28</v>
      </c>
      <c r="F274" s="5">
        <f t="shared" si="54"/>
        <v>0.14000000000000001</v>
      </c>
      <c r="G274" s="25">
        <v>0</v>
      </c>
      <c r="H274" s="5">
        <f t="shared" si="55"/>
        <v>0</v>
      </c>
      <c r="I274" s="5">
        <f t="shared" si="56"/>
        <v>0.14000000000000001</v>
      </c>
    </row>
    <row r="275" spans="1:9" ht="13" x14ac:dyDescent="0.15">
      <c r="A275" s="10">
        <v>8</v>
      </c>
      <c r="B275" s="25" t="s">
        <v>76</v>
      </c>
      <c r="C275" s="25">
        <v>2</v>
      </c>
      <c r="D275" s="5" t="s">
        <v>350</v>
      </c>
      <c r="E275" s="5">
        <f>'Master Price list'!G207</f>
        <v>0.5</v>
      </c>
      <c r="F275" s="5">
        <f t="shared" si="54"/>
        <v>1</v>
      </c>
      <c r="G275" s="25">
        <v>0</v>
      </c>
      <c r="H275" s="5">
        <f t="shared" si="55"/>
        <v>0</v>
      </c>
      <c r="I275" s="5">
        <f t="shared" si="56"/>
        <v>1</v>
      </c>
    </row>
    <row r="276" spans="1:9" ht="13" x14ac:dyDescent="0.15">
      <c r="A276" s="10">
        <v>9</v>
      </c>
      <c r="B276" s="25" t="s">
        <v>822</v>
      </c>
      <c r="C276" s="25">
        <v>0.01</v>
      </c>
      <c r="D276" s="5" t="s">
        <v>183</v>
      </c>
      <c r="E276" s="5">
        <f>E258</f>
        <v>11</v>
      </c>
      <c r="F276" s="5">
        <f t="shared" si="54"/>
        <v>0.11</v>
      </c>
      <c r="G276" s="25">
        <v>5</v>
      </c>
      <c r="H276" s="5">
        <f t="shared" si="55"/>
        <v>5.5000000000000005E-3</v>
      </c>
      <c r="I276" s="5">
        <f t="shared" si="56"/>
        <v>0.11550000000000001</v>
      </c>
    </row>
    <row r="277" spans="1:9" ht="13" x14ac:dyDescent="0.15">
      <c r="A277" s="10">
        <v>10</v>
      </c>
      <c r="B277" s="25" t="s">
        <v>786</v>
      </c>
      <c r="C277" s="25">
        <v>0.01</v>
      </c>
      <c r="D277" s="5" t="s">
        <v>183</v>
      </c>
      <c r="E277" s="5">
        <f>'Master Price list'!G191</f>
        <v>15</v>
      </c>
      <c r="F277" s="5">
        <f t="shared" si="54"/>
        <v>0.15</v>
      </c>
      <c r="G277" s="25">
        <v>20</v>
      </c>
      <c r="H277" s="5">
        <f t="shared" si="55"/>
        <v>0.03</v>
      </c>
      <c r="I277" s="5">
        <f t="shared" si="56"/>
        <v>0.18</v>
      </c>
    </row>
    <row r="278" spans="1:9" ht="13" x14ac:dyDescent="0.15">
      <c r="A278" s="10">
        <v>11</v>
      </c>
      <c r="B278" s="25" t="s">
        <v>718</v>
      </c>
      <c r="C278" s="25">
        <v>0.01</v>
      </c>
      <c r="D278" s="5" t="s">
        <v>183</v>
      </c>
      <c r="E278" s="5">
        <f>'Master Price list'!G222</f>
        <v>37.799999999999997</v>
      </c>
      <c r="F278" s="5">
        <f t="shared" si="54"/>
        <v>0.378</v>
      </c>
      <c r="G278" s="25">
        <v>0</v>
      </c>
      <c r="H278" s="5">
        <f t="shared" si="55"/>
        <v>0</v>
      </c>
      <c r="I278" s="5">
        <f t="shared" si="56"/>
        <v>0.378</v>
      </c>
    </row>
    <row r="279" spans="1:9" ht="13" x14ac:dyDescent="0.15">
      <c r="A279" s="10">
        <v>12</v>
      </c>
      <c r="B279" s="25" t="s">
        <v>337</v>
      </c>
      <c r="C279" s="25">
        <v>5.0000000000000001E-3</v>
      </c>
      <c r="D279" s="5" t="s">
        <v>183</v>
      </c>
      <c r="E279" s="5">
        <f>'Master Price list'!G63</f>
        <v>750</v>
      </c>
      <c r="F279" s="5">
        <f t="shared" si="54"/>
        <v>3.75</v>
      </c>
      <c r="G279" s="25">
        <v>0</v>
      </c>
      <c r="H279" s="5">
        <f t="shared" si="55"/>
        <v>0</v>
      </c>
      <c r="I279" s="5">
        <f t="shared" si="56"/>
        <v>3.75</v>
      </c>
    </row>
    <row r="280" spans="1:9" ht="13" x14ac:dyDescent="0.15">
      <c r="A280" s="10">
        <v>13</v>
      </c>
      <c r="B280" s="25" t="s">
        <v>376</v>
      </c>
      <c r="C280" s="25">
        <v>0.1</v>
      </c>
      <c r="D280" s="5" t="s">
        <v>183</v>
      </c>
      <c r="E280" s="5">
        <f>'Master Price list'!G75</f>
        <v>9.1999999999999993</v>
      </c>
      <c r="F280" s="5">
        <f t="shared" si="54"/>
        <v>0.91999999999999993</v>
      </c>
      <c r="G280" s="25">
        <v>0</v>
      </c>
      <c r="H280" s="5">
        <f t="shared" si="55"/>
        <v>0</v>
      </c>
      <c r="I280" s="5">
        <f t="shared" si="56"/>
        <v>0.91999999999999993</v>
      </c>
    </row>
    <row r="281" spans="1:9" ht="13" x14ac:dyDescent="0.15">
      <c r="G281" s="170" t="s">
        <v>777</v>
      </c>
      <c r="H281" s="171"/>
      <c r="I281" s="29">
        <f>SUM(I268:I280)</f>
        <v>18.748222222222225</v>
      </c>
    </row>
    <row r="282" spans="1:9" ht="13" x14ac:dyDescent="0.15">
      <c r="G282" s="170" t="s">
        <v>788</v>
      </c>
      <c r="H282" s="171"/>
      <c r="I282" s="29">
        <f>I281/I265</f>
        <v>3.7496444444444448</v>
      </c>
    </row>
    <row r="285" spans="1:9" ht="13" x14ac:dyDescent="0.15">
      <c r="A285" s="172" t="s">
        <v>733</v>
      </c>
      <c r="B285" s="173"/>
      <c r="C285" s="171"/>
      <c r="G285" s="172" t="s">
        <v>772</v>
      </c>
      <c r="H285" s="171"/>
      <c r="I285" s="28">
        <v>3</v>
      </c>
    </row>
    <row r="286" spans="1:9" ht="13" x14ac:dyDescent="0.15">
      <c r="A286" s="168" t="s">
        <v>773</v>
      </c>
      <c r="B286" s="168" t="s">
        <v>774</v>
      </c>
      <c r="C286" s="168" t="s">
        <v>775</v>
      </c>
      <c r="D286" s="168" t="s">
        <v>719</v>
      </c>
      <c r="E286" s="168" t="s">
        <v>776</v>
      </c>
      <c r="F286" s="168" t="s">
        <v>777</v>
      </c>
      <c r="G286" s="168" t="s">
        <v>778</v>
      </c>
      <c r="H286" s="168" t="s">
        <v>779</v>
      </c>
      <c r="I286" s="168" t="s">
        <v>780</v>
      </c>
    </row>
    <row r="287" spans="1:9" ht="13" x14ac:dyDescent="0.15">
      <c r="A287" s="169"/>
      <c r="B287" s="169"/>
      <c r="C287" s="169"/>
      <c r="D287" s="169"/>
      <c r="E287" s="169"/>
      <c r="F287" s="169"/>
      <c r="G287" s="169"/>
      <c r="H287" s="169"/>
      <c r="I287" s="169"/>
    </row>
    <row r="288" spans="1:9" ht="13" x14ac:dyDescent="0.15">
      <c r="A288" s="10">
        <v>1</v>
      </c>
      <c r="B288" s="25" t="s">
        <v>451</v>
      </c>
      <c r="C288" s="25">
        <v>3</v>
      </c>
      <c r="D288" s="5" t="s">
        <v>183</v>
      </c>
      <c r="E288" s="5">
        <f>'Master Price list'!G103</f>
        <v>10.8</v>
      </c>
      <c r="F288" s="5">
        <f t="shared" ref="F288:F297" si="58">E288*C288</f>
        <v>32.400000000000006</v>
      </c>
      <c r="G288" s="25">
        <v>0</v>
      </c>
      <c r="H288" s="5">
        <f t="shared" ref="H288:H297" si="59">F288/100*G288</f>
        <v>0</v>
      </c>
      <c r="I288" s="5">
        <f t="shared" ref="I288:I297" si="60">H288+F288</f>
        <v>32.400000000000006</v>
      </c>
    </row>
    <row r="289" spans="1:9" ht="13" x14ac:dyDescent="0.15">
      <c r="A289" s="10">
        <v>2</v>
      </c>
      <c r="B289" s="25" t="s">
        <v>815</v>
      </c>
      <c r="C289" s="25">
        <v>0.3</v>
      </c>
      <c r="D289" s="5" t="s">
        <v>183</v>
      </c>
      <c r="E289" s="5">
        <f>'Master Price list'!G190</f>
        <v>3.5</v>
      </c>
      <c r="F289" s="5">
        <f t="shared" si="58"/>
        <v>1.05</v>
      </c>
      <c r="G289" s="25">
        <v>5</v>
      </c>
      <c r="H289" s="5">
        <f t="shared" si="59"/>
        <v>5.2500000000000005E-2</v>
      </c>
      <c r="I289" s="5">
        <f t="shared" si="60"/>
        <v>1.1025</v>
      </c>
    </row>
    <row r="290" spans="1:9" ht="13" x14ac:dyDescent="0.15">
      <c r="A290" s="10">
        <v>3</v>
      </c>
      <c r="B290" s="25" t="s">
        <v>822</v>
      </c>
      <c r="C290" s="25">
        <v>1.4999999999999999E-2</v>
      </c>
      <c r="D290" s="5" t="s">
        <v>183</v>
      </c>
      <c r="E290" s="5">
        <f>E258</f>
        <v>11</v>
      </c>
      <c r="F290" s="5">
        <f t="shared" si="58"/>
        <v>0.16499999999999998</v>
      </c>
      <c r="G290" s="25">
        <v>5</v>
      </c>
      <c r="H290" s="5">
        <f t="shared" si="59"/>
        <v>8.2499999999999987E-3</v>
      </c>
      <c r="I290" s="5">
        <f t="shared" si="60"/>
        <v>0.17324999999999999</v>
      </c>
    </row>
    <row r="291" spans="1:9" ht="13" x14ac:dyDescent="0.15">
      <c r="A291" s="10">
        <v>4</v>
      </c>
      <c r="B291" s="25" t="s">
        <v>782</v>
      </c>
      <c r="C291" s="25">
        <v>5.0000000000000001E-3</v>
      </c>
      <c r="D291" s="5" t="s">
        <v>183</v>
      </c>
      <c r="E291" s="5">
        <f t="shared" ref="E291:E292" si="61">E270</f>
        <v>4.4444444444444446</v>
      </c>
      <c r="F291" s="5">
        <f t="shared" si="58"/>
        <v>2.2222222222222223E-2</v>
      </c>
      <c r="G291" s="25">
        <v>0</v>
      </c>
      <c r="H291" s="5">
        <f t="shared" si="59"/>
        <v>0</v>
      </c>
      <c r="I291" s="5">
        <f t="shared" si="60"/>
        <v>2.2222222222222223E-2</v>
      </c>
    </row>
    <row r="292" spans="1:9" ht="13" x14ac:dyDescent="0.15">
      <c r="A292" s="10">
        <v>5</v>
      </c>
      <c r="B292" s="25" t="s">
        <v>287</v>
      </c>
      <c r="C292" s="25">
        <v>0.01</v>
      </c>
      <c r="D292" s="5" t="s">
        <v>183</v>
      </c>
      <c r="E292" s="5">
        <f t="shared" si="61"/>
        <v>56</v>
      </c>
      <c r="F292" s="5">
        <f t="shared" si="58"/>
        <v>0.56000000000000005</v>
      </c>
      <c r="G292" s="25">
        <v>0</v>
      </c>
      <c r="H292" s="5">
        <f t="shared" si="59"/>
        <v>0</v>
      </c>
      <c r="I292" s="5">
        <f t="shared" si="60"/>
        <v>0.56000000000000005</v>
      </c>
    </row>
    <row r="293" spans="1:9" ht="13" x14ac:dyDescent="0.15">
      <c r="A293" s="10">
        <v>6</v>
      </c>
      <c r="B293" s="25" t="s">
        <v>787</v>
      </c>
      <c r="C293" s="25">
        <v>7.4999999999999997E-2</v>
      </c>
      <c r="D293" s="5" t="s">
        <v>183</v>
      </c>
      <c r="E293" s="5">
        <f>E207</f>
        <v>42</v>
      </c>
      <c r="F293" s="5">
        <f t="shared" si="58"/>
        <v>3.15</v>
      </c>
      <c r="G293" s="25">
        <v>0</v>
      </c>
      <c r="H293" s="5">
        <f t="shared" si="59"/>
        <v>0</v>
      </c>
      <c r="I293" s="5">
        <f t="shared" si="60"/>
        <v>3.15</v>
      </c>
    </row>
    <row r="294" spans="1:9" ht="13" x14ac:dyDescent="0.15">
      <c r="A294" s="10">
        <v>7</v>
      </c>
      <c r="B294" s="25" t="s">
        <v>823</v>
      </c>
      <c r="C294" s="25">
        <v>5.0000000000000001E-3</v>
      </c>
      <c r="D294" s="5" t="s">
        <v>183</v>
      </c>
      <c r="E294" s="5">
        <f>'Master Price list'!G59</f>
        <v>24</v>
      </c>
      <c r="F294" s="5">
        <f t="shared" si="58"/>
        <v>0.12</v>
      </c>
      <c r="G294" s="25">
        <v>0</v>
      </c>
      <c r="H294" s="5">
        <f t="shared" si="59"/>
        <v>0</v>
      </c>
      <c r="I294" s="5">
        <f t="shared" si="60"/>
        <v>0.12</v>
      </c>
    </row>
    <row r="295" spans="1:9" ht="13" x14ac:dyDescent="0.15">
      <c r="A295" s="10">
        <v>8</v>
      </c>
      <c r="B295" s="25" t="s">
        <v>791</v>
      </c>
      <c r="C295" s="25">
        <v>0.05</v>
      </c>
      <c r="D295" s="5" t="s">
        <v>183</v>
      </c>
      <c r="E295" s="5">
        <f>'Master Price list'!G160</f>
        <v>86</v>
      </c>
      <c r="F295" s="5">
        <f t="shared" si="58"/>
        <v>4.3</v>
      </c>
      <c r="G295" s="25">
        <v>5</v>
      </c>
      <c r="H295" s="5">
        <f t="shared" si="59"/>
        <v>0.21499999999999997</v>
      </c>
      <c r="I295" s="5">
        <f t="shared" si="60"/>
        <v>4.5149999999999997</v>
      </c>
    </row>
    <row r="296" spans="1:9" ht="13" x14ac:dyDescent="0.15">
      <c r="A296" s="10">
        <v>9</v>
      </c>
      <c r="B296" s="25" t="s">
        <v>835</v>
      </c>
      <c r="C296" s="25">
        <v>0.05</v>
      </c>
      <c r="D296" s="5" t="s">
        <v>183</v>
      </c>
      <c r="E296" s="5">
        <f>'Master Price list'!G201</f>
        <v>86</v>
      </c>
      <c r="F296" s="5">
        <f t="shared" si="58"/>
        <v>4.3</v>
      </c>
      <c r="G296" s="25">
        <v>5</v>
      </c>
      <c r="H296" s="5">
        <f t="shared" si="59"/>
        <v>0.21499999999999997</v>
      </c>
      <c r="I296" s="5">
        <f t="shared" si="60"/>
        <v>4.5149999999999997</v>
      </c>
    </row>
    <row r="297" spans="1:9" ht="13" x14ac:dyDescent="0.15">
      <c r="A297" s="10">
        <v>10</v>
      </c>
      <c r="B297" s="25" t="s">
        <v>439</v>
      </c>
      <c r="C297" s="25">
        <v>0.2</v>
      </c>
      <c r="D297" s="5" t="s">
        <v>183</v>
      </c>
      <c r="E297" s="5">
        <f>'Master Price list'!G99</f>
        <v>16.363636363636363</v>
      </c>
      <c r="F297" s="5">
        <f t="shared" si="58"/>
        <v>3.2727272727272729</v>
      </c>
      <c r="G297" s="25">
        <v>0</v>
      </c>
      <c r="H297" s="5">
        <f t="shared" si="59"/>
        <v>0</v>
      </c>
      <c r="I297" s="5">
        <f t="shared" si="60"/>
        <v>3.2727272727272729</v>
      </c>
    </row>
    <row r="298" spans="1:9" ht="13" x14ac:dyDescent="0.15">
      <c r="G298" s="170" t="s">
        <v>777</v>
      </c>
      <c r="H298" s="171"/>
      <c r="I298" s="29">
        <f>SUM(I288:I297)</f>
        <v>49.830699494949506</v>
      </c>
    </row>
    <row r="299" spans="1:9" ht="13" x14ac:dyDescent="0.15">
      <c r="G299" s="170" t="s">
        <v>836</v>
      </c>
      <c r="H299" s="171"/>
      <c r="I299" s="29">
        <f>I298/I285</f>
        <v>16.610233164983168</v>
      </c>
    </row>
    <row r="302" spans="1:9" ht="13" x14ac:dyDescent="0.15">
      <c r="A302" s="172" t="s">
        <v>734</v>
      </c>
      <c r="B302" s="173"/>
      <c r="C302" s="171"/>
      <c r="G302" s="172" t="s">
        <v>772</v>
      </c>
      <c r="H302" s="171"/>
      <c r="I302" s="28">
        <v>1</v>
      </c>
    </row>
    <row r="303" spans="1:9" ht="13" x14ac:dyDescent="0.15">
      <c r="A303" s="168" t="s">
        <v>773</v>
      </c>
      <c r="B303" s="168" t="s">
        <v>774</v>
      </c>
      <c r="C303" s="168" t="s">
        <v>775</v>
      </c>
      <c r="D303" s="168" t="s">
        <v>719</v>
      </c>
      <c r="E303" s="168" t="s">
        <v>776</v>
      </c>
      <c r="F303" s="168" t="s">
        <v>777</v>
      </c>
      <c r="G303" s="168" t="s">
        <v>778</v>
      </c>
      <c r="H303" s="168" t="s">
        <v>779</v>
      </c>
      <c r="I303" s="168" t="s">
        <v>780</v>
      </c>
    </row>
    <row r="304" spans="1:9" ht="13" x14ac:dyDescent="0.15">
      <c r="A304" s="169"/>
      <c r="B304" s="169"/>
      <c r="C304" s="169"/>
      <c r="D304" s="169"/>
      <c r="E304" s="169"/>
      <c r="F304" s="169"/>
      <c r="G304" s="169"/>
      <c r="H304" s="169"/>
      <c r="I304" s="169"/>
    </row>
    <row r="305" spans="1:9" ht="13" x14ac:dyDescent="0.15">
      <c r="A305" s="10">
        <v>1</v>
      </c>
      <c r="B305" s="25" t="s">
        <v>787</v>
      </c>
      <c r="C305" s="25">
        <v>0.12</v>
      </c>
      <c r="D305" s="5" t="s">
        <v>183</v>
      </c>
      <c r="E305" s="5">
        <f>E293</f>
        <v>42</v>
      </c>
      <c r="F305" s="5">
        <f t="shared" ref="F305:F308" si="62">E305*C305</f>
        <v>5.04</v>
      </c>
      <c r="G305" s="25">
        <v>0</v>
      </c>
      <c r="H305" s="5">
        <f t="shared" ref="H305:H308" si="63">F305/100*G305</f>
        <v>0</v>
      </c>
      <c r="I305" s="5">
        <f t="shared" ref="I305:I308" si="64">H305+F305</f>
        <v>5.04</v>
      </c>
    </row>
    <row r="306" spans="1:9" ht="13" x14ac:dyDescent="0.15">
      <c r="A306" s="10">
        <v>2</v>
      </c>
      <c r="B306" s="25" t="s">
        <v>718</v>
      </c>
      <c r="C306" s="25">
        <v>0.06</v>
      </c>
      <c r="D306" s="5" t="s">
        <v>183</v>
      </c>
      <c r="E306" s="5">
        <f>E278</f>
        <v>37.799999999999997</v>
      </c>
      <c r="F306" s="5">
        <f t="shared" si="62"/>
        <v>2.2679999999999998</v>
      </c>
      <c r="G306" s="25">
        <v>5</v>
      </c>
      <c r="H306" s="5">
        <f t="shared" si="63"/>
        <v>0.1134</v>
      </c>
      <c r="I306" s="5">
        <f t="shared" si="64"/>
        <v>2.3813999999999997</v>
      </c>
    </row>
    <row r="307" spans="1:9" ht="13" x14ac:dyDescent="0.15">
      <c r="A307" s="10">
        <v>3</v>
      </c>
      <c r="B307" s="25" t="s">
        <v>556</v>
      </c>
      <c r="C307" s="25">
        <v>0.06</v>
      </c>
      <c r="D307" s="5" t="s">
        <v>183</v>
      </c>
      <c r="E307" s="5">
        <f>'Master Price list'!G146</f>
        <v>15.8</v>
      </c>
      <c r="F307" s="5">
        <f t="shared" si="62"/>
        <v>0.94799999999999995</v>
      </c>
      <c r="G307" s="25">
        <v>0</v>
      </c>
      <c r="H307" s="5">
        <f t="shared" si="63"/>
        <v>0</v>
      </c>
      <c r="I307" s="5">
        <f t="shared" si="64"/>
        <v>0.94799999999999995</v>
      </c>
    </row>
    <row r="308" spans="1:9" ht="13" x14ac:dyDescent="0.15">
      <c r="A308" s="10">
        <v>4</v>
      </c>
      <c r="B308" s="25" t="s">
        <v>837</v>
      </c>
      <c r="C308" s="25">
        <v>5.0000000000000001E-3</v>
      </c>
      <c r="D308" s="5" t="s">
        <v>183</v>
      </c>
      <c r="E308" s="5">
        <f>'Master Price list'!G172</f>
        <v>18</v>
      </c>
      <c r="F308" s="5">
        <f t="shared" si="62"/>
        <v>0.09</v>
      </c>
      <c r="G308" s="25">
        <v>0</v>
      </c>
      <c r="H308" s="5">
        <f t="shared" si="63"/>
        <v>0</v>
      </c>
      <c r="I308" s="5">
        <f t="shared" si="64"/>
        <v>0.09</v>
      </c>
    </row>
    <row r="309" spans="1:9" ht="13" x14ac:dyDescent="0.15">
      <c r="G309" s="170" t="s">
        <v>777</v>
      </c>
      <c r="H309" s="171"/>
      <c r="I309" s="29">
        <f>SUM(I305:I308)</f>
        <v>8.4594000000000005</v>
      </c>
    </row>
    <row r="310" spans="1:9" ht="13" x14ac:dyDescent="0.15">
      <c r="G310" s="170" t="s">
        <v>836</v>
      </c>
      <c r="H310" s="171"/>
      <c r="I310" s="29">
        <f>I309/240*1000</f>
        <v>35.247500000000002</v>
      </c>
    </row>
    <row r="313" spans="1:9" ht="13" x14ac:dyDescent="0.15">
      <c r="A313" s="172" t="s">
        <v>735</v>
      </c>
      <c r="B313" s="173"/>
      <c r="C313" s="171"/>
      <c r="G313" s="172" t="s">
        <v>772</v>
      </c>
      <c r="H313" s="171"/>
      <c r="I313" s="28">
        <v>30</v>
      </c>
    </row>
    <row r="314" spans="1:9" ht="13" x14ac:dyDescent="0.15">
      <c r="A314" s="168" t="s">
        <v>773</v>
      </c>
      <c r="B314" s="168" t="s">
        <v>774</v>
      </c>
      <c r="C314" s="168" t="s">
        <v>775</v>
      </c>
      <c r="D314" s="168" t="s">
        <v>719</v>
      </c>
      <c r="E314" s="168" t="s">
        <v>776</v>
      </c>
      <c r="F314" s="168" t="s">
        <v>777</v>
      </c>
      <c r="G314" s="168" t="s">
        <v>778</v>
      </c>
      <c r="H314" s="168" t="s">
        <v>779</v>
      </c>
      <c r="I314" s="168" t="s">
        <v>780</v>
      </c>
    </row>
    <row r="315" spans="1:9" ht="13" x14ac:dyDescent="0.15">
      <c r="A315" s="169"/>
      <c r="B315" s="169"/>
      <c r="C315" s="169"/>
      <c r="D315" s="169"/>
      <c r="E315" s="169"/>
      <c r="F315" s="169"/>
      <c r="G315" s="169"/>
      <c r="H315" s="169"/>
      <c r="I315" s="169"/>
    </row>
    <row r="316" spans="1:9" ht="13" x14ac:dyDescent="0.15">
      <c r="A316" s="10">
        <v>1</v>
      </c>
      <c r="B316" s="25" t="s">
        <v>480</v>
      </c>
      <c r="C316" s="25">
        <v>2.4</v>
      </c>
      <c r="D316" s="5" t="s">
        <v>183</v>
      </c>
      <c r="E316" s="5">
        <f>'Master Price list'!G114</f>
        <v>4.5</v>
      </c>
      <c r="F316" s="5">
        <f t="shared" ref="F316:F322" si="65">E316*C316</f>
        <v>10.799999999999999</v>
      </c>
      <c r="G316" s="25">
        <v>0</v>
      </c>
      <c r="H316" s="5">
        <f t="shared" ref="H316:H322" si="66">F316/100*G316</f>
        <v>0</v>
      </c>
      <c r="I316" s="5">
        <f t="shared" ref="I316:I322" si="67">H316+F316</f>
        <v>10.799999999999999</v>
      </c>
    </row>
    <row r="317" spans="1:9" ht="13" x14ac:dyDescent="0.15">
      <c r="A317" s="10">
        <v>2</v>
      </c>
      <c r="B317" s="25" t="s">
        <v>838</v>
      </c>
      <c r="C317" s="25">
        <v>0.36</v>
      </c>
      <c r="D317" s="5" t="s">
        <v>183</v>
      </c>
      <c r="E317" s="5">
        <f>'Master Price list'!G119</f>
        <v>4.8</v>
      </c>
      <c r="F317" s="5">
        <f t="shared" si="65"/>
        <v>1.728</v>
      </c>
      <c r="G317" s="25">
        <v>0</v>
      </c>
      <c r="H317" s="5">
        <f t="shared" si="66"/>
        <v>0</v>
      </c>
      <c r="I317" s="5">
        <f t="shared" si="67"/>
        <v>1.728</v>
      </c>
    </row>
    <row r="318" spans="1:9" ht="13" x14ac:dyDescent="0.15">
      <c r="A318" s="10">
        <v>3</v>
      </c>
      <c r="B318" s="25" t="s">
        <v>782</v>
      </c>
      <c r="C318" s="25">
        <v>2.5000000000000001E-2</v>
      </c>
      <c r="D318" s="5" t="s">
        <v>183</v>
      </c>
      <c r="E318" s="5">
        <f>E291</f>
        <v>4.4444444444444446</v>
      </c>
      <c r="F318" s="5">
        <f t="shared" si="65"/>
        <v>0.11111111111111112</v>
      </c>
      <c r="G318" s="25">
        <v>0</v>
      </c>
      <c r="H318" s="5">
        <f t="shared" si="66"/>
        <v>0</v>
      </c>
      <c r="I318" s="5">
        <f t="shared" si="67"/>
        <v>0.11111111111111112</v>
      </c>
    </row>
    <row r="319" spans="1:9" ht="13" x14ac:dyDescent="0.15">
      <c r="A319" s="10">
        <v>4</v>
      </c>
      <c r="B319" s="25" t="s">
        <v>497</v>
      </c>
      <c r="C319" s="25">
        <v>2.5000000000000001E-2</v>
      </c>
      <c r="D319" s="5" t="s">
        <v>183</v>
      </c>
      <c r="E319" s="5">
        <f>'Master Price list'!G122</f>
        <v>7.4</v>
      </c>
      <c r="F319" s="5">
        <f t="shared" si="65"/>
        <v>0.18500000000000003</v>
      </c>
      <c r="G319" s="25">
        <v>0</v>
      </c>
      <c r="H319" s="5">
        <f t="shared" si="66"/>
        <v>0</v>
      </c>
      <c r="I319" s="5">
        <f t="shared" si="67"/>
        <v>0.18500000000000003</v>
      </c>
    </row>
    <row r="320" spans="1:9" ht="13" x14ac:dyDescent="0.15">
      <c r="A320" s="10">
        <v>5</v>
      </c>
      <c r="B320" s="25" t="s">
        <v>839</v>
      </c>
      <c r="C320" s="25">
        <v>1.6</v>
      </c>
      <c r="D320" s="5" t="s">
        <v>183</v>
      </c>
      <c r="E320" s="5">
        <v>0</v>
      </c>
      <c r="F320" s="5">
        <f t="shared" si="65"/>
        <v>0</v>
      </c>
      <c r="G320" s="25">
        <v>0</v>
      </c>
      <c r="H320" s="5">
        <f t="shared" si="66"/>
        <v>0</v>
      </c>
      <c r="I320" s="5">
        <f t="shared" si="67"/>
        <v>0</v>
      </c>
    </row>
    <row r="321" spans="1:9" ht="13" x14ac:dyDescent="0.15">
      <c r="A321" s="10">
        <v>6</v>
      </c>
      <c r="B321" s="25" t="s">
        <v>492</v>
      </c>
      <c r="C321" s="25">
        <v>2.5000000000000001E-2</v>
      </c>
      <c r="D321" s="5" t="s">
        <v>183</v>
      </c>
      <c r="E321" s="5">
        <f>'Master Price list'!G120</f>
        <v>4.5999999999999996</v>
      </c>
      <c r="F321" s="5">
        <f t="shared" si="65"/>
        <v>0.11499999999999999</v>
      </c>
      <c r="G321" s="25">
        <v>0</v>
      </c>
      <c r="H321" s="5">
        <f t="shared" si="66"/>
        <v>0</v>
      </c>
      <c r="I321" s="5">
        <f t="shared" si="67"/>
        <v>0.11499999999999999</v>
      </c>
    </row>
    <row r="322" spans="1:9" ht="13" x14ac:dyDescent="0.15">
      <c r="A322" s="10">
        <v>7</v>
      </c>
      <c r="B322" s="25" t="s">
        <v>787</v>
      </c>
      <c r="C322" s="25">
        <v>0.6</v>
      </c>
      <c r="D322" s="5" t="s">
        <v>183</v>
      </c>
      <c r="E322" s="5">
        <f>E305</f>
        <v>42</v>
      </c>
      <c r="F322" s="5">
        <f t="shared" si="65"/>
        <v>25.2</v>
      </c>
      <c r="G322" s="25">
        <v>0</v>
      </c>
      <c r="H322" s="5">
        <f t="shared" si="66"/>
        <v>0</v>
      </c>
      <c r="I322" s="5">
        <f t="shared" si="67"/>
        <v>25.2</v>
      </c>
    </row>
    <row r="323" spans="1:9" ht="13" x14ac:dyDescent="0.15">
      <c r="G323" s="170" t="s">
        <v>777</v>
      </c>
      <c r="H323" s="171"/>
      <c r="I323" s="29">
        <f>SUM(I316:I322)</f>
        <v>38.139111111111106</v>
      </c>
    </row>
    <row r="324" spans="1:9" ht="13" x14ac:dyDescent="0.15">
      <c r="G324" s="170" t="s">
        <v>812</v>
      </c>
      <c r="H324" s="171"/>
      <c r="I324" s="29">
        <f>I323/I313</f>
        <v>1.2713037037037036</v>
      </c>
    </row>
    <row r="327" spans="1:9" ht="13" x14ac:dyDescent="0.15">
      <c r="A327" s="172" t="s">
        <v>736</v>
      </c>
      <c r="B327" s="173"/>
      <c r="C327" s="171"/>
      <c r="G327" s="172" t="s">
        <v>772</v>
      </c>
      <c r="H327" s="171"/>
      <c r="I327" s="28">
        <v>1</v>
      </c>
    </row>
    <row r="328" spans="1:9" ht="13" x14ac:dyDescent="0.15">
      <c r="A328" s="168" t="s">
        <v>773</v>
      </c>
      <c r="B328" s="168" t="s">
        <v>774</v>
      </c>
      <c r="C328" s="168" t="s">
        <v>775</v>
      </c>
      <c r="D328" s="168" t="s">
        <v>719</v>
      </c>
      <c r="E328" s="168" t="s">
        <v>776</v>
      </c>
      <c r="F328" s="168" t="s">
        <v>777</v>
      </c>
      <c r="G328" s="168" t="s">
        <v>778</v>
      </c>
      <c r="H328" s="168" t="s">
        <v>779</v>
      </c>
      <c r="I328" s="168" t="s">
        <v>780</v>
      </c>
    </row>
    <row r="329" spans="1:9" ht="13" x14ac:dyDescent="0.15">
      <c r="A329" s="169"/>
      <c r="B329" s="169"/>
      <c r="C329" s="169"/>
      <c r="D329" s="169"/>
      <c r="E329" s="169"/>
      <c r="F329" s="169"/>
      <c r="G329" s="169"/>
      <c r="H329" s="169"/>
      <c r="I329" s="169"/>
    </row>
    <row r="330" spans="1:9" ht="13" x14ac:dyDescent="0.15">
      <c r="A330" s="10">
        <v>1</v>
      </c>
      <c r="B330" s="25" t="s">
        <v>451</v>
      </c>
      <c r="C330" s="25">
        <v>3</v>
      </c>
      <c r="D330" s="5" t="s">
        <v>350</v>
      </c>
      <c r="E330" s="5">
        <f t="shared" ref="E330:E332" si="68">E288</f>
        <v>10.8</v>
      </c>
      <c r="F330" s="5">
        <f t="shared" ref="F330:F336" si="69">E330*C330</f>
        <v>32.400000000000006</v>
      </c>
      <c r="G330" s="25">
        <v>0</v>
      </c>
      <c r="H330" s="5">
        <f t="shared" ref="H330:H336" si="70">F330/100*G330</f>
        <v>0</v>
      </c>
      <c r="I330" s="5">
        <f t="shared" ref="I330:I336" si="71">H330+F330</f>
        <v>32.400000000000006</v>
      </c>
    </row>
    <row r="331" spans="1:9" ht="13" x14ac:dyDescent="0.15">
      <c r="A331" s="10">
        <v>2</v>
      </c>
      <c r="B331" s="25" t="s">
        <v>815</v>
      </c>
      <c r="C331" s="25">
        <v>0.1</v>
      </c>
      <c r="D331" s="5" t="s">
        <v>183</v>
      </c>
      <c r="E331" s="5">
        <f t="shared" si="68"/>
        <v>3.5</v>
      </c>
      <c r="F331" s="5">
        <f t="shared" si="69"/>
        <v>0.35000000000000003</v>
      </c>
      <c r="G331" s="25">
        <v>5</v>
      </c>
      <c r="H331" s="5">
        <f t="shared" si="70"/>
        <v>1.7500000000000002E-2</v>
      </c>
      <c r="I331" s="5">
        <f t="shared" si="71"/>
        <v>0.36750000000000005</v>
      </c>
    </row>
    <row r="332" spans="1:9" ht="13" x14ac:dyDescent="0.15">
      <c r="A332" s="10">
        <v>3</v>
      </c>
      <c r="B332" s="25" t="s">
        <v>822</v>
      </c>
      <c r="C332" s="25">
        <v>1.4999999999999999E-2</v>
      </c>
      <c r="D332" s="5" t="s">
        <v>183</v>
      </c>
      <c r="E332" s="5">
        <f t="shared" si="68"/>
        <v>11</v>
      </c>
      <c r="F332" s="5">
        <f t="shared" si="69"/>
        <v>0.16499999999999998</v>
      </c>
      <c r="G332" s="25">
        <v>5</v>
      </c>
      <c r="H332" s="5">
        <f t="shared" si="70"/>
        <v>8.2499999999999987E-3</v>
      </c>
      <c r="I332" s="5">
        <f t="shared" si="71"/>
        <v>0.17324999999999999</v>
      </c>
    </row>
    <row r="333" spans="1:9" ht="13" x14ac:dyDescent="0.15">
      <c r="A333" s="10">
        <v>4</v>
      </c>
      <c r="B333" s="25" t="s">
        <v>791</v>
      </c>
      <c r="C333" s="25">
        <v>0.01</v>
      </c>
      <c r="D333" s="5" t="s">
        <v>183</v>
      </c>
      <c r="E333" s="5">
        <f t="shared" ref="E333:E334" si="72">E295</f>
        <v>86</v>
      </c>
      <c r="F333" s="5">
        <f t="shared" si="69"/>
        <v>0.86</v>
      </c>
      <c r="G333" s="25">
        <v>5</v>
      </c>
      <c r="H333" s="5">
        <f t="shared" si="70"/>
        <v>4.2999999999999997E-2</v>
      </c>
      <c r="I333" s="5">
        <f t="shared" si="71"/>
        <v>0.90300000000000002</v>
      </c>
    </row>
    <row r="334" spans="1:9" ht="13" x14ac:dyDescent="0.15">
      <c r="A334" s="10">
        <v>5</v>
      </c>
      <c r="B334" s="25" t="s">
        <v>675</v>
      </c>
      <c r="C334" s="25">
        <v>5.0000000000000001E-3</v>
      </c>
      <c r="D334" s="5" t="s">
        <v>183</v>
      </c>
      <c r="E334" s="5">
        <f t="shared" si="72"/>
        <v>86</v>
      </c>
      <c r="F334" s="5">
        <f t="shared" si="69"/>
        <v>0.43</v>
      </c>
      <c r="G334" s="25">
        <v>5</v>
      </c>
      <c r="H334" s="5">
        <f t="shared" si="70"/>
        <v>2.1499999999999998E-2</v>
      </c>
      <c r="I334" s="5">
        <f t="shared" si="71"/>
        <v>0.45150000000000001</v>
      </c>
    </row>
    <row r="335" spans="1:9" ht="13" x14ac:dyDescent="0.15">
      <c r="A335" s="10">
        <v>6</v>
      </c>
      <c r="B335" s="25" t="s">
        <v>287</v>
      </c>
      <c r="C335" s="25">
        <v>2.5000000000000001E-3</v>
      </c>
      <c r="D335" s="5" t="s">
        <v>183</v>
      </c>
      <c r="E335" s="5">
        <f>E292</f>
        <v>56</v>
      </c>
      <c r="F335" s="5">
        <f t="shared" si="69"/>
        <v>0.14000000000000001</v>
      </c>
      <c r="G335" s="25">
        <v>0</v>
      </c>
      <c r="H335" s="5">
        <f t="shared" si="70"/>
        <v>0</v>
      </c>
      <c r="I335" s="5">
        <f t="shared" si="71"/>
        <v>0.14000000000000001</v>
      </c>
    </row>
    <row r="336" spans="1:9" ht="13" x14ac:dyDescent="0.15">
      <c r="A336" s="10">
        <v>7</v>
      </c>
      <c r="B336" s="25" t="s">
        <v>782</v>
      </c>
      <c r="C336" s="25">
        <v>2.5000000000000001E-3</v>
      </c>
      <c r="D336" s="5" t="s">
        <v>183</v>
      </c>
      <c r="E336" s="5">
        <f>E291</f>
        <v>4.4444444444444446</v>
      </c>
      <c r="F336" s="5">
        <f t="shared" si="69"/>
        <v>1.1111111111111112E-2</v>
      </c>
      <c r="G336" s="25">
        <v>0</v>
      </c>
      <c r="H336" s="5">
        <f t="shared" si="70"/>
        <v>0</v>
      </c>
      <c r="I336" s="5">
        <f t="shared" si="71"/>
        <v>1.1111111111111112E-2</v>
      </c>
    </row>
    <row r="337" spans="1:9" ht="13" x14ac:dyDescent="0.15">
      <c r="G337" s="170" t="s">
        <v>777</v>
      </c>
      <c r="H337" s="171"/>
      <c r="I337" s="29">
        <f>SUM(I330:I336)</f>
        <v>34.446361111111123</v>
      </c>
    </row>
    <row r="338" spans="1:9" ht="13" x14ac:dyDescent="0.15">
      <c r="G338" s="170" t="s">
        <v>836</v>
      </c>
      <c r="H338" s="171"/>
      <c r="I338" s="29">
        <f>I337/I327</f>
        <v>34.446361111111123</v>
      </c>
    </row>
    <row r="341" spans="1:9" ht="13" x14ac:dyDescent="0.15">
      <c r="A341" s="172" t="s">
        <v>840</v>
      </c>
      <c r="B341" s="173"/>
      <c r="C341" s="171"/>
      <c r="G341" s="172" t="s">
        <v>772</v>
      </c>
      <c r="H341" s="171"/>
      <c r="I341" s="28">
        <v>68</v>
      </c>
    </row>
    <row r="342" spans="1:9" ht="13" x14ac:dyDescent="0.15">
      <c r="A342" s="168" t="s">
        <v>773</v>
      </c>
      <c r="B342" s="168" t="s">
        <v>774</v>
      </c>
      <c r="C342" s="168" t="s">
        <v>775</v>
      </c>
      <c r="D342" s="168" t="s">
        <v>719</v>
      </c>
      <c r="E342" s="168" t="s">
        <v>776</v>
      </c>
      <c r="F342" s="168" t="s">
        <v>777</v>
      </c>
      <c r="G342" s="168" t="s">
        <v>778</v>
      </c>
      <c r="H342" s="168" t="s">
        <v>779</v>
      </c>
      <c r="I342" s="168" t="s">
        <v>780</v>
      </c>
    </row>
    <row r="343" spans="1:9" ht="13" x14ac:dyDescent="0.15">
      <c r="A343" s="169"/>
      <c r="B343" s="169"/>
      <c r="C343" s="169"/>
      <c r="D343" s="169"/>
      <c r="E343" s="169"/>
      <c r="F343" s="169"/>
      <c r="G343" s="169"/>
      <c r="H343" s="169"/>
      <c r="I343" s="169"/>
    </row>
    <row r="344" spans="1:9" ht="13" x14ac:dyDescent="0.15">
      <c r="A344" s="10">
        <v>1</v>
      </c>
      <c r="B344" s="25" t="s">
        <v>841</v>
      </c>
      <c r="C344" s="25">
        <v>1</v>
      </c>
      <c r="D344" s="5" t="s">
        <v>183</v>
      </c>
      <c r="E344" s="5">
        <f>'Master Price list'!G16</f>
        <v>80</v>
      </c>
      <c r="F344" s="5">
        <f t="shared" ref="F344:F350" si="73">E344*C344</f>
        <v>80</v>
      </c>
      <c r="G344" s="25">
        <v>0</v>
      </c>
      <c r="H344" s="5">
        <f t="shared" ref="H344:H350" si="74">F344/100*G344</f>
        <v>0</v>
      </c>
      <c r="I344" s="5">
        <f t="shared" ref="I344:I350" si="75">H344+F344</f>
        <v>80</v>
      </c>
    </row>
    <row r="345" spans="1:9" ht="13" x14ac:dyDescent="0.15">
      <c r="A345" s="10">
        <v>2</v>
      </c>
      <c r="B345" s="25" t="s">
        <v>842</v>
      </c>
      <c r="C345" s="25">
        <v>1</v>
      </c>
      <c r="D345" s="5" t="s">
        <v>183</v>
      </c>
      <c r="E345" s="5">
        <f>'Master Price list'!G17</f>
        <v>128</v>
      </c>
      <c r="F345" s="5">
        <f t="shared" si="73"/>
        <v>128</v>
      </c>
      <c r="G345" s="25">
        <v>5</v>
      </c>
      <c r="H345" s="5">
        <f t="shared" si="74"/>
        <v>6.4</v>
      </c>
      <c r="I345" s="5">
        <f t="shared" si="75"/>
        <v>134.4</v>
      </c>
    </row>
    <row r="346" spans="1:9" ht="13" x14ac:dyDescent="0.15">
      <c r="A346" s="10">
        <v>3</v>
      </c>
      <c r="B346" s="25" t="s">
        <v>843</v>
      </c>
      <c r="C346" s="25">
        <v>8</v>
      </c>
      <c r="D346" s="5" t="s">
        <v>183</v>
      </c>
      <c r="E346" s="5">
        <f>'Master Price list'!G192</f>
        <v>8.1999999999999993</v>
      </c>
      <c r="F346" s="5">
        <f t="shared" si="73"/>
        <v>65.599999999999994</v>
      </c>
      <c r="G346" s="25">
        <v>10</v>
      </c>
      <c r="H346" s="5">
        <f t="shared" si="74"/>
        <v>6.5599999999999987</v>
      </c>
      <c r="I346" s="5">
        <f t="shared" si="75"/>
        <v>72.16</v>
      </c>
    </row>
    <row r="347" spans="1:9" ht="13" x14ac:dyDescent="0.15">
      <c r="A347" s="10">
        <v>4</v>
      </c>
      <c r="B347" s="25" t="s">
        <v>782</v>
      </c>
      <c r="C347" s="25">
        <v>1.4999999999999999E-2</v>
      </c>
      <c r="D347" s="5" t="s">
        <v>183</v>
      </c>
      <c r="E347" s="5">
        <f>E336</f>
        <v>4.4444444444444446</v>
      </c>
      <c r="F347" s="5">
        <f t="shared" si="73"/>
        <v>6.6666666666666666E-2</v>
      </c>
      <c r="G347" s="25">
        <v>0</v>
      </c>
      <c r="H347" s="5">
        <f t="shared" si="74"/>
        <v>0</v>
      </c>
      <c r="I347" s="5">
        <f t="shared" si="75"/>
        <v>6.6666666666666666E-2</v>
      </c>
    </row>
    <row r="348" spans="1:9" ht="13" x14ac:dyDescent="0.15">
      <c r="A348" s="10">
        <v>5</v>
      </c>
      <c r="B348" s="25" t="s">
        <v>786</v>
      </c>
      <c r="C348" s="25">
        <v>0.05</v>
      </c>
      <c r="D348" s="5" t="s">
        <v>183</v>
      </c>
      <c r="E348" s="5">
        <f>'Master Price list'!G191</f>
        <v>15</v>
      </c>
      <c r="F348" s="5">
        <f t="shared" si="73"/>
        <v>0.75</v>
      </c>
      <c r="G348" s="25">
        <v>20</v>
      </c>
      <c r="H348" s="5">
        <f t="shared" si="74"/>
        <v>0.15</v>
      </c>
      <c r="I348" s="5">
        <f t="shared" si="75"/>
        <v>0.9</v>
      </c>
    </row>
    <row r="349" spans="1:9" ht="13" x14ac:dyDescent="0.15">
      <c r="A349" s="10">
        <v>6</v>
      </c>
      <c r="B349" s="25" t="s">
        <v>76</v>
      </c>
      <c r="C349" s="25">
        <v>10</v>
      </c>
      <c r="D349" s="5" t="s">
        <v>350</v>
      </c>
      <c r="E349" s="5">
        <f>'Master Price list'!G207</f>
        <v>0.5</v>
      </c>
      <c r="F349" s="5">
        <f t="shared" si="73"/>
        <v>5</v>
      </c>
      <c r="G349" s="25">
        <v>0</v>
      </c>
      <c r="H349" s="5">
        <f t="shared" si="74"/>
        <v>0</v>
      </c>
      <c r="I349" s="5">
        <f t="shared" si="75"/>
        <v>5</v>
      </c>
    </row>
    <row r="350" spans="1:9" ht="13" x14ac:dyDescent="0.15">
      <c r="A350" s="10">
        <v>7</v>
      </c>
      <c r="B350" s="25" t="s">
        <v>376</v>
      </c>
      <c r="C350" s="25">
        <v>2</v>
      </c>
      <c r="D350" s="5" t="s">
        <v>183</v>
      </c>
      <c r="E350" s="5">
        <f>'Master Price list'!G75</f>
        <v>9.1999999999999993</v>
      </c>
      <c r="F350" s="5">
        <f t="shared" si="73"/>
        <v>18.399999999999999</v>
      </c>
      <c r="G350" s="25">
        <v>0</v>
      </c>
      <c r="H350" s="5">
        <f t="shared" si="74"/>
        <v>0</v>
      </c>
      <c r="I350" s="5">
        <f t="shared" si="75"/>
        <v>18.399999999999999</v>
      </c>
    </row>
    <row r="351" spans="1:9" ht="13" x14ac:dyDescent="0.15">
      <c r="G351" s="170" t="s">
        <v>777</v>
      </c>
      <c r="H351" s="171"/>
      <c r="I351" s="29">
        <f>SUM(I344:I350)</f>
        <v>310.92666666666662</v>
      </c>
    </row>
    <row r="352" spans="1:9" ht="13" x14ac:dyDescent="0.15">
      <c r="G352" s="170" t="s">
        <v>788</v>
      </c>
      <c r="H352" s="171"/>
      <c r="I352" s="29">
        <f>I351/I341</f>
        <v>4.5724509803921558</v>
      </c>
    </row>
    <row r="355" spans="1:9" ht="13" x14ac:dyDescent="0.15">
      <c r="A355" s="172" t="s">
        <v>79</v>
      </c>
      <c r="B355" s="173"/>
      <c r="C355" s="171"/>
      <c r="G355" s="172" t="s">
        <v>772</v>
      </c>
      <c r="H355" s="171"/>
      <c r="I355" s="28">
        <v>10</v>
      </c>
    </row>
    <row r="356" spans="1:9" ht="13" x14ac:dyDescent="0.15">
      <c r="A356" s="168" t="s">
        <v>773</v>
      </c>
      <c r="B356" s="168" t="s">
        <v>774</v>
      </c>
      <c r="C356" s="168" t="s">
        <v>775</v>
      </c>
      <c r="D356" s="168" t="s">
        <v>719</v>
      </c>
      <c r="E356" s="168" t="s">
        <v>776</v>
      </c>
      <c r="F356" s="168" t="s">
        <v>777</v>
      </c>
      <c r="G356" s="168" t="s">
        <v>778</v>
      </c>
      <c r="H356" s="168" t="s">
        <v>779</v>
      </c>
      <c r="I356" s="168" t="s">
        <v>780</v>
      </c>
    </row>
    <row r="357" spans="1:9" ht="13" x14ac:dyDescent="0.15">
      <c r="A357" s="169"/>
      <c r="B357" s="169"/>
      <c r="C357" s="169"/>
      <c r="D357" s="169"/>
      <c r="E357" s="169"/>
      <c r="F357" s="169"/>
      <c r="G357" s="169"/>
      <c r="H357" s="169"/>
      <c r="I357" s="169"/>
    </row>
    <row r="358" spans="1:9" ht="13" x14ac:dyDescent="0.15">
      <c r="A358" s="10">
        <v>1</v>
      </c>
      <c r="B358" s="25" t="s">
        <v>844</v>
      </c>
      <c r="C358" s="25">
        <v>1</v>
      </c>
      <c r="D358" s="5" t="s">
        <v>183</v>
      </c>
      <c r="E358" s="5">
        <f>'Master Price list'!G4</f>
        <v>71</v>
      </c>
      <c r="F358" s="5">
        <f t="shared" ref="F358:F364" si="76">E358*C358</f>
        <v>71</v>
      </c>
      <c r="G358" s="25">
        <v>25</v>
      </c>
      <c r="H358" s="5">
        <f t="shared" ref="H358:H364" si="77">F358/100*G358</f>
        <v>17.75</v>
      </c>
      <c r="I358" s="5">
        <f t="shared" ref="I358:I364" si="78">H358+F358</f>
        <v>88.75</v>
      </c>
    </row>
    <row r="359" spans="1:9" ht="13" x14ac:dyDescent="0.15">
      <c r="A359" s="10">
        <v>2</v>
      </c>
      <c r="B359" s="25" t="s">
        <v>815</v>
      </c>
      <c r="C359" s="25">
        <v>0.2</v>
      </c>
      <c r="D359" s="5" t="s">
        <v>183</v>
      </c>
      <c r="E359" s="5">
        <f>E332</f>
        <v>11</v>
      </c>
      <c r="F359" s="5">
        <f t="shared" si="76"/>
        <v>2.2000000000000002</v>
      </c>
      <c r="G359" s="25">
        <v>5</v>
      </c>
      <c r="H359" s="5">
        <f t="shared" si="77"/>
        <v>0.11000000000000001</v>
      </c>
      <c r="I359" s="5">
        <f t="shared" si="78"/>
        <v>2.31</v>
      </c>
    </row>
    <row r="360" spans="1:9" ht="13" x14ac:dyDescent="0.15">
      <c r="A360" s="10">
        <v>3</v>
      </c>
      <c r="B360" s="25" t="s">
        <v>845</v>
      </c>
      <c r="C360" s="25">
        <v>5.0000000000000001E-3</v>
      </c>
      <c r="D360" s="5" t="s">
        <v>183</v>
      </c>
      <c r="E360" s="5">
        <f>'Master Price list'!G56</f>
        <v>41.379310344827587</v>
      </c>
      <c r="F360" s="5">
        <f t="shared" si="76"/>
        <v>0.20689655172413793</v>
      </c>
      <c r="G360" s="25">
        <v>0</v>
      </c>
      <c r="H360" s="5">
        <f t="shared" si="77"/>
        <v>0</v>
      </c>
      <c r="I360" s="5">
        <f t="shared" si="78"/>
        <v>0.20689655172413793</v>
      </c>
    </row>
    <row r="361" spans="1:9" ht="13" x14ac:dyDescent="0.15">
      <c r="A361" s="10">
        <v>4</v>
      </c>
      <c r="B361" s="25" t="s">
        <v>782</v>
      </c>
      <c r="C361" s="25">
        <v>0.02</v>
      </c>
      <c r="D361" s="5" t="s">
        <v>183</v>
      </c>
      <c r="E361" s="5">
        <f>E347</f>
        <v>4.4444444444444446</v>
      </c>
      <c r="F361" s="5">
        <f t="shared" si="76"/>
        <v>8.8888888888888892E-2</v>
      </c>
      <c r="G361" s="25">
        <v>0</v>
      </c>
      <c r="H361" s="5">
        <f t="shared" si="77"/>
        <v>0</v>
      </c>
      <c r="I361" s="5">
        <f t="shared" si="78"/>
        <v>8.8888888888888892E-2</v>
      </c>
    </row>
    <row r="362" spans="1:9" ht="13" x14ac:dyDescent="0.15">
      <c r="A362" s="10">
        <v>5</v>
      </c>
      <c r="B362" s="25" t="s">
        <v>846</v>
      </c>
      <c r="C362" s="25">
        <v>2.5000000000000001E-2</v>
      </c>
      <c r="D362" s="5" t="s">
        <v>183</v>
      </c>
      <c r="E362" s="5">
        <f>'Master Price list'!G187</f>
        <v>8.8000000000000007</v>
      </c>
      <c r="F362" s="5">
        <f t="shared" si="76"/>
        <v>0.22000000000000003</v>
      </c>
      <c r="G362" s="25">
        <v>20</v>
      </c>
      <c r="H362" s="5">
        <f t="shared" si="77"/>
        <v>4.4000000000000004E-2</v>
      </c>
      <c r="I362" s="5">
        <f t="shared" si="78"/>
        <v>0.26400000000000001</v>
      </c>
    </row>
    <row r="363" spans="1:9" ht="13" x14ac:dyDescent="0.15">
      <c r="A363" s="10">
        <v>6</v>
      </c>
      <c r="B363" s="25" t="s">
        <v>786</v>
      </c>
      <c r="C363" s="25">
        <v>0.03</v>
      </c>
      <c r="D363" s="5" t="s">
        <v>183</v>
      </c>
      <c r="E363" s="5">
        <f>'Master Price list'!G191</f>
        <v>15</v>
      </c>
      <c r="F363" s="5">
        <f t="shared" si="76"/>
        <v>0.44999999999999996</v>
      </c>
      <c r="G363" s="25">
        <v>20</v>
      </c>
      <c r="H363" s="5">
        <f t="shared" si="77"/>
        <v>0.09</v>
      </c>
      <c r="I363" s="5">
        <f t="shared" si="78"/>
        <v>0.53999999999999992</v>
      </c>
    </row>
    <row r="364" spans="1:9" ht="13" x14ac:dyDescent="0.15">
      <c r="A364" s="10">
        <v>7</v>
      </c>
      <c r="B364" s="25" t="s">
        <v>847</v>
      </c>
      <c r="C364" s="25">
        <v>0.12</v>
      </c>
      <c r="D364" s="5" t="s">
        <v>183</v>
      </c>
      <c r="E364" s="5">
        <f>'Master Price list'!G152</f>
        <v>4.0999999999999996</v>
      </c>
      <c r="F364" s="5">
        <f t="shared" si="76"/>
        <v>0.49199999999999994</v>
      </c>
      <c r="G364" s="25">
        <v>0</v>
      </c>
      <c r="H364" s="5">
        <f t="shared" si="77"/>
        <v>0</v>
      </c>
      <c r="I364" s="5">
        <f t="shared" si="78"/>
        <v>0.49199999999999994</v>
      </c>
    </row>
    <row r="365" spans="1:9" ht="13" x14ac:dyDescent="0.15">
      <c r="G365" s="170" t="s">
        <v>777</v>
      </c>
      <c r="H365" s="171"/>
      <c r="I365" s="29">
        <f>SUM(I358:I364)</f>
        <v>92.65178544061304</v>
      </c>
    </row>
    <row r="366" spans="1:9" ht="13" x14ac:dyDescent="0.15">
      <c r="G366" s="170" t="s">
        <v>788</v>
      </c>
      <c r="H366" s="171"/>
      <c r="I366" s="29">
        <f>I365/I355</f>
        <v>9.2651785440613033</v>
      </c>
    </row>
    <row r="369" spans="1:9" ht="13" x14ac:dyDescent="0.15">
      <c r="A369" s="172" t="s">
        <v>80</v>
      </c>
      <c r="B369" s="173"/>
      <c r="C369" s="171"/>
      <c r="G369" s="172" t="s">
        <v>772</v>
      </c>
      <c r="H369" s="171"/>
      <c r="I369" s="28">
        <v>11</v>
      </c>
    </row>
    <row r="370" spans="1:9" ht="13" x14ac:dyDescent="0.15">
      <c r="A370" s="168" t="s">
        <v>773</v>
      </c>
      <c r="B370" s="168" t="s">
        <v>774</v>
      </c>
      <c r="C370" s="168" t="s">
        <v>775</v>
      </c>
      <c r="D370" s="168" t="s">
        <v>719</v>
      </c>
      <c r="E370" s="168" t="s">
        <v>776</v>
      </c>
      <c r="F370" s="168" t="s">
        <v>777</v>
      </c>
      <c r="G370" s="168" t="s">
        <v>778</v>
      </c>
      <c r="H370" s="168" t="s">
        <v>779</v>
      </c>
      <c r="I370" s="168" t="s">
        <v>780</v>
      </c>
    </row>
    <row r="371" spans="1:9" ht="13" x14ac:dyDescent="0.15">
      <c r="A371" s="169"/>
      <c r="B371" s="169"/>
      <c r="C371" s="169"/>
      <c r="D371" s="169"/>
      <c r="E371" s="169"/>
      <c r="F371" s="169"/>
      <c r="G371" s="169"/>
      <c r="H371" s="169"/>
      <c r="I371" s="169"/>
    </row>
    <row r="372" spans="1:9" ht="13" x14ac:dyDescent="0.15">
      <c r="A372" s="10">
        <v>1</v>
      </c>
      <c r="B372" s="25" t="s">
        <v>848</v>
      </c>
      <c r="C372" s="25">
        <v>1</v>
      </c>
      <c r="D372" s="5" t="s">
        <v>183</v>
      </c>
      <c r="E372" s="5">
        <f>'Master Price list'!G2</f>
        <v>56</v>
      </c>
      <c r="F372" s="5">
        <f t="shared" ref="F372:F381" si="79">E372*C372</f>
        <v>56</v>
      </c>
      <c r="G372" s="25">
        <v>10</v>
      </c>
      <c r="H372" s="5">
        <f t="shared" ref="H372:H381" si="80">F372/100*G372</f>
        <v>5.6000000000000005</v>
      </c>
      <c r="I372" s="5">
        <f t="shared" ref="I372:I381" si="81">H372+F372</f>
        <v>61.6</v>
      </c>
    </row>
    <row r="373" spans="1:9" ht="13" x14ac:dyDescent="0.15">
      <c r="A373" s="10">
        <v>2</v>
      </c>
      <c r="B373" s="25" t="s">
        <v>849</v>
      </c>
      <c r="C373" s="25">
        <v>0.03</v>
      </c>
      <c r="D373" s="5" t="s">
        <v>183</v>
      </c>
      <c r="E373" s="5">
        <f>'Master Price list'!G101</f>
        <v>15.555555555555555</v>
      </c>
      <c r="F373" s="5">
        <f t="shared" si="79"/>
        <v>0.46666666666666662</v>
      </c>
      <c r="G373" s="25">
        <v>0</v>
      </c>
      <c r="H373" s="5">
        <f t="shared" si="80"/>
        <v>0</v>
      </c>
      <c r="I373" s="5">
        <f t="shared" si="81"/>
        <v>0.46666666666666662</v>
      </c>
    </row>
    <row r="374" spans="1:9" ht="13" x14ac:dyDescent="0.15">
      <c r="A374" s="10">
        <v>3</v>
      </c>
      <c r="B374" s="25" t="s">
        <v>845</v>
      </c>
      <c r="C374" s="25">
        <v>0.03</v>
      </c>
      <c r="D374" s="5" t="s">
        <v>183</v>
      </c>
      <c r="E374" s="5">
        <f>E360</f>
        <v>41.379310344827587</v>
      </c>
      <c r="F374" s="5">
        <f t="shared" si="79"/>
        <v>1.2413793103448276</v>
      </c>
      <c r="G374" s="25">
        <v>0</v>
      </c>
      <c r="H374" s="5">
        <f t="shared" si="80"/>
        <v>0</v>
      </c>
      <c r="I374" s="5">
        <f t="shared" si="81"/>
        <v>1.2413793103448276</v>
      </c>
    </row>
    <row r="375" spans="1:9" ht="13" x14ac:dyDescent="0.15">
      <c r="A375" s="10">
        <v>4</v>
      </c>
      <c r="B375" s="25" t="s">
        <v>815</v>
      </c>
      <c r="C375" s="25">
        <v>0.2</v>
      </c>
      <c r="D375" s="5" t="s">
        <v>183</v>
      </c>
      <c r="E375" s="5">
        <f>E359</f>
        <v>11</v>
      </c>
      <c r="F375" s="5">
        <f t="shared" si="79"/>
        <v>2.2000000000000002</v>
      </c>
      <c r="G375" s="25">
        <v>5</v>
      </c>
      <c r="H375" s="5">
        <f t="shared" si="80"/>
        <v>0.11000000000000001</v>
      </c>
      <c r="I375" s="5">
        <f t="shared" si="81"/>
        <v>2.31</v>
      </c>
    </row>
    <row r="376" spans="1:9" ht="13" x14ac:dyDescent="0.15">
      <c r="A376" s="10">
        <v>5</v>
      </c>
      <c r="B376" s="25" t="s">
        <v>287</v>
      </c>
      <c r="C376" s="25">
        <v>5.0000000000000001E-3</v>
      </c>
      <c r="D376" s="5" t="s">
        <v>183</v>
      </c>
      <c r="E376" s="5">
        <f>E335</f>
        <v>56</v>
      </c>
      <c r="F376" s="5">
        <f t="shared" si="79"/>
        <v>0.28000000000000003</v>
      </c>
      <c r="G376" s="25">
        <v>0</v>
      </c>
      <c r="H376" s="5">
        <f t="shared" si="80"/>
        <v>0</v>
      </c>
      <c r="I376" s="5">
        <f t="shared" si="81"/>
        <v>0.28000000000000003</v>
      </c>
    </row>
    <row r="377" spans="1:9" ht="13" x14ac:dyDescent="0.15">
      <c r="A377" s="10">
        <v>6</v>
      </c>
      <c r="B377" s="25" t="s">
        <v>782</v>
      </c>
      <c r="C377" s="25">
        <v>5.0000000000000001E-3</v>
      </c>
      <c r="D377" s="5" t="s">
        <v>183</v>
      </c>
      <c r="E377" s="5">
        <f>E361</f>
        <v>4.4444444444444446</v>
      </c>
      <c r="F377" s="5">
        <f t="shared" si="79"/>
        <v>2.2222222222222223E-2</v>
      </c>
      <c r="G377" s="25">
        <v>0</v>
      </c>
      <c r="H377" s="5">
        <f t="shared" si="80"/>
        <v>0</v>
      </c>
      <c r="I377" s="5">
        <f t="shared" si="81"/>
        <v>2.2222222222222223E-2</v>
      </c>
    </row>
    <row r="378" spans="1:9" ht="13" x14ac:dyDescent="0.15">
      <c r="A378" s="10">
        <v>7</v>
      </c>
      <c r="B378" s="25" t="s">
        <v>800</v>
      </c>
      <c r="C378" s="25">
        <v>2.5000000000000001E-3</v>
      </c>
      <c r="D378" s="5" t="s">
        <v>183</v>
      </c>
      <c r="E378" s="5">
        <v>0</v>
      </c>
      <c r="F378" s="5">
        <f t="shared" si="79"/>
        <v>0</v>
      </c>
      <c r="G378" s="25">
        <v>0</v>
      </c>
      <c r="H378" s="5">
        <f t="shared" si="80"/>
        <v>0</v>
      </c>
      <c r="I378" s="5">
        <f t="shared" si="81"/>
        <v>0</v>
      </c>
    </row>
    <row r="379" spans="1:9" ht="13" x14ac:dyDescent="0.15">
      <c r="A379" s="10">
        <v>8</v>
      </c>
      <c r="B379" s="25" t="s">
        <v>786</v>
      </c>
      <c r="C379" s="25">
        <v>1.4999999999999999E-2</v>
      </c>
      <c r="D379" s="5" t="s">
        <v>183</v>
      </c>
      <c r="E379" s="5">
        <f>E363</f>
        <v>15</v>
      </c>
      <c r="F379" s="5">
        <f t="shared" si="79"/>
        <v>0.22499999999999998</v>
      </c>
      <c r="G379" s="25">
        <v>20</v>
      </c>
      <c r="H379" s="5">
        <f t="shared" si="80"/>
        <v>4.4999999999999998E-2</v>
      </c>
      <c r="I379" s="5">
        <f t="shared" si="81"/>
        <v>0.26999999999999996</v>
      </c>
    </row>
    <row r="380" spans="1:9" ht="13" x14ac:dyDescent="0.15">
      <c r="A380" s="10">
        <v>9</v>
      </c>
      <c r="B380" s="25" t="s">
        <v>787</v>
      </c>
      <c r="C380" s="25">
        <v>1.4999999999999999E-2</v>
      </c>
      <c r="D380" s="5" t="s">
        <v>183</v>
      </c>
      <c r="E380" s="5">
        <f>E322</f>
        <v>42</v>
      </c>
      <c r="F380" s="5">
        <f t="shared" si="79"/>
        <v>0.63</v>
      </c>
      <c r="G380" s="25">
        <v>0</v>
      </c>
      <c r="H380" s="5">
        <f t="shared" si="80"/>
        <v>0</v>
      </c>
      <c r="I380" s="5">
        <f t="shared" si="81"/>
        <v>0.63</v>
      </c>
    </row>
    <row r="381" spans="1:9" ht="13" x14ac:dyDescent="0.15">
      <c r="A381" s="10">
        <v>10</v>
      </c>
      <c r="B381" s="25" t="s">
        <v>850</v>
      </c>
      <c r="C381" s="25">
        <v>0.06</v>
      </c>
      <c r="D381" s="5" t="s">
        <v>183</v>
      </c>
      <c r="E381" s="5">
        <f>E364</f>
        <v>4.0999999999999996</v>
      </c>
      <c r="F381" s="5">
        <f t="shared" si="79"/>
        <v>0.24599999999999997</v>
      </c>
      <c r="G381" s="25">
        <v>0</v>
      </c>
      <c r="H381" s="5">
        <f t="shared" si="80"/>
        <v>0</v>
      </c>
      <c r="I381" s="5">
        <f t="shared" si="81"/>
        <v>0.24599999999999997</v>
      </c>
    </row>
    <row r="382" spans="1:9" ht="13" x14ac:dyDescent="0.15">
      <c r="G382" s="170" t="s">
        <v>777</v>
      </c>
      <c r="H382" s="171"/>
      <c r="I382" s="29">
        <f>SUM(I372:I381)</f>
        <v>67.066268199233704</v>
      </c>
    </row>
    <row r="383" spans="1:9" ht="13" x14ac:dyDescent="0.15">
      <c r="G383" s="170" t="s">
        <v>788</v>
      </c>
      <c r="H383" s="171"/>
      <c r="I383" s="29">
        <f>I382/I369</f>
        <v>6.0969334726576099</v>
      </c>
    </row>
    <row r="386" spans="1:9" ht="13" x14ac:dyDescent="0.15">
      <c r="A386" s="176" t="s">
        <v>851</v>
      </c>
      <c r="B386" s="173"/>
      <c r="C386" s="171"/>
      <c r="G386" s="172" t="s">
        <v>772</v>
      </c>
      <c r="H386" s="171"/>
      <c r="I386" s="28">
        <v>1</v>
      </c>
    </row>
    <row r="387" spans="1:9" ht="13" x14ac:dyDescent="0.15">
      <c r="A387" s="168" t="s">
        <v>773</v>
      </c>
      <c r="B387" s="168" t="s">
        <v>774</v>
      </c>
      <c r="C387" s="168" t="s">
        <v>775</v>
      </c>
      <c r="D387" s="168" t="s">
        <v>719</v>
      </c>
      <c r="E387" s="168" t="s">
        <v>776</v>
      </c>
      <c r="F387" s="168" t="s">
        <v>777</v>
      </c>
      <c r="G387" s="168" t="s">
        <v>778</v>
      </c>
      <c r="H387" s="168" t="s">
        <v>779</v>
      </c>
      <c r="I387" s="168" t="s">
        <v>780</v>
      </c>
    </row>
    <row r="388" spans="1:9" ht="13" x14ac:dyDescent="0.15">
      <c r="A388" s="169"/>
      <c r="B388" s="169"/>
      <c r="C388" s="169"/>
      <c r="D388" s="169"/>
      <c r="E388" s="169"/>
      <c r="F388" s="169"/>
      <c r="G388" s="169"/>
      <c r="H388" s="169"/>
      <c r="I388" s="169"/>
    </row>
    <row r="389" spans="1:9" ht="13" x14ac:dyDescent="0.15">
      <c r="A389" s="10">
        <v>1</v>
      </c>
      <c r="B389" s="25" t="s">
        <v>421</v>
      </c>
      <c r="C389" s="25">
        <v>1</v>
      </c>
      <c r="D389" s="5" t="s">
        <v>183</v>
      </c>
      <c r="E389" s="5">
        <f>'Master Price list'!G92</f>
        <v>10.4</v>
      </c>
      <c r="F389" s="5">
        <f t="shared" ref="F389:F392" si="82">E389*C389</f>
        <v>10.4</v>
      </c>
      <c r="G389" s="25">
        <v>0</v>
      </c>
      <c r="H389" s="5">
        <f t="shared" ref="H389:H392" si="83">F389/100*G389</f>
        <v>0</v>
      </c>
      <c r="I389" s="5">
        <f t="shared" ref="I389:I392" si="84">H389+F389</f>
        <v>10.4</v>
      </c>
    </row>
    <row r="390" spans="1:9" ht="13" x14ac:dyDescent="0.15">
      <c r="A390" s="10">
        <v>2</v>
      </c>
      <c r="B390" s="25" t="s">
        <v>743</v>
      </c>
      <c r="C390" s="25">
        <v>0.2</v>
      </c>
      <c r="D390" s="5" t="s">
        <v>183</v>
      </c>
      <c r="E390" s="5">
        <f>I472</f>
        <v>25.96125</v>
      </c>
      <c r="F390" s="5">
        <f t="shared" si="82"/>
        <v>5.1922500000000005</v>
      </c>
      <c r="G390" s="25">
        <v>0</v>
      </c>
      <c r="H390" s="5">
        <f t="shared" si="83"/>
        <v>0</v>
      </c>
      <c r="I390" s="5">
        <f t="shared" si="84"/>
        <v>5.1922500000000005</v>
      </c>
    </row>
    <row r="391" spans="1:9" ht="13" x14ac:dyDescent="0.15">
      <c r="A391" s="10">
        <v>3</v>
      </c>
      <c r="B391" s="25" t="s">
        <v>852</v>
      </c>
      <c r="C391" s="25">
        <v>0.2</v>
      </c>
      <c r="D391" s="5" t="s">
        <v>183</v>
      </c>
      <c r="E391" s="5">
        <f>'Master Price list'!G74</f>
        <v>18.95</v>
      </c>
      <c r="F391" s="5">
        <f t="shared" si="82"/>
        <v>3.79</v>
      </c>
      <c r="G391" s="25">
        <v>0</v>
      </c>
      <c r="H391" s="5">
        <f t="shared" si="83"/>
        <v>0</v>
      </c>
      <c r="I391" s="5">
        <f t="shared" si="84"/>
        <v>3.79</v>
      </c>
    </row>
    <row r="392" spans="1:9" ht="13" x14ac:dyDescent="0.15">
      <c r="A392" s="10">
        <v>4</v>
      </c>
      <c r="B392" s="25" t="s">
        <v>368</v>
      </c>
      <c r="C392" s="25">
        <v>1</v>
      </c>
      <c r="D392" s="5" t="s">
        <v>183</v>
      </c>
      <c r="E392" s="5">
        <f>'Master Price list'!G72</f>
        <v>9.5</v>
      </c>
      <c r="F392" s="5">
        <f t="shared" si="82"/>
        <v>9.5</v>
      </c>
      <c r="G392" s="25">
        <v>0</v>
      </c>
      <c r="H392" s="5">
        <f t="shared" si="83"/>
        <v>0</v>
      </c>
      <c r="I392" s="5">
        <f t="shared" si="84"/>
        <v>9.5</v>
      </c>
    </row>
    <row r="393" spans="1:9" ht="13" x14ac:dyDescent="0.15">
      <c r="G393" s="170" t="s">
        <v>777</v>
      </c>
      <c r="H393" s="171"/>
      <c r="I393" s="29">
        <f>SUM(I389:I392)</f>
        <v>28.882249999999999</v>
      </c>
    </row>
    <row r="394" spans="1:9" ht="13" x14ac:dyDescent="0.15">
      <c r="G394" s="170" t="s">
        <v>836</v>
      </c>
      <c r="H394" s="171"/>
      <c r="I394" s="29">
        <f>I393/I386</f>
        <v>28.882249999999999</v>
      </c>
    </row>
    <row r="397" spans="1:9" ht="13" x14ac:dyDescent="0.15">
      <c r="A397" s="172" t="s">
        <v>739</v>
      </c>
      <c r="B397" s="173"/>
      <c r="C397" s="171"/>
      <c r="G397" s="172" t="s">
        <v>772</v>
      </c>
      <c r="H397" s="171"/>
      <c r="I397" s="28">
        <v>35</v>
      </c>
    </row>
    <row r="398" spans="1:9" ht="13" x14ac:dyDescent="0.15">
      <c r="A398" s="168" t="s">
        <v>773</v>
      </c>
      <c r="B398" s="168" t="s">
        <v>774</v>
      </c>
      <c r="C398" s="168" t="s">
        <v>775</v>
      </c>
      <c r="D398" s="168" t="s">
        <v>719</v>
      </c>
      <c r="E398" s="168" t="s">
        <v>776</v>
      </c>
      <c r="F398" s="168" t="s">
        <v>777</v>
      </c>
      <c r="G398" s="168" t="s">
        <v>778</v>
      </c>
      <c r="H398" s="168" t="s">
        <v>779</v>
      </c>
      <c r="I398" s="168" t="s">
        <v>780</v>
      </c>
    </row>
    <row r="399" spans="1:9" ht="13" x14ac:dyDescent="0.15">
      <c r="A399" s="169"/>
      <c r="B399" s="169"/>
      <c r="C399" s="169"/>
      <c r="D399" s="169"/>
      <c r="E399" s="169"/>
      <c r="F399" s="169"/>
      <c r="G399" s="169"/>
      <c r="H399" s="169"/>
      <c r="I399" s="169"/>
    </row>
    <row r="400" spans="1:9" ht="13" x14ac:dyDescent="0.15">
      <c r="A400" s="10">
        <v>1</v>
      </c>
      <c r="B400" s="25" t="s">
        <v>190</v>
      </c>
      <c r="C400" s="25">
        <v>2</v>
      </c>
      <c r="D400" s="5" t="s">
        <v>183</v>
      </c>
      <c r="E400" s="5">
        <f>'Master Price list'!G5</f>
        <v>40</v>
      </c>
      <c r="F400" s="5">
        <f t="shared" ref="F400:F406" si="85">E400*C400</f>
        <v>80</v>
      </c>
      <c r="G400" s="25">
        <v>0</v>
      </c>
      <c r="H400" s="5">
        <f t="shared" ref="H400:H406" si="86">F400/100*G400</f>
        <v>0</v>
      </c>
      <c r="I400" s="5">
        <f t="shared" ref="I400:I406" si="87">H400+F400</f>
        <v>80</v>
      </c>
    </row>
    <row r="401" spans="1:9" ht="13" x14ac:dyDescent="0.15">
      <c r="A401" s="10">
        <v>2</v>
      </c>
      <c r="B401" s="25" t="s">
        <v>192</v>
      </c>
      <c r="C401" s="25">
        <v>2</v>
      </c>
      <c r="D401" s="5" t="s">
        <v>183</v>
      </c>
      <c r="E401" s="5">
        <f>'Master Price list'!G6</f>
        <v>56.5</v>
      </c>
      <c r="F401" s="5">
        <f t="shared" si="85"/>
        <v>113</v>
      </c>
      <c r="G401" s="25">
        <v>0</v>
      </c>
      <c r="H401" s="5">
        <f t="shared" si="86"/>
        <v>0</v>
      </c>
      <c r="I401" s="5">
        <f t="shared" si="87"/>
        <v>113</v>
      </c>
    </row>
    <row r="402" spans="1:9" ht="13" x14ac:dyDescent="0.15">
      <c r="A402" s="10">
        <v>3</v>
      </c>
      <c r="B402" s="25" t="s">
        <v>853</v>
      </c>
      <c r="C402" s="25">
        <v>0.03</v>
      </c>
      <c r="D402" s="5" t="s">
        <v>183</v>
      </c>
      <c r="E402" s="5">
        <f>'Master Price list'!G178</f>
        <v>11</v>
      </c>
      <c r="F402" s="5">
        <f t="shared" si="85"/>
        <v>0.32999999999999996</v>
      </c>
      <c r="G402" s="25">
        <v>5</v>
      </c>
      <c r="H402" s="5">
        <f t="shared" si="86"/>
        <v>1.6499999999999997E-2</v>
      </c>
      <c r="I402" s="5">
        <f t="shared" si="87"/>
        <v>0.34649999999999997</v>
      </c>
    </row>
    <row r="403" spans="1:9" ht="13" x14ac:dyDescent="0.15">
      <c r="A403" s="10">
        <v>4</v>
      </c>
      <c r="B403" s="25" t="s">
        <v>76</v>
      </c>
      <c r="C403" s="25">
        <v>4</v>
      </c>
      <c r="D403" s="5" t="s">
        <v>350</v>
      </c>
      <c r="E403" s="5">
        <f>'Master Price list'!G207</f>
        <v>0.5</v>
      </c>
      <c r="F403" s="5">
        <f t="shared" si="85"/>
        <v>2</v>
      </c>
      <c r="G403" s="25">
        <v>0</v>
      </c>
      <c r="H403" s="5">
        <f t="shared" si="86"/>
        <v>0</v>
      </c>
      <c r="I403" s="5">
        <f t="shared" si="87"/>
        <v>2</v>
      </c>
    </row>
    <row r="404" spans="1:9" ht="13" x14ac:dyDescent="0.15">
      <c r="A404" s="10">
        <v>5</v>
      </c>
      <c r="B404" s="25" t="s">
        <v>376</v>
      </c>
      <c r="C404" s="25">
        <v>0.3</v>
      </c>
      <c r="D404" s="5" t="s">
        <v>183</v>
      </c>
      <c r="E404" s="5">
        <f>E350</f>
        <v>9.1999999999999993</v>
      </c>
      <c r="F404" s="5">
        <f t="shared" si="85"/>
        <v>2.76</v>
      </c>
      <c r="G404" s="25">
        <v>0</v>
      </c>
      <c r="H404" s="5">
        <f t="shared" si="86"/>
        <v>0</v>
      </c>
      <c r="I404" s="5">
        <f t="shared" si="87"/>
        <v>2.76</v>
      </c>
    </row>
    <row r="405" spans="1:9" ht="13" x14ac:dyDescent="0.15">
      <c r="A405" s="10">
        <v>6</v>
      </c>
      <c r="B405" s="25" t="s">
        <v>786</v>
      </c>
      <c r="C405" s="25">
        <v>0.05</v>
      </c>
      <c r="D405" s="5" t="s">
        <v>183</v>
      </c>
      <c r="E405" s="5">
        <f>E379</f>
        <v>15</v>
      </c>
      <c r="F405" s="5">
        <f t="shared" si="85"/>
        <v>0.75</v>
      </c>
      <c r="G405" s="25">
        <v>20</v>
      </c>
      <c r="H405" s="5">
        <f t="shared" si="86"/>
        <v>0.15</v>
      </c>
      <c r="I405" s="5">
        <f t="shared" si="87"/>
        <v>0.9</v>
      </c>
    </row>
    <row r="406" spans="1:9" ht="13" x14ac:dyDescent="0.15">
      <c r="A406" s="10">
        <v>7</v>
      </c>
      <c r="B406" s="25" t="s">
        <v>854</v>
      </c>
      <c r="C406" s="25">
        <v>0.1</v>
      </c>
      <c r="D406" s="5" t="s">
        <v>183</v>
      </c>
      <c r="E406" s="5">
        <f>'Master Price list'!G33</f>
        <v>95</v>
      </c>
      <c r="F406" s="5">
        <f t="shared" si="85"/>
        <v>9.5</v>
      </c>
      <c r="G406" s="25">
        <v>5</v>
      </c>
      <c r="H406" s="5">
        <f t="shared" si="86"/>
        <v>0.47499999999999998</v>
      </c>
      <c r="I406" s="5">
        <f t="shared" si="87"/>
        <v>9.9749999999999996</v>
      </c>
    </row>
    <row r="407" spans="1:9" ht="13" x14ac:dyDescent="0.15">
      <c r="G407" s="170" t="s">
        <v>777</v>
      </c>
      <c r="H407" s="171"/>
      <c r="I407" s="29">
        <f>SUM(I400:I406)</f>
        <v>208.98149999999998</v>
      </c>
    </row>
    <row r="408" spans="1:9" ht="13" x14ac:dyDescent="0.15">
      <c r="G408" s="170" t="s">
        <v>788</v>
      </c>
      <c r="H408" s="171"/>
      <c r="I408" s="29">
        <f>I407/I397</f>
        <v>5.9708999999999994</v>
      </c>
    </row>
    <row r="411" spans="1:9" ht="13" x14ac:dyDescent="0.15">
      <c r="A411" s="172" t="s">
        <v>740</v>
      </c>
      <c r="B411" s="173"/>
      <c r="C411" s="171"/>
      <c r="G411" s="172" t="s">
        <v>772</v>
      </c>
      <c r="H411" s="171"/>
      <c r="I411" s="28">
        <v>1</v>
      </c>
    </row>
    <row r="412" spans="1:9" ht="13" x14ac:dyDescent="0.15">
      <c r="A412" s="168" t="s">
        <v>773</v>
      </c>
      <c r="B412" s="168" t="s">
        <v>774</v>
      </c>
      <c r="C412" s="168" t="s">
        <v>775</v>
      </c>
      <c r="D412" s="168" t="s">
        <v>719</v>
      </c>
      <c r="E412" s="168" t="s">
        <v>776</v>
      </c>
      <c r="F412" s="168" t="s">
        <v>777</v>
      </c>
      <c r="G412" s="168" t="s">
        <v>778</v>
      </c>
      <c r="H412" s="168" t="s">
        <v>779</v>
      </c>
      <c r="I412" s="168" t="s">
        <v>780</v>
      </c>
    </row>
    <row r="413" spans="1:9" ht="13" x14ac:dyDescent="0.15">
      <c r="A413" s="169"/>
      <c r="B413" s="169"/>
      <c r="C413" s="169"/>
      <c r="D413" s="169"/>
      <c r="E413" s="169"/>
      <c r="F413" s="169"/>
      <c r="G413" s="169"/>
      <c r="H413" s="169"/>
      <c r="I413" s="169"/>
    </row>
    <row r="414" spans="1:9" ht="13" x14ac:dyDescent="0.15">
      <c r="A414" s="10">
        <v>1</v>
      </c>
      <c r="B414" s="25" t="s">
        <v>771</v>
      </c>
      <c r="C414" s="25">
        <v>2</v>
      </c>
      <c r="D414" s="5" t="s">
        <v>855</v>
      </c>
      <c r="E414" s="5">
        <f>I10</f>
        <v>3.6284444444444444</v>
      </c>
      <c r="F414" s="5">
        <f t="shared" ref="F414:F415" si="88">E414*C414</f>
        <v>7.2568888888888887</v>
      </c>
      <c r="G414" s="25">
        <v>0</v>
      </c>
      <c r="H414" s="5">
        <f t="shared" ref="H414:H415" si="89">F414/100*G414</f>
        <v>0</v>
      </c>
      <c r="I414" s="5">
        <f t="shared" ref="I414:I415" si="90">H414+F414</f>
        <v>7.2568888888888887</v>
      </c>
    </row>
    <row r="415" spans="1:9" ht="13" x14ac:dyDescent="0.15">
      <c r="A415" s="10">
        <v>2</v>
      </c>
      <c r="B415" s="25" t="s">
        <v>856</v>
      </c>
      <c r="C415" s="25">
        <v>1.4999999999999999E-2</v>
      </c>
      <c r="D415" s="5">
        <v>1.4999999999999999E-2</v>
      </c>
      <c r="E415" s="5">
        <f>'Master Price list'!G97</f>
        <v>13.5</v>
      </c>
      <c r="F415" s="5">
        <f t="shared" si="88"/>
        <v>0.20249999999999999</v>
      </c>
      <c r="G415" s="25">
        <v>0</v>
      </c>
      <c r="H415" s="5">
        <f t="shared" si="89"/>
        <v>0</v>
      </c>
      <c r="I415" s="5">
        <f t="shared" si="90"/>
        <v>0.20249999999999999</v>
      </c>
    </row>
    <row r="416" spans="1:9" ht="13" x14ac:dyDescent="0.15">
      <c r="G416" s="170" t="s">
        <v>777</v>
      </c>
      <c r="H416" s="171"/>
      <c r="I416" s="29">
        <f>SUM(I414:I415)</f>
        <v>7.4593888888888884</v>
      </c>
    </row>
    <row r="417" spans="1:9" ht="13" x14ac:dyDescent="0.15">
      <c r="G417" s="170" t="s">
        <v>788</v>
      </c>
      <c r="H417" s="171"/>
      <c r="I417" s="29">
        <f>I416/I411</f>
        <v>7.4593888888888884</v>
      </c>
    </row>
    <row r="420" spans="1:9" ht="13" x14ac:dyDescent="0.15">
      <c r="A420" s="172" t="s">
        <v>64</v>
      </c>
      <c r="B420" s="173"/>
      <c r="C420" s="171"/>
      <c r="G420" s="172" t="s">
        <v>772</v>
      </c>
      <c r="H420" s="171"/>
      <c r="I420" s="28">
        <v>35</v>
      </c>
    </row>
    <row r="421" spans="1:9" ht="13" x14ac:dyDescent="0.15">
      <c r="A421" s="168" t="s">
        <v>773</v>
      </c>
      <c r="B421" s="168" t="s">
        <v>774</v>
      </c>
      <c r="C421" s="168" t="s">
        <v>775</v>
      </c>
      <c r="D421" s="168" t="s">
        <v>719</v>
      </c>
      <c r="E421" s="168" t="s">
        <v>776</v>
      </c>
      <c r="F421" s="168" t="s">
        <v>777</v>
      </c>
      <c r="G421" s="168" t="s">
        <v>778</v>
      </c>
      <c r="H421" s="168" t="s">
        <v>779</v>
      </c>
      <c r="I421" s="168" t="s">
        <v>780</v>
      </c>
    </row>
    <row r="422" spans="1:9" ht="13" x14ac:dyDescent="0.15">
      <c r="A422" s="169"/>
      <c r="B422" s="169"/>
      <c r="C422" s="169"/>
      <c r="D422" s="169"/>
      <c r="E422" s="169"/>
      <c r="F422" s="169"/>
      <c r="G422" s="169"/>
      <c r="H422" s="169"/>
      <c r="I422" s="169"/>
    </row>
    <row r="423" spans="1:9" ht="13" x14ac:dyDescent="0.15">
      <c r="A423" s="10">
        <v>1</v>
      </c>
      <c r="B423" s="25" t="s">
        <v>843</v>
      </c>
      <c r="C423" s="25">
        <v>2</v>
      </c>
      <c r="D423" s="5" t="s">
        <v>183</v>
      </c>
      <c r="E423" s="5">
        <f>'Master Price list'!G192</f>
        <v>8.1999999999999993</v>
      </c>
      <c r="F423" s="5">
        <f t="shared" ref="F423:F428" si="91">E423*C423</f>
        <v>16.399999999999999</v>
      </c>
      <c r="G423" s="25">
        <v>10</v>
      </c>
      <c r="H423" s="5">
        <f t="shared" ref="H423:H428" si="92">F423/100*G423</f>
        <v>1.6399999999999997</v>
      </c>
      <c r="I423" s="5">
        <f t="shared" ref="I423:I428" si="93">H423+F423</f>
        <v>18.04</v>
      </c>
    </row>
    <row r="424" spans="1:9" ht="13" x14ac:dyDescent="0.15">
      <c r="A424" s="10">
        <v>2</v>
      </c>
      <c r="B424" s="25" t="s">
        <v>580</v>
      </c>
      <c r="C424" s="25">
        <v>2.5000000000000001E-2</v>
      </c>
      <c r="D424" s="5" t="s">
        <v>183</v>
      </c>
      <c r="E424" s="5">
        <f>'Master Price list'!G154</f>
        <v>31</v>
      </c>
      <c r="F424" s="5">
        <f t="shared" si="91"/>
        <v>0.77500000000000002</v>
      </c>
      <c r="G424" s="25">
        <v>0</v>
      </c>
      <c r="H424" s="5">
        <f t="shared" si="92"/>
        <v>0</v>
      </c>
      <c r="I424" s="5">
        <f t="shared" si="93"/>
        <v>0.77500000000000002</v>
      </c>
    </row>
    <row r="425" spans="1:9" ht="13" x14ac:dyDescent="0.15">
      <c r="A425" s="10">
        <v>3</v>
      </c>
      <c r="B425" s="25" t="s">
        <v>786</v>
      </c>
      <c r="C425" s="25">
        <v>0.03</v>
      </c>
      <c r="D425" s="5" t="s">
        <v>183</v>
      </c>
      <c r="E425" s="5">
        <f>E405</f>
        <v>15</v>
      </c>
      <c r="F425" s="5">
        <f t="shared" si="91"/>
        <v>0.44999999999999996</v>
      </c>
      <c r="G425" s="25">
        <v>20</v>
      </c>
      <c r="H425" s="5">
        <f t="shared" si="92"/>
        <v>0.09</v>
      </c>
      <c r="I425" s="5">
        <f t="shared" si="93"/>
        <v>0.53999999999999992</v>
      </c>
    </row>
    <row r="426" spans="1:9" ht="13" x14ac:dyDescent="0.15">
      <c r="A426" s="10">
        <v>4</v>
      </c>
      <c r="B426" s="25" t="s">
        <v>857</v>
      </c>
      <c r="C426" s="25">
        <v>2E-3</v>
      </c>
      <c r="D426" s="5" t="s">
        <v>183</v>
      </c>
      <c r="E426" s="5">
        <f>E377</f>
        <v>4.4444444444444446</v>
      </c>
      <c r="F426" s="5">
        <f t="shared" si="91"/>
        <v>8.8888888888888889E-3</v>
      </c>
      <c r="G426" s="25">
        <v>0</v>
      </c>
      <c r="H426" s="5">
        <f t="shared" si="92"/>
        <v>0</v>
      </c>
      <c r="I426" s="5">
        <f t="shared" si="93"/>
        <v>8.8888888888888889E-3</v>
      </c>
    </row>
    <row r="427" spans="1:9" ht="13" x14ac:dyDescent="0.15">
      <c r="A427" s="10">
        <v>5</v>
      </c>
      <c r="B427" s="25" t="s">
        <v>256</v>
      </c>
      <c r="C427" s="25">
        <v>0.5</v>
      </c>
      <c r="D427" s="5" t="s">
        <v>183</v>
      </c>
      <c r="E427" s="5">
        <f>'Master Price list'!G29</f>
        <v>85</v>
      </c>
      <c r="F427" s="5">
        <f t="shared" si="91"/>
        <v>42.5</v>
      </c>
      <c r="G427" s="25">
        <v>0</v>
      </c>
      <c r="H427" s="5">
        <f t="shared" si="92"/>
        <v>0</v>
      </c>
      <c r="I427" s="5">
        <f t="shared" si="93"/>
        <v>42.5</v>
      </c>
    </row>
    <row r="428" spans="1:9" ht="13" x14ac:dyDescent="0.15">
      <c r="A428" s="10">
        <v>6</v>
      </c>
      <c r="B428" s="25" t="s">
        <v>287</v>
      </c>
      <c r="C428" s="25">
        <v>2E-3</v>
      </c>
      <c r="D428" s="5" t="s">
        <v>183</v>
      </c>
      <c r="E428" s="5">
        <f>E376</f>
        <v>56</v>
      </c>
      <c r="F428" s="5">
        <f t="shared" si="91"/>
        <v>0.112</v>
      </c>
      <c r="G428" s="25">
        <v>0</v>
      </c>
      <c r="H428" s="5">
        <f t="shared" si="92"/>
        <v>0</v>
      </c>
      <c r="I428" s="5">
        <f t="shared" si="93"/>
        <v>0.112</v>
      </c>
    </row>
    <row r="429" spans="1:9" ht="13" x14ac:dyDescent="0.15">
      <c r="G429" s="170" t="s">
        <v>777</v>
      </c>
      <c r="H429" s="171"/>
      <c r="I429" s="29">
        <f>SUM(I423:I428)</f>
        <v>61.975888888888889</v>
      </c>
    </row>
    <row r="430" spans="1:9" ht="13" x14ac:dyDescent="0.15">
      <c r="G430" s="170" t="s">
        <v>812</v>
      </c>
      <c r="H430" s="171"/>
      <c r="I430" s="29">
        <f>I429/I420</f>
        <v>1.7707396825396826</v>
      </c>
    </row>
    <row r="433" spans="1:9" ht="13" x14ac:dyDescent="0.15">
      <c r="A433" s="172" t="s">
        <v>741</v>
      </c>
      <c r="B433" s="173"/>
      <c r="C433" s="171"/>
      <c r="G433" s="172" t="s">
        <v>772</v>
      </c>
      <c r="H433" s="171"/>
      <c r="I433" s="28">
        <v>1</v>
      </c>
    </row>
    <row r="434" spans="1:9" ht="13" x14ac:dyDescent="0.15">
      <c r="A434" s="168" t="s">
        <v>773</v>
      </c>
      <c r="B434" s="168" t="s">
        <v>774</v>
      </c>
      <c r="C434" s="168" t="s">
        <v>775</v>
      </c>
      <c r="D434" s="168" t="s">
        <v>719</v>
      </c>
      <c r="E434" s="168" t="s">
        <v>776</v>
      </c>
      <c r="F434" s="168" t="s">
        <v>777</v>
      </c>
      <c r="G434" s="168" t="s">
        <v>778</v>
      </c>
      <c r="H434" s="168" t="s">
        <v>779</v>
      </c>
      <c r="I434" s="168" t="s">
        <v>780</v>
      </c>
    </row>
    <row r="435" spans="1:9" ht="13" x14ac:dyDescent="0.15">
      <c r="A435" s="169"/>
      <c r="B435" s="169"/>
      <c r="C435" s="169"/>
      <c r="D435" s="169"/>
      <c r="E435" s="169"/>
      <c r="F435" s="169"/>
      <c r="G435" s="169"/>
      <c r="H435" s="169"/>
      <c r="I435" s="169"/>
    </row>
    <row r="436" spans="1:9" ht="13" x14ac:dyDescent="0.15">
      <c r="A436" s="10">
        <v>1</v>
      </c>
      <c r="B436" s="25" t="s">
        <v>858</v>
      </c>
      <c r="C436" s="25">
        <v>7.0000000000000007E-2</v>
      </c>
      <c r="D436" s="5" t="s">
        <v>183</v>
      </c>
      <c r="E436" s="5">
        <f>'Master Price list'!G188</f>
        <v>11.5</v>
      </c>
      <c r="F436" s="5">
        <f t="shared" ref="F436:F440" si="94">E436*C436</f>
        <v>0.80500000000000005</v>
      </c>
      <c r="G436" s="25">
        <v>0</v>
      </c>
      <c r="H436" s="5">
        <f t="shared" ref="H436:H440" si="95">F436/100*G436</f>
        <v>0</v>
      </c>
      <c r="I436" s="5">
        <f t="shared" ref="I436:I440" si="96">H436+F436</f>
        <v>0.80500000000000005</v>
      </c>
    </row>
    <row r="437" spans="1:9" ht="13" x14ac:dyDescent="0.15">
      <c r="A437" s="10">
        <v>2</v>
      </c>
      <c r="B437" s="25" t="s">
        <v>607</v>
      </c>
      <c r="C437" s="25">
        <v>0.03</v>
      </c>
      <c r="D437" s="5" t="s">
        <v>183</v>
      </c>
      <c r="E437" s="5">
        <f>'Master Price list'!G167</f>
        <v>3.8</v>
      </c>
      <c r="F437" s="5">
        <f t="shared" si="94"/>
        <v>0.11399999999999999</v>
      </c>
      <c r="G437" s="25">
        <v>5</v>
      </c>
      <c r="H437" s="5">
        <f t="shared" si="95"/>
        <v>5.7000000000000002E-3</v>
      </c>
      <c r="I437" s="5">
        <f t="shared" si="96"/>
        <v>0.11969999999999999</v>
      </c>
    </row>
    <row r="438" spans="1:9" ht="13" x14ac:dyDescent="0.15">
      <c r="A438" s="10">
        <v>3</v>
      </c>
      <c r="B438" s="25" t="s">
        <v>596</v>
      </c>
      <c r="C438" s="25">
        <v>0.03</v>
      </c>
      <c r="D438" s="5" t="s">
        <v>183</v>
      </c>
      <c r="E438" s="5">
        <f>'Master Price list'!G162</f>
        <v>7.5</v>
      </c>
      <c r="F438" s="5">
        <f t="shared" si="94"/>
        <v>0.22499999999999998</v>
      </c>
      <c r="G438" s="25">
        <v>0</v>
      </c>
      <c r="H438" s="5">
        <f t="shared" si="95"/>
        <v>0</v>
      </c>
      <c r="I438" s="5">
        <f t="shared" si="96"/>
        <v>0.22499999999999998</v>
      </c>
    </row>
    <row r="439" spans="1:9" ht="13" x14ac:dyDescent="0.15">
      <c r="A439" s="10">
        <v>4</v>
      </c>
      <c r="B439" s="25" t="s">
        <v>859</v>
      </c>
      <c r="C439" s="25">
        <v>0.03</v>
      </c>
      <c r="D439" s="5" t="s">
        <v>183</v>
      </c>
      <c r="E439" s="5">
        <f>'Master Price list'!G166</f>
        <v>17</v>
      </c>
      <c r="F439" s="5">
        <f t="shared" si="94"/>
        <v>0.51</v>
      </c>
      <c r="G439" s="25">
        <v>0</v>
      </c>
      <c r="H439" s="5">
        <f t="shared" si="95"/>
        <v>0</v>
      </c>
      <c r="I439" s="5">
        <f t="shared" si="96"/>
        <v>0.51</v>
      </c>
    </row>
    <row r="440" spans="1:9" ht="13" x14ac:dyDescent="0.15">
      <c r="A440" s="10">
        <v>5</v>
      </c>
      <c r="B440" s="25" t="s">
        <v>436</v>
      </c>
      <c r="C440" s="25">
        <v>1.4999999999999999E-2</v>
      </c>
      <c r="D440" s="5" t="s">
        <v>183</v>
      </c>
      <c r="E440" s="5">
        <f>'Master Price list'!G98</f>
        <v>7.2941176470588234</v>
      </c>
      <c r="F440" s="5">
        <f t="shared" si="94"/>
        <v>0.10941176470588235</v>
      </c>
      <c r="G440" s="25">
        <v>0</v>
      </c>
      <c r="H440" s="5">
        <f t="shared" si="95"/>
        <v>0</v>
      </c>
      <c r="I440" s="5">
        <f t="shared" si="96"/>
        <v>0.10941176470588235</v>
      </c>
    </row>
    <row r="441" spans="1:9" ht="13" x14ac:dyDescent="0.15">
      <c r="G441" s="170" t="s">
        <v>777</v>
      </c>
      <c r="H441" s="171"/>
      <c r="I441" s="29">
        <f>SUM(I436:I440)</f>
        <v>1.7691117647058825</v>
      </c>
    </row>
    <row r="442" spans="1:9" ht="13" x14ac:dyDescent="0.15">
      <c r="G442" s="170" t="s">
        <v>788</v>
      </c>
      <c r="H442" s="171"/>
      <c r="I442" s="29">
        <f>I441/I433</f>
        <v>1.7691117647058825</v>
      </c>
    </row>
    <row r="445" spans="1:9" ht="13" x14ac:dyDescent="0.15">
      <c r="A445" s="172" t="s">
        <v>742</v>
      </c>
      <c r="B445" s="173"/>
      <c r="C445" s="171"/>
      <c r="G445" s="172" t="s">
        <v>772</v>
      </c>
      <c r="H445" s="171"/>
      <c r="I445" s="28">
        <v>1</v>
      </c>
    </row>
    <row r="446" spans="1:9" ht="13" x14ac:dyDescent="0.15">
      <c r="A446" s="168" t="s">
        <v>773</v>
      </c>
      <c r="B446" s="168" t="s">
        <v>774</v>
      </c>
      <c r="C446" s="168" t="s">
        <v>775</v>
      </c>
      <c r="D446" s="168" t="s">
        <v>719</v>
      </c>
      <c r="E446" s="168" t="s">
        <v>776</v>
      </c>
      <c r="F446" s="168" t="s">
        <v>777</v>
      </c>
      <c r="G446" s="168" t="s">
        <v>778</v>
      </c>
      <c r="H446" s="168" t="s">
        <v>779</v>
      </c>
      <c r="I446" s="168" t="s">
        <v>780</v>
      </c>
    </row>
    <row r="447" spans="1:9" ht="13" x14ac:dyDescent="0.15">
      <c r="A447" s="169"/>
      <c r="B447" s="169"/>
      <c r="C447" s="169"/>
      <c r="D447" s="169"/>
      <c r="E447" s="169"/>
      <c r="F447" s="169"/>
      <c r="G447" s="169"/>
      <c r="H447" s="169"/>
      <c r="I447" s="169"/>
    </row>
    <row r="448" spans="1:9" ht="13" x14ac:dyDescent="0.15">
      <c r="A448" s="10">
        <v>1</v>
      </c>
      <c r="B448" s="25" t="s">
        <v>607</v>
      </c>
      <c r="C448" s="25">
        <v>0.125</v>
      </c>
      <c r="D448" s="5" t="s">
        <v>183</v>
      </c>
      <c r="E448" s="5">
        <f t="shared" ref="E448:E449" si="97">E437</f>
        <v>3.8</v>
      </c>
      <c r="F448" s="5">
        <f t="shared" ref="F448:F454" si="98">E448*C448</f>
        <v>0.47499999999999998</v>
      </c>
      <c r="G448" s="25">
        <v>5</v>
      </c>
      <c r="H448" s="5">
        <f t="shared" ref="H448:H454" si="99">F448/100*G448</f>
        <v>2.375E-2</v>
      </c>
      <c r="I448" s="5">
        <f t="shared" ref="I448:I454" si="100">H448+F448</f>
        <v>0.49874999999999997</v>
      </c>
    </row>
    <row r="449" spans="1:9" ht="13" x14ac:dyDescent="0.15">
      <c r="A449" s="10">
        <v>2</v>
      </c>
      <c r="B449" s="25" t="s">
        <v>596</v>
      </c>
      <c r="C449" s="25">
        <v>0.125</v>
      </c>
      <c r="D449" s="5" t="s">
        <v>183</v>
      </c>
      <c r="E449" s="5">
        <f t="shared" si="97"/>
        <v>7.5</v>
      </c>
      <c r="F449" s="5">
        <f t="shared" si="98"/>
        <v>0.9375</v>
      </c>
      <c r="G449" s="25">
        <v>5</v>
      </c>
      <c r="H449" s="5">
        <f t="shared" si="99"/>
        <v>4.6875E-2</v>
      </c>
      <c r="I449" s="5">
        <f t="shared" si="100"/>
        <v>0.984375</v>
      </c>
    </row>
    <row r="450" spans="1:9" ht="13" x14ac:dyDescent="0.15">
      <c r="A450" s="10">
        <v>3</v>
      </c>
      <c r="B450" s="25" t="s">
        <v>860</v>
      </c>
      <c r="C450" s="25">
        <v>1.4999999999999999E-2</v>
      </c>
      <c r="D450" s="5" t="s">
        <v>183</v>
      </c>
      <c r="E450" s="5">
        <f>'Master Price list'!G168</f>
        <v>7.5</v>
      </c>
      <c r="F450" s="5">
        <f t="shared" si="98"/>
        <v>0.11249999999999999</v>
      </c>
      <c r="G450" s="25">
        <v>0</v>
      </c>
      <c r="H450" s="5">
        <f t="shared" si="99"/>
        <v>0</v>
      </c>
      <c r="I450" s="5">
        <f t="shared" si="100"/>
        <v>0.11249999999999999</v>
      </c>
    </row>
    <row r="451" spans="1:9" ht="13" x14ac:dyDescent="0.15">
      <c r="A451" s="10">
        <v>4</v>
      </c>
      <c r="B451" s="25" t="s">
        <v>861</v>
      </c>
      <c r="C451" s="25">
        <v>5.0000000000000001E-3</v>
      </c>
      <c r="D451" s="5" t="s">
        <v>183</v>
      </c>
      <c r="E451" s="5">
        <f>'Master Price list'!G178</f>
        <v>11</v>
      </c>
      <c r="F451" s="5">
        <f t="shared" si="98"/>
        <v>5.5E-2</v>
      </c>
      <c r="G451" s="25">
        <v>0</v>
      </c>
      <c r="H451" s="5">
        <f t="shared" si="99"/>
        <v>0</v>
      </c>
      <c r="I451" s="5">
        <f t="shared" si="100"/>
        <v>5.5E-2</v>
      </c>
    </row>
    <row r="452" spans="1:9" ht="13" x14ac:dyDescent="0.15">
      <c r="A452" s="10">
        <v>5</v>
      </c>
      <c r="B452" s="25" t="s">
        <v>538</v>
      </c>
      <c r="C452" s="25">
        <v>0.01</v>
      </c>
      <c r="D452" s="5" t="s">
        <v>183</v>
      </c>
      <c r="E452" s="5">
        <f>'Master Price list'!G139</f>
        <v>23</v>
      </c>
      <c r="F452" s="5">
        <f t="shared" si="98"/>
        <v>0.23</v>
      </c>
      <c r="G452" s="25">
        <v>0</v>
      </c>
      <c r="H452" s="5">
        <f t="shared" si="99"/>
        <v>0</v>
      </c>
      <c r="I452" s="5">
        <f t="shared" si="100"/>
        <v>0.23</v>
      </c>
    </row>
    <row r="453" spans="1:9" ht="13" x14ac:dyDescent="0.15">
      <c r="A453" s="10">
        <v>6</v>
      </c>
      <c r="B453" s="25" t="s">
        <v>787</v>
      </c>
      <c r="C453" s="25">
        <v>0.01</v>
      </c>
      <c r="D453" s="5" t="s">
        <v>183</v>
      </c>
      <c r="E453" s="5">
        <f>'Master Price list'!G80</f>
        <v>42</v>
      </c>
      <c r="F453" s="5">
        <f t="shared" si="98"/>
        <v>0.42</v>
      </c>
      <c r="G453" s="25">
        <v>0</v>
      </c>
      <c r="H453" s="5">
        <f t="shared" si="99"/>
        <v>0</v>
      </c>
      <c r="I453" s="5">
        <f t="shared" si="100"/>
        <v>0.42</v>
      </c>
    </row>
    <row r="454" spans="1:9" ht="13" x14ac:dyDescent="0.15">
      <c r="A454" s="10">
        <v>7</v>
      </c>
      <c r="B454" s="25" t="s">
        <v>743</v>
      </c>
      <c r="C454" s="25">
        <v>0.05</v>
      </c>
      <c r="D454" s="5" t="s">
        <v>183</v>
      </c>
      <c r="E454" s="5">
        <f>I472</f>
        <v>25.96125</v>
      </c>
      <c r="F454" s="5">
        <f t="shared" si="98"/>
        <v>1.2980625000000001</v>
      </c>
      <c r="G454" s="25">
        <v>0</v>
      </c>
      <c r="H454" s="5">
        <f t="shared" si="99"/>
        <v>0</v>
      </c>
      <c r="I454" s="5">
        <f t="shared" si="100"/>
        <v>1.2980625000000001</v>
      </c>
    </row>
    <row r="455" spans="1:9" ht="13" x14ac:dyDescent="0.15">
      <c r="G455" s="170" t="s">
        <v>777</v>
      </c>
      <c r="H455" s="171"/>
      <c r="I455" s="29">
        <f>SUM(I448:I454)</f>
        <v>3.5986875000000005</v>
      </c>
    </row>
    <row r="456" spans="1:9" ht="13" x14ac:dyDescent="0.15">
      <c r="G456" s="170" t="s">
        <v>788</v>
      </c>
      <c r="H456" s="171"/>
      <c r="I456" s="29">
        <f>I455/I445</f>
        <v>3.5986875000000005</v>
      </c>
    </row>
    <row r="459" spans="1:9" ht="13" x14ac:dyDescent="0.15">
      <c r="A459" s="172" t="s">
        <v>743</v>
      </c>
      <c r="B459" s="173"/>
      <c r="C459" s="171"/>
      <c r="G459" s="172" t="s">
        <v>772</v>
      </c>
      <c r="H459" s="171"/>
      <c r="I459" s="28">
        <v>4</v>
      </c>
    </row>
    <row r="460" spans="1:9" ht="13" x14ac:dyDescent="0.15">
      <c r="A460" s="168" t="s">
        <v>773</v>
      </c>
      <c r="B460" s="168" t="s">
        <v>774</v>
      </c>
      <c r="C460" s="168" t="s">
        <v>775</v>
      </c>
      <c r="D460" s="168" t="s">
        <v>719</v>
      </c>
      <c r="E460" s="168" t="s">
        <v>776</v>
      </c>
      <c r="F460" s="168" t="s">
        <v>777</v>
      </c>
      <c r="G460" s="168" t="s">
        <v>778</v>
      </c>
      <c r="H460" s="168" t="s">
        <v>779</v>
      </c>
      <c r="I460" s="168" t="s">
        <v>780</v>
      </c>
    </row>
    <row r="461" spans="1:9" ht="13" x14ac:dyDescent="0.15">
      <c r="A461" s="169"/>
      <c r="B461" s="169"/>
      <c r="C461" s="169"/>
      <c r="D461" s="169"/>
      <c r="E461" s="169"/>
      <c r="F461" s="169"/>
      <c r="G461" s="169"/>
      <c r="H461" s="169"/>
      <c r="I461" s="169"/>
    </row>
    <row r="462" spans="1:9" ht="13" x14ac:dyDescent="0.15">
      <c r="A462" s="10">
        <v>1</v>
      </c>
      <c r="B462" s="25" t="s">
        <v>862</v>
      </c>
      <c r="C462" s="25">
        <v>1</v>
      </c>
      <c r="D462" s="5" t="s">
        <v>183</v>
      </c>
      <c r="E462" s="5">
        <f>'Master Price list'!G135</f>
        <v>29.95</v>
      </c>
      <c r="F462" s="5">
        <f t="shared" ref="F462:F470" si="101">E462*C462</f>
        <v>29.95</v>
      </c>
      <c r="G462" s="25">
        <v>0</v>
      </c>
      <c r="H462" s="5">
        <f t="shared" ref="H462:H470" si="102">F462/100*G462</f>
        <v>0</v>
      </c>
      <c r="I462" s="5">
        <f t="shared" ref="I462:I470" si="103">H462+F462</f>
        <v>29.95</v>
      </c>
    </row>
    <row r="463" spans="1:9" ht="13" x14ac:dyDescent="0.15">
      <c r="A463" s="10">
        <v>2</v>
      </c>
      <c r="B463" s="25" t="s">
        <v>863</v>
      </c>
      <c r="C463" s="25">
        <v>0.5</v>
      </c>
      <c r="D463" s="5" t="s">
        <v>183</v>
      </c>
      <c r="E463" s="5">
        <f>'Master Price list'!G131</f>
        <v>50.95</v>
      </c>
      <c r="F463" s="5">
        <f t="shared" si="101"/>
        <v>25.475000000000001</v>
      </c>
      <c r="G463" s="25">
        <v>0</v>
      </c>
      <c r="H463" s="5">
        <f t="shared" si="102"/>
        <v>0</v>
      </c>
      <c r="I463" s="5">
        <f t="shared" si="103"/>
        <v>25.475000000000001</v>
      </c>
    </row>
    <row r="464" spans="1:9" ht="13" x14ac:dyDescent="0.15">
      <c r="A464" s="10">
        <v>3</v>
      </c>
      <c r="B464" s="25" t="s">
        <v>864</v>
      </c>
      <c r="C464" s="25">
        <v>0.2</v>
      </c>
      <c r="D464" s="5" t="s">
        <v>183</v>
      </c>
      <c r="E464" s="5">
        <f>'Master Price list'!G138</f>
        <v>17.5</v>
      </c>
      <c r="F464" s="5">
        <f t="shared" si="101"/>
        <v>3.5</v>
      </c>
      <c r="G464" s="25">
        <v>0</v>
      </c>
      <c r="H464" s="5">
        <f t="shared" si="102"/>
        <v>0</v>
      </c>
      <c r="I464" s="5">
        <f t="shared" si="103"/>
        <v>3.5</v>
      </c>
    </row>
    <row r="465" spans="1:9" ht="13" x14ac:dyDescent="0.15">
      <c r="A465" s="10">
        <v>4</v>
      </c>
      <c r="B465" s="25" t="s">
        <v>865</v>
      </c>
      <c r="C465" s="25">
        <v>1</v>
      </c>
      <c r="D465" s="5" t="s">
        <v>183</v>
      </c>
      <c r="E465" s="5">
        <f>'Master Price list'!G136</f>
        <v>14.25</v>
      </c>
      <c r="F465" s="5">
        <f t="shared" si="101"/>
        <v>14.25</v>
      </c>
      <c r="G465" s="25">
        <v>0</v>
      </c>
      <c r="H465" s="5">
        <f t="shared" si="102"/>
        <v>0</v>
      </c>
      <c r="I465" s="5">
        <f t="shared" si="103"/>
        <v>14.25</v>
      </c>
    </row>
    <row r="466" spans="1:9" ht="13" x14ac:dyDescent="0.15">
      <c r="A466" s="10">
        <v>5</v>
      </c>
      <c r="B466" s="25" t="s">
        <v>232</v>
      </c>
      <c r="C466" s="25">
        <v>0.5</v>
      </c>
      <c r="D466" s="5" t="s">
        <v>183</v>
      </c>
      <c r="E466" s="5">
        <f>'Master Price list'!G21</f>
        <v>39.200000000000003</v>
      </c>
      <c r="F466" s="5">
        <f t="shared" si="101"/>
        <v>19.600000000000001</v>
      </c>
      <c r="G466" s="25">
        <v>0</v>
      </c>
      <c r="H466" s="5">
        <f t="shared" si="102"/>
        <v>0</v>
      </c>
      <c r="I466" s="5">
        <f t="shared" si="103"/>
        <v>19.600000000000001</v>
      </c>
    </row>
    <row r="467" spans="1:9" ht="13" x14ac:dyDescent="0.15">
      <c r="A467" s="10">
        <v>6</v>
      </c>
      <c r="B467" s="25" t="s">
        <v>462</v>
      </c>
      <c r="C467" s="25">
        <v>0.8</v>
      </c>
      <c r="D467" s="5" t="s">
        <v>183</v>
      </c>
      <c r="E467" s="5">
        <f>'Master Price list'!G107</f>
        <v>6.4</v>
      </c>
      <c r="F467" s="5">
        <f t="shared" si="101"/>
        <v>5.120000000000001</v>
      </c>
      <c r="G467" s="25">
        <v>0</v>
      </c>
      <c r="H467" s="5">
        <f t="shared" si="102"/>
        <v>0</v>
      </c>
      <c r="I467" s="5">
        <f t="shared" si="103"/>
        <v>5.120000000000001</v>
      </c>
    </row>
    <row r="468" spans="1:9" ht="13" x14ac:dyDescent="0.15">
      <c r="A468" s="10">
        <v>7</v>
      </c>
      <c r="B468" s="25" t="s">
        <v>797</v>
      </c>
      <c r="C468" s="25">
        <v>0.05</v>
      </c>
      <c r="D468" s="5" t="s">
        <v>183</v>
      </c>
      <c r="E468" s="5">
        <f>'Master Price list'!G47</f>
        <v>35</v>
      </c>
      <c r="F468" s="5">
        <f t="shared" si="101"/>
        <v>1.75</v>
      </c>
      <c r="G468" s="25">
        <v>0</v>
      </c>
      <c r="H468" s="5">
        <f t="shared" si="102"/>
        <v>0</v>
      </c>
      <c r="I468" s="5">
        <f t="shared" si="103"/>
        <v>1.75</v>
      </c>
    </row>
    <row r="469" spans="1:9" ht="13" x14ac:dyDescent="0.15">
      <c r="A469" s="10">
        <v>8</v>
      </c>
      <c r="B469" s="25" t="s">
        <v>326</v>
      </c>
      <c r="C469" s="25">
        <v>0.05</v>
      </c>
      <c r="D469" s="5" t="s">
        <v>183</v>
      </c>
      <c r="E469" s="5">
        <f>'Master Price list'!G58</f>
        <v>62</v>
      </c>
      <c r="F469" s="5">
        <f t="shared" si="101"/>
        <v>3.1</v>
      </c>
      <c r="G469" s="25">
        <v>0</v>
      </c>
      <c r="H469" s="5">
        <f t="shared" si="102"/>
        <v>0</v>
      </c>
      <c r="I469" s="5">
        <f t="shared" si="103"/>
        <v>3.1</v>
      </c>
    </row>
    <row r="470" spans="1:9" ht="13" x14ac:dyDescent="0.15">
      <c r="A470" s="10">
        <v>9</v>
      </c>
      <c r="B470" s="25" t="s">
        <v>866</v>
      </c>
      <c r="C470" s="25">
        <v>0.05</v>
      </c>
      <c r="D470" s="5" t="s">
        <v>183</v>
      </c>
      <c r="E470" s="5">
        <f>'Master Price list'!G49</f>
        <v>22</v>
      </c>
      <c r="F470" s="5">
        <f t="shared" si="101"/>
        <v>1.1000000000000001</v>
      </c>
      <c r="G470" s="25">
        <v>0</v>
      </c>
      <c r="H470" s="5">
        <f t="shared" si="102"/>
        <v>0</v>
      </c>
      <c r="I470" s="5">
        <f t="shared" si="103"/>
        <v>1.1000000000000001</v>
      </c>
    </row>
    <row r="471" spans="1:9" ht="13" x14ac:dyDescent="0.15">
      <c r="G471" s="170" t="s">
        <v>777</v>
      </c>
      <c r="H471" s="171"/>
      <c r="I471" s="29">
        <f>SUM(I462:I470)</f>
        <v>103.845</v>
      </c>
    </row>
    <row r="472" spans="1:9" ht="13" x14ac:dyDescent="0.15">
      <c r="G472" s="170" t="s">
        <v>836</v>
      </c>
      <c r="H472" s="171"/>
      <c r="I472" s="29">
        <f>I471/I459</f>
        <v>25.96125</v>
      </c>
    </row>
    <row r="475" spans="1:9" ht="13" x14ac:dyDescent="0.15">
      <c r="A475" s="172" t="s">
        <v>867</v>
      </c>
      <c r="B475" s="173"/>
      <c r="C475" s="171"/>
      <c r="G475" s="172" t="s">
        <v>772</v>
      </c>
      <c r="H475" s="171"/>
      <c r="I475" s="28">
        <v>1</v>
      </c>
    </row>
    <row r="476" spans="1:9" ht="13" x14ac:dyDescent="0.15">
      <c r="A476" s="168" t="s">
        <v>773</v>
      </c>
      <c r="B476" s="168" t="s">
        <v>774</v>
      </c>
      <c r="C476" s="168" t="s">
        <v>775</v>
      </c>
      <c r="D476" s="168" t="s">
        <v>719</v>
      </c>
      <c r="E476" s="168" t="s">
        <v>776</v>
      </c>
      <c r="F476" s="168" t="s">
        <v>777</v>
      </c>
      <c r="G476" s="168" t="s">
        <v>778</v>
      </c>
      <c r="H476" s="168" t="s">
        <v>779</v>
      </c>
      <c r="I476" s="168" t="s">
        <v>780</v>
      </c>
    </row>
    <row r="477" spans="1:9" ht="13" x14ac:dyDescent="0.15">
      <c r="A477" s="169"/>
      <c r="B477" s="169"/>
      <c r="C477" s="169"/>
      <c r="D477" s="169"/>
      <c r="E477" s="169"/>
      <c r="F477" s="169"/>
      <c r="G477" s="169"/>
      <c r="H477" s="169"/>
      <c r="I477" s="169"/>
    </row>
    <row r="478" spans="1:9" ht="13" x14ac:dyDescent="0.15">
      <c r="A478" s="10">
        <v>1</v>
      </c>
      <c r="B478" s="25" t="s">
        <v>868</v>
      </c>
      <c r="C478" s="25">
        <v>0.5</v>
      </c>
      <c r="D478" s="5" t="s">
        <v>183</v>
      </c>
      <c r="E478" s="5">
        <f>'Master Price list'!G77</f>
        <v>11.25</v>
      </c>
      <c r="F478" s="5">
        <f t="shared" ref="F478:F484" si="104">E478*C478</f>
        <v>5.625</v>
      </c>
      <c r="G478" s="25">
        <v>10</v>
      </c>
      <c r="H478" s="5">
        <f t="shared" ref="H478:H484" si="105">F478/100*G478</f>
        <v>0.5625</v>
      </c>
      <c r="I478" s="5">
        <f t="shared" ref="I478:I484" si="106">H478+F478</f>
        <v>6.1875</v>
      </c>
    </row>
    <row r="479" spans="1:9" ht="13" x14ac:dyDescent="0.15">
      <c r="A479" s="10">
        <v>2</v>
      </c>
      <c r="B479" s="25" t="s">
        <v>67</v>
      </c>
      <c r="C479" s="25">
        <v>0.03</v>
      </c>
      <c r="D479" s="5" t="s">
        <v>183</v>
      </c>
      <c r="E479" s="5">
        <f>'Master Price list'!G202</f>
        <v>4.8</v>
      </c>
      <c r="F479" s="5">
        <f t="shared" si="104"/>
        <v>0.14399999999999999</v>
      </c>
      <c r="G479" s="25">
        <v>5</v>
      </c>
      <c r="H479" s="5">
        <f t="shared" si="105"/>
        <v>7.1999999999999998E-3</v>
      </c>
      <c r="I479" s="5">
        <f t="shared" si="106"/>
        <v>0.1512</v>
      </c>
    </row>
    <row r="480" spans="1:9" ht="13" x14ac:dyDescent="0.15">
      <c r="A480" s="10">
        <v>3</v>
      </c>
      <c r="B480" s="25" t="s">
        <v>815</v>
      </c>
      <c r="C480" s="25">
        <v>0.03</v>
      </c>
      <c r="D480" s="5" t="s">
        <v>183</v>
      </c>
      <c r="E480" s="5">
        <f>'Master Price list'!G190</f>
        <v>3.5</v>
      </c>
      <c r="F480" s="5">
        <f t="shared" si="104"/>
        <v>0.105</v>
      </c>
      <c r="G480" s="25">
        <v>5</v>
      </c>
      <c r="H480" s="5">
        <f t="shared" si="105"/>
        <v>5.2499999999999995E-3</v>
      </c>
      <c r="I480" s="5">
        <f t="shared" si="106"/>
        <v>0.11025</v>
      </c>
    </row>
    <row r="481" spans="1:9" ht="13" x14ac:dyDescent="0.15">
      <c r="A481" s="10">
        <v>4</v>
      </c>
      <c r="B481" s="25" t="s">
        <v>834</v>
      </c>
      <c r="C481" s="25">
        <v>5.0000000000000001E-3</v>
      </c>
      <c r="D481" s="5" t="s">
        <v>183</v>
      </c>
      <c r="E481" s="5">
        <f>'Master Price list'!G174</f>
        <v>15</v>
      </c>
      <c r="F481" s="5">
        <f t="shared" si="104"/>
        <v>7.4999999999999997E-2</v>
      </c>
      <c r="G481" s="25">
        <v>20</v>
      </c>
      <c r="H481" s="5">
        <f t="shared" si="105"/>
        <v>1.4999999999999999E-2</v>
      </c>
      <c r="I481" s="5">
        <f t="shared" si="106"/>
        <v>0.09</v>
      </c>
    </row>
    <row r="482" spans="1:9" ht="13" x14ac:dyDescent="0.15">
      <c r="A482" s="10">
        <v>5</v>
      </c>
      <c r="B482" s="25" t="s">
        <v>787</v>
      </c>
      <c r="C482" s="25">
        <v>4.4999999999999998E-2</v>
      </c>
      <c r="D482" s="5" t="s">
        <v>183</v>
      </c>
      <c r="E482" s="5">
        <f>E453</f>
        <v>42</v>
      </c>
      <c r="F482" s="5">
        <f t="shared" si="104"/>
        <v>1.89</v>
      </c>
      <c r="G482" s="25">
        <v>0</v>
      </c>
      <c r="H482" s="5">
        <f t="shared" si="105"/>
        <v>0</v>
      </c>
      <c r="I482" s="5">
        <f t="shared" si="106"/>
        <v>1.89</v>
      </c>
    </row>
    <row r="483" spans="1:9" ht="13" x14ac:dyDescent="0.15">
      <c r="A483" s="10">
        <v>6</v>
      </c>
      <c r="B483" s="25" t="s">
        <v>822</v>
      </c>
      <c r="C483" s="25">
        <v>5.0000000000000001E-3</v>
      </c>
      <c r="D483" s="5" t="s">
        <v>183</v>
      </c>
      <c r="E483" s="5">
        <v>0.35</v>
      </c>
      <c r="F483" s="5">
        <f t="shared" si="104"/>
        <v>1.7499999999999998E-3</v>
      </c>
      <c r="G483" s="25">
        <v>5</v>
      </c>
      <c r="H483" s="5">
        <f t="shared" si="105"/>
        <v>8.7499999999999986E-5</v>
      </c>
      <c r="I483" s="5">
        <f t="shared" si="106"/>
        <v>1.8374999999999997E-3</v>
      </c>
    </row>
    <row r="484" spans="1:9" ht="13" x14ac:dyDescent="0.15">
      <c r="A484" s="10">
        <v>7</v>
      </c>
      <c r="B484" s="25" t="s">
        <v>782</v>
      </c>
      <c r="C484" s="25">
        <v>2.5000000000000001E-3</v>
      </c>
      <c r="D484" s="5" t="s">
        <v>183</v>
      </c>
      <c r="E484" s="5">
        <f>E426</f>
        <v>4.4444444444444446</v>
      </c>
      <c r="F484" s="5">
        <f t="shared" si="104"/>
        <v>1.1111111111111112E-2</v>
      </c>
      <c r="G484" s="25">
        <v>0</v>
      </c>
      <c r="H484" s="5">
        <f t="shared" si="105"/>
        <v>0</v>
      </c>
      <c r="I484" s="5">
        <f t="shared" si="106"/>
        <v>1.1111111111111112E-2</v>
      </c>
    </row>
    <row r="485" spans="1:9" ht="13" x14ac:dyDescent="0.15">
      <c r="G485" s="170" t="s">
        <v>777</v>
      </c>
      <c r="H485" s="171"/>
      <c r="I485" s="29">
        <f>SUM(I478:I484)</f>
        <v>8.4418986111111121</v>
      </c>
    </row>
    <row r="486" spans="1:9" ht="13" x14ac:dyDescent="0.15">
      <c r="G486" s="170" t="s">
        <v>836</v>
      </c>
      <c r="H486" s="171"/>
      <c r="I486" s="29">
        <f>I485/600*1000</f>
        <v>14.069831018518519</v>
      </c>
    </row>
    <row r="489" spans="1:9" ht="13" x14ac:dyDescent="0.15">
      <c r="A489" s="172" t="s">
        <v>745</v>
      </c>
      <c r="B489" s="173"/>
      <c r="C489" s="171"/>
      <c r="G489" s="172" t="s">
        <v>772</v>
      </c>
      <c r="H489" s="171"/>
      <c r="I489" s="28">
        <v>7</v>
      </c>
    </row>
    <row r="490" spans="1:9" ht="13" x14ac:dyDescent="0.15">
      <c r="A490" s="168" t="s">
        <v>773</v>
      </c>
      <c r="B490" s="168" t="s">
        <v>774</v>
      </c>
      <c r="C490" s="168" t="s">
        <v>775</v>
      </c>
      <c r="D490" s="168" t="s">
        <v>719</v>
      </c>
      <c r="E490" s="168" t="s">
        <v>776</v>
      </c>
      <c r="F490" s="168" t="s">
        <v>777</v>
      </c>
      <c r="G490" s="168" t="s">
        <v>778</v>
      </c>
      <c r="H490" s="168" t="s">
        <v>779</v>
      </c>
      <c r="I490" s="168" t="s">
        <v>780</v>
      </c>
    </row>
    <row r="491" spans="1:9" ht="13" x14ac:dyDescent="0.15">
      <c r="A491" s="169"/>
      <c r="B491" s="169"/>
      <c r="C491" s="169"/>
      <c r="D491" s="169"/>
      <c r="E491" s="169"/>
      <c r="F491" s="169"/>
      <c r="G491" s="169"/>
      <c r="H491" s="169"/>
      <c r="I491" s="169"/>
    </row>
    <row r="492" spans="1:9" ht="13" x14ac:dyDescent="0.15">
      <c r="A492" s="10">
        <v>1</v>
      </c>
      <c r="B492" s="25" t="s">
        <v>869</v>
      </c>
      <c r="C492" s="25">
        <v>0.3</v>
      </c>
      <c r="D492" s="5" t="s">
        <v>183</v>
      </c>
      <c r="E492" s="5">
        <f>'Master Price list'!G189</f>
        <v>3.3</v>
      </c>
      <c r="F492" s="5">
        <f t="shared" ref="F492:F498" si="107">E492*C492</f>
        <v>0.98999999999999988</v>
      </c>
      <c r="G492" s="25">
        <v>5</v>
      </c>
      <c r="H492" s="5">
        <f t="shared" ref="H492:H498" si="108">F492/100*G492</f>
        <v>4.9499999999999995E-2</v>
      </c>
      <c r="I492" s="5">
        <f t="shared" ref="I492:I498" si="109">H492+F492</f>
        <v>1.0394999999999999</v>
      </c>
    </row>
    <row r="493" spans="1:9" ht="13" x14ac:dyDescent="0.15">
      <c r="A493" s="10">
        <v>2</v>
      </c>
      <c r="B493" s="25" t="s">
        <v>870</v>
      </c>
      <c r="C493" s="25">
        <v>0.3</v>
      </c>
      <c r="D493" s="5" t="s">
        <v>183</v>
      </c>
      <c r="E493" s="5">
        <f>'Master Price list'!G200</f>
        <v>4.5</v>
      </c>
      <c r="F493" s="5">
        <f t="shared" si="107"/>
        <v>1.3499999999999999</v>
      </c>
      <c r="G493" s="25">
        <v>5</v>
      </c>
      <c r="H493" s="5">
        <f t="shared" si="108"/>
        <v>6.7499999999999991E-2</v>
      </c>
      <c r="I493" s="5">
        <f t="shared" si="109"/>
        <v>1.4174999999999998</v>
      </c>
    </row>
    <row r="494" spans="1:9" ht="13" x14ac:dyDescent="0.15">
      <c r="A494" s="10">
        <v>3</v>
      </c>
      <c r="B494" s="25" t="s">
        <v>596</v>
      </c>
      <c r="C494" s="25">
        <v>0.3</v>
      </c>
      <c r="D494" s="5" t="s">
        <v>183</v>
      </c>
      <c r="E494" s="5">
        <f>'Master Price list'!G162</f>
        <v>7.5</v>
      </c>
      <c r="F494" s="5">
        <f t="shared" si="107"/>
        <v>2.25</v>
      </c>
      <c r="G494" s="25">
        <v>5</v>
      </c>
      <c r="H494" s="5">
        <f t="shared" si="108"/>
        <v>0.11249999999999999</v>
      </c>
      <c r="I494" s="5">
        <f t="shared" si="109"/>
        <v>2.3624999999999998</v>
      </c>
    </row>
    <row r="495" spans="1:9" ht="13" x14ac:dyDescent="0.15">
      <c r="A495" s="10">
        <v>4</v>
      </c>
      <c r="B495" s="25" t="s">
        <v>659</v>
      </c>
      <c r="C495" s="25">
        <v>0.4</v>
      </c>
      <c r="D495" s="5" t="s">
        <v>183</v>
      </c>
      <c r="E495" s="5">
        <f>'Master Price list'!G193</f>
        <v>4.3</v>
      </c>
      <c r="F495" s="5">
        <f t="shared" si="107"/>
        <v>1.72</v>
      </c>
      <c r="G495" s="25">
        <v>0</v>
      </c>
      <c r="H495" s="5">
        <f t="shared" si="108"/>
        <v>0</v>
      </c>
      <c r="I495" s="5">
        <f t="shared" si="109"/>
        <v>1.72</v>
      </c>
    </row>
    <row r="496" spans="1:9" ht="13" x14ac:dyDescent="0.15">
      <c r="A496" s="10">
        <v>5</v>
      </c>
      <c r="B496" s="25" t="s">
        <v>607</v>
      </c>
      <c r="C496" s="25">
        <v>0.3</v>
      </c>
      <c r="D496" s="5" t="s">
        <v>183</v>
      </c>
      <c r="E496" s="5">
        <f>'Master Price list'!G167</f>
        <v>3.8</v>
      </c>
      <c r="F496" s="5">
        <f t="shared" si="107"/>
        <v>1.1399999999999999</v>
      </c>
      <c r="G496" s="25">
        <v>5</v>
      </c>
      <c r="H496" s="5">
        <f t="shared" si="108"/>
        <v>5.6999999999999995E-2</v>
      </c>
      <c r="I496" s="5">
        <f t="shared" si="109"/>
        <v>1.1969999999999998</v>
      </c>
    </row>
    <row r="497" spans="1:9" ht="13" x14ac:dyDescent="0.15">
      <c r="A497" s="10">
        <v>6</v>
      </c>
      <c r="B497" s="25" t="s">
        <v>871</v>
      </c>
      <c r="C497" s="25">
        <v>0.3</v>
      </c>
      <c r="D497" s="5" t="s">
        <v>183</v>
      </c>
      <c r="E497" s="5">
        <f>'Master Price list'!G166</f>
        <v>17</v>
      </c>
      <c r="F497" s="5">
        <f t="shared" si="107"/>
        <v>5.0999999999999996</v>
      </c>
      <c r="G497" s="25">
        <v>5</v>
      </c>
      <c r="H497" s="5">
        <f t="shared" si="108"/>
        <v>0.255</v>
      </c>
      <c r="I497" s="5">
        <f t="shared" si="109"/>
        <v>5.3549999999999995</v>
      </c>
    </row>
    <row r="498" spans="1:9" ht="13" x14ac:dyDescent="0.15">
      <c r="A498" s="10">
        <v>7</v>
      </c>
      <c r="B498" s="25" t="s">
        <v>787</v>
      </c>
      <c r="C498" s="25">
        <v>5.0000000000000001E-3</v>
      </c>
      <c r="D498" s="5" t="s">
        <v>183</v>
      </c>
      <c r="E498" s="5">
        <f>E482</f>
        <v>42</v>
      </c>
      <c r="F498" s="5">
        <f t="shared" si="107"/>
        <v>0.21</v>
      </c>
      <c r="G498" s="25">
        <v>0</v>
      </c>
      <c r="H498" s="5">
        <f t="shared" si="108"/>
        <v>0</v>
      </c>
      <c r="I498" s="5">
        <f t="shared" si="109"/>
        <v>0.21</v>
      </c>
    </row>
    <row r="499" spans="1:9" ht="13" x14ac:dyDescent="0.15">
      <c r="G499" s="170" t="s">
        <v>777</v>
      </c>
      <c r="H499" s="171"/>
      <c r="I499" s="29">
        <f>SUM(I492:I498)</f>
        <v>13.301500000000001</v>
      </c>
    </row>
    <row r="500" spans="1:9" ht="13" x14ac:dyDescent="0.15">
      <c r="G500" s="170" t="s">
        <v>788</v>
      </c>
      <c r="H500" s="171"/>
      <c r="I500" s="29">
        <f>I499/I489</f>
        <v>1.9002142857142859</v>
      </c>
    </row>
    <row r="503" spans="1:9" ht="13" x14ac:dyDescent="0.15">
      <c r="A503" s="172" t="s">
        <v>746</v>
      </c>
      <c r="B503" s="173"/>
      <c r="C503" s="171"/>
      <c r="G503" s="172" t="s">
        <v>772</v>
      </c>
      <c r="H503" s="171"/>
      <c r="I503" s="28">
        <v>1</v>
      </c>
    </row>
    <row r="504" spans="1:9" ht="13" x14ac:dyDescent="0.15">
      <c r="A504" s="168" t="s">
        <v>773</v>
      </c>
      <c r="B504" s="168" t="s">
        <v>774</v>
      </c>
      <c r="C504" s="168" t="s">
        <v>775</v>
      </c>
      <c r="D504" s="168" t="s">
        <v>719</v>
      </c>
      <c r="E504" s="168" t="s">
        <v>776</v>
      </c>
      <c r="F504" s="168" t="s">
        <v>777</v>
      </c>
      <c r="G504" s="168" t="s">
        <v>778</v>
      </c>
      <c r="H504" s="168" t="s">
        <v>779</v>
      </c>
      <c r="I504" s="168" t="s">
        <v>780</v>
      </c>
    </row>
    <row r="505" spans="1:9" ht="13" x14ac:dyDescent="0.15">
      <c r="A505" s="169"/>
      <c r="B505" s="169"/>
      <c r="C505" s="169"/>
      <c r="D505" s="169"/>
      <c r="E505" s="169"/>
      <c r="F505" s="169"/>
      <c r="G505" s="169"/>
      <c r="H505" s="169"/>
      <c r="I505" s="169"/>
    </row>
    <row r="506" spans="1:9" ht="13" x14ac:dyDescent="0.15">
      <c r="A506" s="10">
        <v>1</v>
      </c>
      <c r="B506" s="25" t="s">
        <v>75</v>
      </c>
      <c r="C506" s="25">
        <v>0.4</v>
      </c>
      <c r="D506" s="5" t="s">
        <v>183</v>
      </c>
      <c r="E506" s="5">
        <f>'Master Price list'!G156</f>
        <v>4</v>
      </c>
      <c r="F506" s="5">
        <f t="shared" ref="F506:F511" si="110">E506*C506</f>
        <v>1.6</v>
      </c>
      <c r="G506" s="25">
        <v>10</v>
      </c>
      <c r="H506" s="5">
        <f t="shared" ref="H506:H511" si="111">F506/100*G506</f>
        <v>0.16</v>
      </c>
      <c r="I506" s="5">
        <f t="shared" ref="I506:I511" si="112">H506+F506</f>
        <v>1.76</v>
      </c>
    </row>
    <row r="507" spans="1:9" ht="13" x14ac:dyDescent="0.15">
      <c r="A507" s="10">
        <v>2</v>
      </c>
      <c r="B507" s="25" t="s">
        <v>580</v>
      </c>
      <c r="C507" s="25">
        <v>2.5000000000000001E-3</v>
      </c>
      <c r="D507" s="5" t="s">
        <v>183</v>
      </c>
      <c r="E507" s="5">
        <f>E424</f>
        <v>31</v>
      </c>
      <c r="F507" s="5">
        <f t="shared" si="110"/>
        <v>7.7499999999999999E-2</v>
      </c>
      <c r="G507" s="25">
        <v>5</v>
      </c>
      <c r="H507" s="5">
        <f t="shared" si="111"/>
        <v>3.875E-3</v>
      </c>
      <c r="I507" s="5">
        <f t="shared" si="112"/>
        <v>8.1375000000000003E-2</v>
      </c>
    </row>
    <row r="508" spans="1:9" ht="13" x14ac:dyDescent="0.15">
      <c r="A508" s="10">
        <v>3</v>
      </c>
      <c r="B508" s="25" t="s">
        <v>834</v>
      </c>
      <c r="C508" s="25">
        <v>5.0000000000000001E-3</v>
      </c>
      <c r="D508" s="5" t="s">
        <v>183</v>
      </c>
      <c r="E508" s="5">
        <f>E481</f>
        <v>15</v>
      </c>
      <c r="F508" s="5">
        <f t="shared" si="110"/>
        <v>7.4999999999999997E-2</v>
      </c>
      <c r="G508" s="25">
        <v>20</v>
      </c>
      <c r="H508" s="5">
        <f t="shared" si="111"/>
        <v>1.4999999999999999E-2</v>
      </c>
      <c r="I508" s="5">
        <f t="shared" si="112"/>
        <v>0.09</v>
      </c>
    </row>
    <row r="509" spans="1:9" ht="13" x14ac:dyDescent="0.15">
      <c r="A509" s="10">
        <v>4</v>
      </c>
      <c r="B509" s="25" t="s">
        <v>872</v>
      </c>
      <c r="C509" s="25">
        <v>5.0000000000000001E-3</v>
      </c>
      <c r="D509" s="5" t="s">
        <v>183</v>
      </c>
      <c r="E509" s="5">
        <f>'Master Price list'!G147</f>
        <v>11.333333333333334</v>
      </c>
      <c r="F509" s="5">
        <f t="shared" si="110"/>
        <v>5.6666666666666671E-2</v>
      </c>
      <c r="G509" s="25">
        <v>0</v>
      </c>
      <c r="H509" s="5">
        <f t="shared" si="111"/>
        <v>0</v>
      </c>
      <c r="I509" s="5">
        <f t="shared" si="112"/>
        <v>5.6666666666666671E-2</v>
      </c>
    </row>
    <row r="510" spans="1:9" ht="13" x14ac:dyDescent="0.15">
      <c r="A510" s="10">
        <v>5</v>
      </c>
      <c r="B510" s="25" t="s">
        <v>287</v>
      </c>
      <c r="C510" s="25">
        <v>2.5000000000000001E-3</v>
      </c>
      <c r="D510" s="5" t="s">
        <v>183</v>
      </c>
      <c r="E510" s="5">
        <f>E428</f>
        <v>56</v>
      </c>
      <c r="F510" s="5">
        <f t="shared" si="110"/>
        <v>0.14000000000000001</v>
      </c>
      <c r="G510" s="25">
        <v>0</v>
      </c>
      <c r="H510" s="5">
        <f t="shared" si="111"/>
        <v>0</v>
      </c>
      <c r="I510" s="5">
        <f t="shared" si="112"/>
        <v>0.14000000000000001</v>
      </c>
    </row>
    <row r="511" spans="1:9" ht="13" x14ac:dyDescent="0.15">
      <c r="A511" s="10">
        <v>6</v>
      </c>
      <c r="B511" s="25" t="s">
        <v>718</v>
      </c>
      <c r="C511" s="25">
        <v>2.5000000000000001E-3</v>
      </c>
      <c r="D511" s="5" t="s">
        <v>183</v>
      </c>
      <c r="E511" s="5">
        <f>'Master Price list'!G222</f>
        <v>37.799999999999997</v>
      </c>
      <c r="F511" s="5">
        <f t="shared" si="110"/>
        <v>9.4500000000000001E-2</v>
      </c>
      <c r="G511" s="25">
        <v>0</v>
      </c>
      <c r="H511" s="5">
        <f t="shared" si="111"/>
        <v>0</v>
      </c>
      <c r="I511" s="5">
        <f t="shared" si="112"/>
        <v>9.4500000000000001E-2</v>
      </c>
    </row>
    <row r="512" spans="1:9" ht="13" x14ac:dyDescent="0.15">
      <c r="G512" s="170" t="s">
        <v>777</v>
      </c>
      <c r="H512" s="171"/>
      <c r="I512" s="29">
        <f>SUM(I506:I511)</f>
        <v>2.2225416666666669</v>
      </c>
    </row>
    <row r="513" spans="1:9" ht="13" x14ac:dyDescent="0.15">
      <c r="G513" s="170" t="s">
        <v>873</v>
      </c>
      <c r="H513" s="171"/>
      <c r="I513" s="29">
        <f>I512/400*1000</f>
        <v>5.5563541666666669</v>
      </c>
    </row>
    <row r="516" spans="1:9" ht="13" x14ac:dyDescent="0.15">
      <c r="A516" s="172" t="s">
        <v>747</v>
      </c>
      <c r="B516" s="173"/>
      <c r="C516" s="171"/>
      <c r="G516" s="172" t="s">
        <v>772</v>
      </c>
      <c r="H516" s="171"/>
      <c r="I516" s="28">
        <v>1</v>
      </c>
    </row>
    <row r="517" spans="1:9" ht="13" x14ac:dyDescent="0.15">
      <c r="A517" s="168" t="s">
        <v>773</v>
      </c>
      <c r="B517" s="168" t="s">
        <v>774</v>
      </c>
      <c r="C517" s="168" t="s">
        <v>775</v>
      </c>
      <c r="D517" s="168" t="s">
        <v>719</v>
      </c>
      <c r="E517" s="168" t="s">
        <v>776</v>
      </c>
      <c r="F517" s="168" t="s">
        <v>777</v>
      </c>
      <c r="G517" s="168" t="s">
        <v>778</v>
      </c>
      <c r="H517" s="168" t="s">
        <v>779</v>
      </c>
      <c r="I517" s="168" t="s">
        <v>780</v>
      </c>
    </row>
    <row r="518" spans="1:9" ht="13" x14ac:dyDescent="0.15">
      <c r="A518" s="169"/>
      <c r="B518" s="169"/>
      <c r="C518" s="169"/>
      <c r="D518" s="169"/>
      <c r="E518" s="169"/>
      <c r="F518" s="169"/>
      <c r="G518" s="169"/>
      <c r="H518" s="169"/>
      <c r="I518" s="169"/>
    </row>
    <row r="519" spans="1:9" ht="13" x14ac:dyDescent="0.15">
      <c r="A519" s="10">
        <v>1</v>
      </c>
      <c r="B519" s="25" t="s">
        <v>803</v>
      </c>
      <c r="C519" s="25">
        <v>5</v>
      </c>
      <c r="D519" s="5" t="s">
        <v>350</v>
      </c>
      <c r="E519" s="5">
        <v>0.35</v>
      </c>
      <c r="F519" s="5">
        <f t="shared" ref="F519:F524" si="113">E519*C519</f>
        <v>1.75</v>
      </c>
      <c r="G519" s="25">
        <v>0</v>
      </c>
      <c r="H519" s="5">
        <f t="shared" ref="H519:H524" si="114">F519/100*G519</f>
        <v>0</v>
      </c>
      <c r="I519" s="5">
        <f t="shared" ref="I519:I524" si="115">H519+F519</f>
        <v>1.75</v>
      </c>
    </row>
    <row r="520" spans="1:9" ht="13" x14ac:dyDescent="0.15">
      <c r="A520" s="10">
        <v>2</v>
      </c>
      <c r="B520" s="25" t="s">
        <v>796</v>
      </c>
      <c r="C520" s="25">
        <v>0.9</v>
      </c>
      <c r="D520" s="5" t="s">
        <v>183</v>
      </c>
      <c r="E520" s="5">
        <f>'Master Price list'!G21</f>
        <v>39.200000000000003</v>
      </c>
      <c r="F520" s="5">
        <f t="shared" si="113"/>
        <v>35.28</v>
      </c>
      <c r="G520" s="25">
        <v>0</v>
      </c>
      <c r="H520" s="5">
        <f t="shared" si="114"/>
        <v>0</v>
      </c>
      <c r="I520" s="5">
        <f t="shared" si="115"/>
        <v>35.28</v>
      </c>
    </row>
    <row r="521" spans="1:9" ht="13" x14ac:dyDescent="0.15">
      <c r="A521" s="10">
        <v>3</v>
      </c>
      <c r="B521" s="25" t="s">
        <v>782</v>
      </c>
      <c r="C521" s="25">
        <v>2.5000000000000001E-3</v>
      </c>
      <c r="D521" s="5" t="s">
        <v>183</v>
      </c>
      <c r="E521" s="5">
        <f>E484</f>
        <v>4.4444444444444446</v>
      </c>
      <c r="F521" s="5">
        <f t="shared" si="113"/>
        <v>1.1111111111111112E-2</v>
      </c>
      <c r="G521" s="25">
        <v>0</v>
      </c>
      <c r="H521" s="5">
        <f t="shared" si="114"/>
        <v>0</v>
      </c>
      <c r="I521" s="5">
        <f t="shared" si="115"/>
        <v>1.1111111111111112E-2</v>
      </c>
    </row>
    <row r="522" spans="1:9" ht="13" x14ac:dyDescent="0.15">
      <c r="A522" s="10">
        <v>4</v>
      </c>
      <c r="B522" s="25" t="s">
        <v>718</v>
      </c>
      <c r="C522" s="25">
        <v>0.03</v>
      </c>
      <c r="D522" s="5" t="s">
        <v>183</v>
      </c>
      <c r="E522" s="5">
        <f>E511</f>
        <v>37.799999999999997</v>
      </c>
      <c r="F522" s="5">
        <f t="shared" si="113"/>
        <v>1.1339999999999999</v>
      </c>
      <c r="G522" s="25">
        <v>0</v>
      </c>
      <c r="H522" s="5">
        <f t="shared" si="114"/>
        <v>0</v>
      </c>
      <c r="I522" s="5">
        <f t="shared" si="115"/>
        <v>1.1339999999999999</v>
      </c>
    </row>
    <row r="523" spans="1:9" ht="13" x14ac:dyDescent="0.15">
      <c r="A523" s="10">
        <v>5</v>
      </c>
      <c r="B523" s="25" t="s">
        <v>448</v>
      </c>
      <c r="C523" s="25">
        <v>1.4999999999999999E-2</v>
      </c>
      <c r="D523" s="5" t="s">
        <v>183</v>
      </c>
      <c r="E523" s="5">
        <f>'Master Price list'!G102</f>
        <v>2.1428571428571428</v>
      </c>
      <c r="F523" s="5">
        <f t="shared" si="113"/>
        <v>3.214285714285714E-2</v>
      </c>
      <c r="G523" s="25">
        <v>0</v>
      </c>
      <c r="H523" s="5">
        <f t="shared" si="114"/>
        <v>0</v>
      </c>
      <c r="I523" s="5">
        <f t="shared" si="115"/>
        <v>3.214285714285714E-2</v>
      </c>
    </row>
    <row r="524" spans="1:9" ht="13" x14ac:dyDescent="0.15">
      <c r="A524" s="10">
        <v>6</v>
      </c>
      <c r="B524" s="25" t="s">
        <v>874</v>
      </c>
      <c r="C524" s="25">
        <v>0.1</v>
      </c>
      <c r="D524" s="5" t="s">
        <v>183</v>
      </c>
      <c r="E524" s="5">
        <f>'Master Price list'!G33</f>
        <v>95</v>
      </c>
      <c r="F524" s="5">
        <f t="shared" si="113"/>
        <v>9.5</v>
      </c>
      <c r="G524" s="25">
        <v>5</v>
      </c>
      <c r="H524" s="5">
        <f t="shared" si="114"/>
        <v>0.47499999999999998</v>
      </c>
      <c r="I524" s="5">
        <f t="shared" si="115"/>
        <v>9.9749999999999996</v>
      </c>
    </row>
    <row r="525" spans="1:9" ht="13" x14ac:dyDescent="0.15">
      <c r="G525" s="170" t="s">
        <v>777</v>
      </c>
      <c r="H525" s="171"/>
      <c r="I525" s="29">
        <f>SUM(I519:I524)</f>
        <v>48.182253968253974</v>
      </c>
    </row>
    <row r="526" spans="1:9" ht="13" x14ac:dyDescent="0.15">
      <c r="G526" s="170" t="s">
        <v>836</v>
      </c>
      <c r="H526" s="171"/>
      <c r="I526" s="29">
        <f>I525/I516</f>
        <v>48.182253968253974</v>
      </c>
    </row>
    <row r="529" spans="1:9" ht="13" x14ac:dyDescent="0.15">
      <c r="A529" s="172" t="s">
        <v>748</v>
      </c>
      <c r="B529" s="173"/>
      <c r="C529" s="171"/>
      <c r="G529" s="172" t="s">
        <v>772</v>
      </c>
      <c r="H529" s="171"/>
      <c r="I529" s="28">
        <v>3</v>
      </c>
    </row>
    <row r="530" spans="1:9" ht="13" x14ac:dyDescent="0.15">
      <c r="A530" s="168" t="s">
        <v>773</v>
      </c>
      <c r="B530" s="168" t="s">
        <v>774</v>
      </c>
      <c r="C530" s="168" t="s">
        <v>775</v>
      </c>
      <c r="D530" s="168" t="s">
        <v>719</v>
      </c>
      <c r="E530" s="168" t="s">
        <v>776</v>
      </c>
      <c r="F530" s="168" t="s">
        <v>777</v>
      </c>
      <c r="G530" s="168" t="s">
        <v>778</v>
      </c>
      <c r="H530" s="168" t="s">
        <v>779</v>
      </c>
      <c r="I530" s="168" t="s">
        <v>780</v>
      </c>
    </row>
    <row r="531" spans="1:9" ht="13" x14ac:dyDescent="0.15">
      <c r="A531" s="169"/>
      <c r="B531" s="169"/>
      <c r="C531" s="169"/>
      <c r="D531" s="169"/>
      <c r="E531" s="169"/>
      <c r="F531" s="169"/>
      <c r="G531" s="169"/>
      <c r="H531" s="169"/>
      <c r="I531" s="169"/>
    </row>
    <row r="532" spans="1:9" ht="13" x14ac:dyDescent="0.15">
      <c r="A532" s="10">
        <v>1</v>
      </c>
      <c r="B532" s="25" t="s">
        <v>811</v>
      </c>
      <c r="C532" s="25">
        <v>1.45</v>
      </c>
      <c r="D532" s="5" t="s">
        <v>183</v>
      </c>
      <c r="E532" s="5">
        <f>'Master Price list'!G96</f>
        <v>46.551724137931039</v>
      </c>
      <c r="F532" s="5">
        <f t="shared" ref="F532:F538" si="116">E532*C532</f>
        <v>67.5</v>
      </c>
      <c r="G532" s="25">
        <v>0</v>
      </c>
      <c r="H532" s="5">
        <f t="shared" ref="H532:H538" si="117">F532/100*G532</f>
        <v>0</v>
      </c>
      <c r="I532" s="5">
        <f t="shared" ref="I532:I538" si="118">H532+F532</f>
        <v>67.5</v>
      </c>
    </row>
    <row r="533" spans="1:9" ht="13" x14ac:dyDescent="0.15">
      <c r="A533" s="10">
        <v>2</v>
      </c>
      <c r="B533" s="25" t="s">
        <v>863</v>
      </c>
      <c r="C533" s="25">
        <v>0.1</v>
      </c>
      <c r="D533" s="5" t="s">
        <v>183</v>
      </c>
      <c r="E533" s="5">
        <f>'Master Price list'!G131</f>
        <v>50.95</v>
      </c>
      <c r="F533" s="5">
        <f t="shared" si="116"/>
        <v>5.0950000000000006</v>
      </c>
      <c r="G533" s="25">
        <v>5</v>
      </c>
      <c r="H533" s="5">
        <f t="shared" si="117"/>
        <v>0.25475000000000003</v>
      </c>
      <c r="I533" s="5">
        <f t="shared" si="118"/>
        <v>5.3497500000000002</v>
      </c>
    </row>
    <row r="534" spans="1:9" ht="13" x14ac:dyDescent="0.15">
      <c r="A534" s="10">
        <v>3</v>
      </c>
      <c r="B534" s="25" t="s">
        <v>791</v>
      </c>
      <c r="C534" s="25">
        <v>0.08</v>
      </c>
      <c r="D534" s="5" t="s">
        <v>183</v>
      </c>
      <c r="E534" s="5">
        <f>'Master Price list'!G160</f>
        <v>86</v>
      </c>
      <c r="F534" s="5">
        <f t="shared" si="116"/>
        <v>6.88</v>
      </c>
      <c r="G534" s="25">
        <v>10</v>
      </c>
      <c r="H534" s="5">
        <f t="shared" si="117"/>
        <v>0.68799999999999994</v>
      </c>
      <c r="I534" s="5">
        <f t="shared" si="118"/>
        <v>7.5679999999999996</v>
      </c>
    </row>
    <row r="535" spans="1:9" ht="13" x14ac:dyDescent="0.15">
      <c r="A535" s="10">
        <v>4</v>
      </c>
      <c r="B535" s="25" t="s">
        <v>786</v>
      </c>
      <c r="C535" s="25">
        <v>1.4999999999999999E-2</v>
      </c>
      <c r="D535" s="5" t="s">
        <v>183</v>
      </c>
      <c r="E535" s="5">
        <f>'Master Price list'!G191</f>
        <v>15</v>
      </c>
      <c r="F535" s="5">
        <f t="shared" si="116"/>
        <v>0.22499999999999998</v>
      </c>
      <c r="G535" s="25">
        <v>20</v>
      </c>
      <c r="H535" s="5">
        <f t="shared" si="117"/>
        <v>4.4999999999999998E-2</v>
      </c>
      <c r="I535" s="5">
        <f t="shared" si="118"/>
        <v>0.26999999999999996</v>
      </c>
    </row>
    <row r="536" spans="1:9" ht="13" x14ac:dyDescent="0.15">
      <c r="A536" s="10">
        <v>5</v>
      </c>
      <c r="B536" s="25" t="s">
        <v>787</v>
      </c>
      <c r="C536" s="25">
        <v>0.8</v>
      </c>
      <c r="D536" s="5" t="s">
        <v>183</v>
      </c>
      <c r="E536" s="5">
        <f>E498</f>
        <v>42</v>
      </c>
      <c r="F536" s="5">
        <f t="shared" si="116"/>
        <v>33.6</v>
      </c>
      <c r="G536" s="25">
        <v>0</v>
      </c>
      <c r="H536" s="5">
        <f t="shared" si="117"/>
        <v>0</v>
      </c>
      <c r="I536" s="5">
        <f t="shared" si="118"/>
        <v>33.6</v>
      </c>
    </row>
    <row r="537" spans="1:9" ht="13" x14ac:dyDescent="0.15">
      <c r="A537" s="10">
        <v>6</v>
      </c>
      <c r="B537" s="25" t="s">
        <v>874</v>
      </c>
      <c r="C537" s="25">
        <v>0.2</v>
      </c>
      <c r="D537" s="5" t="s">
        <v>183</v>
      </c>
      <c r="E537" s="5">
        <f>E524</f>
        <v>95</v>
      </c>
      <c r="F537" s="5">
        <f t="shared" si="116"/>
        <v>19</v>
      </c>
      <c r="G537" s="25">
        <v>5</v>
      </c>
      <c r="H537" s="5">
        <f t="shared" si="117"/>
        <v>0.95</v>
      </c>
      <c r="I537" s="5">
        <f t="shared" si="118"/>
        <v>19.95</v>
      </c>
    </row>
    <row r="538" spans="1:9" ht="13" x14ac:dyDescent="0.15">
      <c r="A538" s="10">
        <v>7</v>
      </c>
      <c r="B538" s="25" t="s">
        <v>820</v>
      </c>
      <c r="C538" s="25">
        <v>0.3</v>
      </c>
      <c r="D538" s="5" t="s">
        <v>183</v>
      </c>
      <c r="E538" s="5">
        <f>'Master Price list'!G166</f>
        <v>17</v>
      </c>
      <c r="F538" s="5">
        <f t="shared" si="116"/>
        <v>5.0999999999999996</v>
      </c>
      <c r="G538" s="25">
        <v>5</v>
      </c>
      <c r="H538" s="5">
        <f t="shared" si="117"/>
        <v>0.255</v>
      </c>
      <c r="I538" s="5">
        <f t="shared" si="118"/>
        <v>5.3549999999999995</v>
      </c>
    </row>
    <row r="539" spans="1:9" ht="13" x14ac:dyDescent="0.15">
      <c r="G539" s="170" t="s">
        <v>777</v>
      </c>
      <c r="H539" s="171"/>
      <c r="I539" s="29">
        <f>SUM(I532:I538)</f>
        <v>139.59274999999997</v>
      </c>
    </row>
    <row r="540" spans="1:9" ht="13" x14ac:dyDescent="0.15">
      <c r="G540" s="170" t="s">
        <v>836</v>
      </c>
      <c r="H540" s="171"/>
      <c r="I540" s="29">
        <f>I539/I529</f>
        <v>46.530916666666656</v>
      </c>
    </row>
    <row r="543" spans="1:9" ht="13" x14ac:dyDescent="0.15">
      <c r="A543" s="172" t="s">
        <v>749</v>
      </c>
      <c r="B543" s="173"/>
      <c r="C543" s="171"/>
      <c r="G543" s="172" t="s">
        <v>772</v>
      </c>
      <c r="H543" s="171"/>
      <c r="I543" s="28">
        <v>1</v>
      </c>
    </row>
    <row r="544" spans="1:9" ht="13" x14ac:dyDescent="0.15">
      <c r="A544" s="168" t="s">
        <v>773</v>
      </c>
      <c r="B544" s="168" t="s">
        <v>774</v>
      </c>
      <c r="C544" s="168" t="s">
        <v>775</v>
      </c>
      <c r="D544" s="168" t="s">
        <v>719</v>
      </c>
      <c r="E544" s="168" t="s">
        <v>776</v>
      </c>
      <c r="F544" s="168" t="s">
        <v>777</v>
      </c>
      <c r="G544" s="168" t="s">
        <v>778</v>
      </c>
      <c r="H544" s="168" t="s">
        <v>779</v>
      </c>
      <c r="I544" s="168" t="s">
        <v>780</v>
      </c>
    </row>
    <row r="545" spans="1:9" ht="13" x14ac:dyDescent="0.15">
      <c r="A545" s="169"/>
      <c r="B545" s="169"/>
      <c r="C545" s="169"/>
      <c r="D545" s="169"/>
      <c r="E545" s="169"/>
      <c r="F545" s="169"/>
      <c r="G545" s="169"/>
      <c r="H545" s="169"/>
      <c r="I545" s="169"/>
    </row>
    <row r="546" spans="1:9" ht="13" x14ac:dyDescent="0.15">
      <c r="A546" s="10">
        <v>1</v>
      </c>
      <c r="B546" s="25" t="s">
        <v>872</v>
      </c>
      <c r="C546" s="25">
        <v>0.5</v>
      </c>
      <c r="D546" s="5" t="s">
        <v>183</v>
      </c>
      <c r="E546" s="5">
        <f>E509</f>
        <v>11.333333333333334</v>
      </c>
      <c r="F546" s="5">
        <f t="shared" ref="F546:F553" si="119">E546*C546</f>
        <v>5.666666666666667</v>
      </c>
      <c r="G546" s="25">
        <v>0</v>
      </c>
      <c r="H546" s="5">
        <f t="shared" ref="H546:H553" si="120">F546/100*G546</f>
        <v>0</v>
      </c>
      <c r="I546" s="5">
        <f t="shared" ref="I546:I553" si="121">H546+F546</f>
        <v>5.666666666666667</v>
      </c>
    </row>
    <row r="547" spans="1:9" ht="13" x14ac:dyDescent="0.15">
      <c r="A547" s="10">
        <v>2</v>
      </c>
      <c r="B547" s="25" t="s">
        <v>833</v>
      </c>
      <c r="C547" s="25">
        <v>0.03</v>
      </c>
      <c r="D547" s="5" t="s">
        <v>183</v>
      </c>
      <c r="E547" s="5">
        <f>E492</f>
        <v>3.3</v>
      </c>
      <c r="F547" s="5">
        <f t="shared" si="119"/>
        <v>9.8999999999999991E-2</v>
      </c>
      <c r="G547" s="25">
        <v>5</v>
      </c>
      <c r="H547" s="5">
        <f t="shared" si="120"/>
        <v>4.9499999999999995E-3</v>
      </c>
      <c r="I547" s="5">
        <f t="shared" si="121"/>
        <v>0.10394999999999999</v>
      </c>
    </row>
    <row r="548" spans="1:9" ht="13" x14ac:dyDescent="0.15">
      <c r="A548" s="10">
        <v>3</v>
      </c>
      <c r="B548" s="25" t="s">
        <v>786</v>
      </c>
      <c r="C548" s="25">
        <v>0.03</v>
      </c>
      <c r="D548" s="5" t="s">
        <v>183</v>
      </c>
      <c r="E548" s="5">
        <f>'Master Price list'!G191</f>
        <v>15</v>
      </c>
      <c r="F548" s="5">
        <f t="shared" si="119"/>
        <v>0.44999999999999996</v>
      </c>
      <c r="G548" s="25">
        <v>20</v>
      </c>
      <c r="H548" s="5">
        <f t="shared" si="120"/>
        <v>0.09</v>
      </c>
      <c r="I548" s="5">
        <f t="shared" si="121"/>
        <v>0.53999999999999992</v>
      </c>
    </row>
    <row r="549" spans="1:9" ht="13" x14ac:dyDescent="0.15">
      <c r="A549" s="10">
        <v>4</v>
      </c>
      <c r="B549" s="25" t="s">
        <v>875</v>
      </c>
      <c r="C549" s="25">
        <v>0.03</v>
      </c>
      <c r="D549" s="5" t="s">
        <v>183</v>
      </c>
      <c r="E549" s="5">
        <f>'Master Price list'!G82</f>
        <v>12.5</v>
      </c>
      <c r="F549" s="5">
        <f t="shared" si="119"/>
        <v>0.375</v>
      </c>
      <c r="G549" s="25">
        <v>10</v>
      </c>
      <c r="H549" s="5">
        <f t="shared" si="120"/>
        <v>3.7499999999999999E-2</v>
      </c>
      <c r="I549" s="5">
        <f t="shared" si="121"/>
        <v>0.41249999999999998</v>
      </c>
    </row>
    <row r="550" spans="1:9" ht="13" x14ac:dyDescent="0.15">
      <c r="A550" s="10">
        <v>5</v>
      </c>
      <c r="B550" s="25" t="s">
        <v>718</v>
      </c>
      <c r="C550" s="25">
        <v>0.03</v>
      </c>
      <c r="D550" s="5" t="s">
        <v>183</v>
      </c>
      <c r="E550" s="5">
        <f>E522</f>
        <v>37.799999999999997</v>
      </c>
      <c r="F550" s="5">
        <f t="shared" si="119"/>
        <v>1.1339999999999999</v>
      </c>
      <c r="G550" s="25">
        <v>0</v>
      </c>
      <c r="H550" s="5">
        <f t="shared" si="120"/>
        <v>0</v>
      </c>
      <c r="I550" s="5">
        <f t="shared" si="121"/>
        <v>1.1339999999999999</v>
      </c>
    </row>
    <row r="551" spans="1:9" ht="13" x14ac:dyDescent="0.15">
      <c r="A551" s="10">
        <v>6</v>
      </c>
      <c r="B551" s="25" t="s">
        <v>379</v>
      </c>
      <c r="C551" s="25">
        <v>0.03</v>
      </c>
      <c r="D551" s="5" t="s">
        <v>183</v>
      </c>
      <c r="E551" s="5">
        <f>'Master Price list'!G76</f>
        <v>42.200854700854705</v>
      </c>
      <c r="F551" s="5">
        <f t="shared" si="119"/>
        <v>1.2660256410256412</v>
      </c>
      <c r="G551" s="25">
        <v>10</v>
      </c>
      <c r="H551" s="5">
        <f t="shared" si="120"/>
        <v>0.12660256410256412</v>
      </c>
      <c r="I551" s="5">
        <f t="shared" si="121"/>
        <v>1.3926282051282053</v>
      </c>
    </row>
    <row r="552" spans="1:9" ht="13" x14ac:dyDescent="0.15">
      <c r="A552" s="10">
        <v>7</v>
      </c>
      <c r="B552" s="25" t="s">
        <v>800</v>
      </c>
      <c r="C552" s="25">
        <v>2.5000000000000001E-3</v>
      </c>
      <c r="D552" s="5" t="s">
        <v>183</v>
      </c>
      <c r="E552" s="5">
        <v>0</v>
      </c>
      <c r="F552" s="5">
        <f t="shared" si="119"/>
        <v>0</v>
      </c>
      <c r="G552" s="25">
        <v>0</v>
      </c>
      <c r="H552" s="5">
        <f t="shared" si="120"/>
        <v>0</v>
      </c>
      <c r="I552" s="5">
        <f t="shared" si="121"/>
        <v>0</v>
      </c>
    </row>
    <row r="553" spans="1:9" ht="13" x14ac:dyDescent="0.15">
      <c r="A553" s="10">
        <v>8</v>
      </c>
      <c r="B553" s="25" t="s">
        <v>782</v>
      </c>
      <c r="C553" s="25">
        <v>5.0000000000000001E-3</v>
      </c>
      <c r="D553" s="5" t="s">
        <v>183</v>
      </c>
      <c r="E553" s="5">
        <f>E521</f>
        <v>4.4444444444444446</v>
      </c>
      <c r="F553" s="5">
        <f t="shared" si="119"/>
        <v>2.2222222222222223E-2</v>
      </c>
      <c r="G553" s="25">
        <v>0</v>
      </c>
      <c r="H553" s="5">
        <f t="shared" si="120"/>
        <v>0</v>
      </c>
      <c r="I553" s="5">
        <f t="shared" si="121"/>
        <v>2.2222222222222223E-2</v>
      </c>
    </row>
    <row r="554" spans="1:9" ht="13" x14ac:dyDescent="0.15">
      <c r="G554" s="170" t="s">
        <v>777</v>
      </c>
      <c r="H554" s="171"/>
      <c r="I554" s="29">
        <f>SUM(I546:I553)</f>
        <v>9.2719670940170928</v>
      </c>
    </row>
    <row r="555" spans="1:9" ht="13" x14ac:dyDescent="0.15">
      <c r="G555" s="170" t="s">
        <v>836</v>
      </c>
      <c r="H555" s="171"/>
      <c r="I555" s="29">
        <f>I554/600*1000</f>
        <v>15.453278490028488</v>
      </c>
    </row>
    <row r="558" spans="1:9" ht="13" x14ac:dyDescent="0.15">
      <c r="A558" s="172" t="s">
        <v>876</v>
      </c>
      <c r="B558" s="173"/>
      <c r="C558" s="171"/>
      <c r="G558" s="172" t="s">
        <v>772</v>
      </c>
      <c r="H558" s="171"/>
      <c r="I558" s="28">
        <v>1</v>
      </c>
    </row>
    <row r="559" spans="1:9" ht="13" x14ac:dyDescent="0.15">
      <c r="A559" s="168" t="s">
        <v>773</v>
      </c>
      <c r="B559" s="168" t="s">
        <v>774</v>
      </c>
      <c r="C559" s="168" t="s">
        <v>775</v>
      </c>
      <c r="D559" s="168" t="s">
        <v>719</v>
      </c>
      <c r="E559" s="168" t="s">
        <v>776</v>
      </c>
      <c r="F559" s="168" t="s">
        <v>777</v>
      </c>
      <c r="G559" s="168" t="s">
        <v>778</v>
      </c>
      <c r="H559" s="168" t="s">
        <v>779</v>
      </c>
      <c r="I559" s="168" t="s">
        <v>780</v>
      </c>
    </row>
    <row r="560" spans="1:9" ht="13" x14ac:dyDescent="0.15">
      <c r="A560" s="169"/>
      <c r="B560" s="169"/>
      <c r="C560" s="169"/>
      <c r="D560" s="169"/>
      <c r="E560" s="169"/>
      <c r="F560" s="169"/>
      <c r="G560" s="169"/>
      <c r="H560" s="169"/>
      <c r="I560" s="169"/>
    </row>
    <row r="561" spans="1:9" ht="13" x14ac:dyDescent="0.15">
      <c r="A561" s="10">
        <v>1</v>
      </c>
      <c r="B561" s="25" t="s">
        <v>633</v>
      </c>
      <c r="C561" s="25">
        <v>0.5</v>
      </c>
      <c r="D561" s="5" t="s">
        <v>183</v>
      </c>
      <c r="E561" s="5">
        <f>'Master Price list'!G180</f>
        <v>6.3</v>
      </c>
      <c r="F561" s="5">
        <f t="shared" ref="F561:F565" si="122">E561*C561</f>
        <v>3.15</v>
      </c>
      <c r="G561" s="25">
        <v>20</v>
      </c>
      <c r="H561" s="5">
        <f t="shared" ref="H561:H565" si="123">F561/100*G561</f>
        <v>0.63</v>
      </c>
      <c r="I561" s="5">
        <f t="shared" ref="I561:I565" si="124">H561+F561</f>
        <v>3.78</v>
      </c>
    </row>
    <row r="562" spans="1:9" ht="13" x14ac:dyDescent="0.15">
      <c r="A562" s="10">
        <v>2</v>
      </c>
      <c r="B562" s="25" t="s">
        <v>270</v>
      </c>
      <c r="C562" s="25">
        <v>0.5</v>
      </c>
      <c r="D562" s="5" t="s">
        <v>183</v>
      </c>
      <c r="E562" s="5">
        <f>'Master Price list'!G35</f>
        <v>29</v>
      </c>
      <c r="F562" s="5">
        <f t="shared" si="122"/>
        <v>14.5</v>
      </c>
      <c r="G562" s="25">
        <v>0</v>
      </c>
      <c r="H562" s="5">
        <f t="shared" si="123"/>
        <v>0</v>
      </c>
      <c r="I562" s="5">
        <f t="shared" si="124"/>
        <v>14.5</v>
      </c>
    </row>
    <row r="563" spans="1:9" ht="13" x14ac:dyDescent="0.15">
      <c r="A563" s="10">
        <v>3</v>
      </c>
      <c r="B563" s="25" t="s">
        <v>877</v>
      </c>
      <c r="C563" s="25">
        <v>1.4999999999999999E-2</v>
      </c>
      <c r="D563" s="5" t="s">
        <v>183</v>
      </c>
      <c r="E563" s="5">
        <f>'Master Price list'!G175</f>
        <v>86</v>
      </c>
      <c r="F563" s="5">
        <f t="shared" si="122"/>
        <v>1.29</v>
      </c>
      <c r="G563" s="25">
        <v>0</v>
      </c>
      <c r="H563" s="5">
        <f t="shared" si="123"/>
        <v>0</v>
      </c>
      <c r="I563" s="5">
        <f t="shared" si="124"/>
        <v>1.29</v>
      </c>
    </row>
    <row r="564" spans="1:9" ht="13" x14ac:dyDescent="0.15">
      <c r="A564" s="10">
        <v>4</v>
      </c>
      <c r="B564" s="25" t="s">
        <v>718</v>
      </c>
      <c r="C564" s="25">
        <v>0.03</v>
      </c>
      <c r="D564" s="5" t="s">
        <v>183</v>
      </c>
      <c r="E564" s="5">
        <f>E550</f>
        <v>37.799999999999997</v>
      </c>
      <c r="F564" s="5">
        <f t="shared" si="122"/>
        <v>1.1339999999999999</v>
      </c>
      <c r="G564" s="25">
        <v>0</v>
      </c>
      <c r="H564" s="5">
        <f t="shared" si="123"/>
        <v>0</v>
      </c>
      <c r="I564" s="5">
        <f t="shared" si="124"/>
        <v>1.1339999999999999</v>
      </c>
    </row>
    <row r="565" spans="1:9" ht="13" x14ac:dyDescent="0.15">
      <c r="A565" s="10">
        <v>5</v>
      </c>
      <c r="B565" s="25" t="s">
        <v>786</v>
      </c>
      <c r="C565" s="25">
        <v>5.0000000000000001E-3</v>
      </c>
      <c r="D565" s="5" t="s">
        <v>183</v>
      </c>
      <c r="E565" s="5">
        <f>E548</f>
        <v>15</v>
      </c>
      <c r="F565" s="5">
        <f t="shared" si="122"/>
        <v>7.4999999999999997E-2</v>
      </c>
      <c r="G565" s="25">
        <v>20</v>
      </c>
      <c r="H565" s="5">
        <f t="shared" si="123"/>
        <v>1.4999999999999999E-2</v>
      </c>
      <c r="I565" s="5">
        <f t="shared" si="124"/>
        <v>0.09</v>
      </c>
    </row>
    <row r="566" spans="1:9" ht="13" x14ac:dyDescent="0.15">
      <c r="G566" s="170" t="s">
        <v>777</v>
      </c>
      <c r="H566" s="171"/>
      <c r="I566" s="29">
        <f>SUM(I561:I565)</f>
        <v>20.794</v>
      </c>
    </row>
    <row r="567" spans="1:9" ht="13" x14ac:dyDescent="0.15">
      <c r="G567" s="170" t="s">
        <v>836</v>
      </c>
      <c r="H567" s="171"/>
      <c r="I567" s="29">
        <f>I566/I558</f>
        <v>20.794</v>
      </c>
    </row>
    <row r="570" spans="1:9" ht="13" x14ac:dyDescent="0.15">
      <c r="A570" s="172" t="s">
        <v>751</v>
      </c>
      <c r="B570" s="173"/>
      <c r="C570" s="171"/>
      <c r="G570" s="172" t="s">
        <v>772</v>
      </c>
      <c r="H570" s="171"/>
      <c r="I570" s="28">
        <v>1</v>
      </c>
    </row>
    <row r="571" spans="1:9" ht="13" x14ac:dyDescent="0.15">
      <c r="A571" s="168" t="s">
        <v>773</v>
      </c>
      <c r="B571" s="168" t="s">
        <v>774</v>
      </c>
      <c r="C571" s="168" t="s">
        <v>775</v>
      </c>
      <c r="D571" s="168" t="s">
        <v>719</v>
      </c>
      <c r="E571" s="168" t="s">
        <v>776</v>
      </c>
      <c r="F571" s="168" t="s">
        <v>777</v>
      </c>
      <c r="G571" s="168" t="s">
        <v>778</v>
      </c>
      <c r="H571" s="168" t="s">
        <v>779</v>
      </c>
      <c r="I571" s="168" t="s">
        <v>780</v>
      </c>
    </row>
    <row r="572" spans="1:9" ht="13" x14ac:dyDescent="0.15">
      <c r="A572" s="169"/>
      <c r="B572" s="169"/>
      <c r="C572" s="169"/>
      <c r="D572" s="169"/>
      <c r="E572" s="169"/>
      <c r="F572" s="169"/>
      <c r="G572" s="169"/>
      <c r="H572" s="169"/>
      <c r="I572" s="169"/>
    </row>
    <row r="573" spans="1:9" ht="13" x14ac:dyDescent="0.15">
      <c r="A573" s="10">
        <v>1</v>
      </c>
      <c r="B573" s="25" t="s">
        <v>878</v>
      </c>
      <c r="C573" s="25">
        <v>0.5</v>
      </c>
      <c r="D573" s="5" t="s">
        <v>350</v>
      </c>
      <c r="E573" s="5">
        <v>65.790000000000006</v>
      </c>
      <c r="F573" s="5">
        <f t="shared" ref="F573:F576" si="125">E573*C573</f>
        <v>32.895000000000003</v>
      </c>
      <c r="G573" s="25">
        <v>0</v>
      </c>
      <c r="H573" s="5">
        <f t="shared" ref="H573:H576" si="126">F573/100*G573</f>
        <v>0</v>
      </c>
      <c r="I573" s="5">
        <f t="shared" ref="I573:I576" si="127">H573+F573</f>
        <v>32.895000000000003</v>
      </c>
    </row>
    <row r="574" spans="1:9" ht="13" x14ac:dyDescent="0.15">
      <c r="A574" s="10">
        <v>2</v>
      </c>
      <c r="B574" s="25" t="s">
        <v>641</v>
      </c>
      <c r="C574" s="25">
        <v>7.0000000000000007E-2</v>
      </c>
      <c r="D574" s="5"/>
      <c r="E574" s="5">
        <f>'Master Price list'!G184</f>
        <v>5</v>
      </c>
      <c r="F574" s="5">
        <f t="shared" si="125"/>
        <v>0.35000000000000003</v>
      </c>
      <c r="G574" s="25">
        <v>5</v>
      </c>
      <c r="H574" s="5">
        <f t="shared" si="126"/>
        <v>1.7500000000000002E-2</v>
      </c>
      <c r="I574" s="5">
        <f t="shared" si="127"/>
        <v>0.36750000000000005</v>
      </c>
    </row>
    <row r="575" spans="1:9" ht="13" x14ac:dyDescent="0.15">
      <c r="A575" s="10">
        <v>3</v>
      </c>
      <c r="B575" s="25" t="s">
        <v>861</v>
      </c>
      <c r="C575" s="25">
        <v>0.1</v>
      </c>
      <c r="D575" s="5"/>
      <c r="E575" s="5">
        <f>'Master Price list'!G203</f>
        <v>11</v>
      </c>
      <c r="F575" s="5">
        <f t="shared" si="125"/>
        <v>1.1000000000000001</v>
      </c>
      <c r="G575" s="25">
        <v>5</v>
      </c>
      <c r="H575" s="5">
        <f t="shared" si="126"/>
        <v>5.5000000000000007E-2</v>
      </c>
      <c r="I575" s="5">
        <f t="shared" si="127"/>
        <v>1.155</v>
      </c>
    </row>
    <row r="576" spans="1:9" ht="13" x14ac:dyDescent="0.15">
      <c r="A576" s="10">
        <v>4</v>
      </c>
      <c r="B576" s="25" t="s">
        <v>879</v>
      </c>
      <c r="C576" s="25">
        <v>0.3</v>
      </c>
      <c r="D576" s="5"/>
      <c r="E576" s="5">
        <v>10.42</v>
      </c>
      <c r="F576" s="5">
        <f t="shared" si="125"/>
        <v>3.1259999999999999</v>
      </c>
      <c r="G576" s="25">
        <v>0</v>
      </c>
      <c r="H576" s="5">
        <f t="shared" si="126"/>
        <v>0</v>
      </c>
      <c r="I576" s="5">
        <f t="shared" si="127"/>
        <v>3.1259999999999999</v>
      </c>
    </row>
    <row r="577" spans="1:9" ht="13" x14ac:dyDescent="0.15">
      <c r="G577" s="170" t="s">
        <v>777</v>
      </c>
      <c r="H577" s="171"/>
      <c r="I577" s="29">
        <f>SUM(I573:I576)</f>
        <v>37.543500000000002</v>
      </c>
    </row>
    <row r="578" spans="1:9" ht="13" x14ac:dyDescent="0.15">
      <c r="G578" s="170" t="s">
        <v>836</v>
      </c>
      <c r="H578" s="171"/>
      <c r="I578" s="29">
        <f>I577/I570</f>
        <v>37.543500000000002</v>
      </c>
    </row>
    <row r="581" spans="1:9" ht="13" x14ac:dyDescent="0.15">
      <c r="A581" s="172" t="s">
        <v>752</v>
      </c>
      <c r="B581" s="173"/>
      <c r="C581" s="171"/>
      <c r="G581" s="172" t="s">
        <v>772</v>
      </c>
      <c r="H581" s="171"/>
      <c r="I581" s="28">
        <v>2</v>
      </c>
    </row>
    <row r="582" spans="1:9" ht="13" x14ac:dyDescent="0.15">
      <c r="A582" s="168" t="s">
        <v>773</v>
      </c>
      <c r="B582" s="168" t="s">
        <v>774</v>
      </c>
      <c r="C582" s="168" t="s">
        <v>775</v>
      </c>
      <c r="D582" s="168" t="s">
        <v>719</v>
      </c>
      <c r="E582" s="168" t="s">
        <v>776</v>
      </c>
      <c r="F582" s="168" t="s">
        <v>777</v>
      </c>
      <c r="G582" s="168" t="s">
        <v>778</v>
      </c>
      <c r="H582" s="168" t="s">
        <v>779</v>
      </c>
      <c r="I582" s="168" t="s">
        <v>780</v>
      </c>
    </row>
    <row r="583" spans="1:9" ht="13" x14ac:dyDescent="0.15">
      <c r="A583" s="169"/>
      <c r="B583" s="169"/>
      <c r="C583" s="169"/>
      <c r="D583" s="169"/>
      <c r="E583" s="169"/>
      <c r="F583" s="169"/>
      <c r="G583" s="169"/>
      <c r="H583" s="169"/>
      <c r="I583" s="169"/>
    </row>
    <row r="584" spans="1:9" ht="13" x14ac:dyDescent="0.15">
      <c r="A584" s="10">
        <v>1</v>
      </c>
      <c r="B584" s="25" t="s">
        <v>880</v>
      </c>
      <c r="C584" s="25">
        <v>0.2</v>
      </c>
      <c r="D584" s="5" t="s">
        <v>183</v>
      </c>
      <c r="E584" s="5">
        <f>'Master Price list'!G53</f>
        <v>85.714285714285708</v>
      </c>
      <c r="F584" s="5">
        <f t="shared" ref="F584:F589" si="128">E584*C584</f>
        <v>17.142857142857142</v>
      </c>
      <c r="G584" s="25">
        <v>0</v>
      </c>
      <c r="H584" s="5">
        <f t="shared" ref="H584:H589" si="129">F584/100*G584</f>
        <v>0</v>
      </c>
      <c r="I584" s="5">
        <f t="shared" ref="I584:I589" si="130">H584+F584</f>
        <v>17.142857142857142</v>
      </c>
    </row>
    <row r="585" spans="1:9" ht="13" x14ac:dyDescent="0.15">
      <c r="A585" s="10">
        <v>2</v>
      </c>
      <c r="B585" s="25" t="s">
        <v>718</v>
      </c>
      <c r="C585" s="25">
        <v>0.4</v>
      </c>
      <c r="D585" s="5" t="s">
        <v>183</v>
      </c>
      <c r="E585" s="5">
        <f>E564</f>
        <v>37.799999999999997</v>
      </c>
      <c r="F585" s="5">
        <f t="shared" si="128"/>
        <v>15.12</v>
      </c>
      <c r="G585" s="25">
        <v>0</v>
      </c>
      <c r="H585" s="5">
        <f t="shared" si="129"/>
        <v>0</v>
      </c>
      <c r="I585" s="5">
        <f t="shared" si="130"/>
        <v>15.12</v>
      </c>
    </row>
    <row r="586" spans="1:9" ht="13" x14ac:dyDescent="0.15">
      <c r="A586" s="10">
        <v>3</v>
      </c>
      <c r="B586" s="25" t="s">
        <v>815</v>
      </c>
      <c r="C586" s="25">
        <v>2</v>
      </c>
      <c r="D586" s="5" t="s">
        <v>183</v>
      </c>
      <c r="E586" s="5">
        <f>'Master Price list'!G190</f>
        <v>3.5</v>
      </c>
      <c r="F586" s="5">
        <f t="shared" si="128"/>
        <v>7</v>
      </c>
      <c r="G586" s="25">
        <v>5</v>
      </c>
      <c r="H586" s="5">
        <f t="shared" si="129"/>
        <v>0.35000000000000003</v>
      </c>
      <c r="I586" s="5">
        <f t="shared" si="130"/>
        <v>7.35</v>
      </c>
    </row>
    <row r="587" spans="1:9" ht="13" x14ac:dyDescent="0.15">
      <c r="A587" s="10">
        <v>4</v>
      </c>
      <c r="B587" s="25" t="s">
        <v>433</v>
      </c>
      <c r="C587" s="25">
        <v>8.5000000000000006E-2</v>
      </c>
      <c r="D587" s="5" t="s">
        <v>183</v>
      </c>
      <c r="E587" s="5">
        <f>'Master Price list'!G97</f>
        <v>13.5</v>
      </c>
      <c r="F587" s="5">
        <f t="shared" si="128"/>
        <v>1.1475000000000002</v>
      </c>
      <c r="G587" s="25">
        <v>0</v>
      </c>
      <c r="H587" s="5">
        <f t="shared" si="129"/>
        <v>0</v>
      </c>
      <c r="I587" s="5">
        <f t="shared" si="130"/>
        <v>1.1475000000000002</v>
      </c>
    </row>
    <row r="588" spans="1:9" ht="13" x14ac:dyDescent="0.15">
      <c r="A588" s="10">
        <v>5</v>
      </c>
      <c r="B588" s="25" t="s">
        <v>340</v>
      </c>
      <c r="C588" s="25">
        <v>7.4999999999999997E-3</v>
      </c>
      <c r="D588" s="5" t="s">
        <v>183</v>
      </c>
      <c r="E588" s="5">
        <f>'Master Price list'!G64</f>
        <v>28</v>
      </c>
      <c r="F588" s="5">
        <f t="shared" si="128"/>
        <v>0.21</v>
      </c>
      <c r="G588" s="25">
        <v>0</v>
      </c>
      <c r="H588" s="5">
        <f t="shared" si="129"/>
        <v>0</v>
      </c>
      <c r="I588" s="5">
        <f t="shared" si="130"/>
        <v>0.21</v>
      </c>
    </row>
    <row r="589" spans="1:9" ht="13" x14ac:dyDescent="0.15">
      <c r="A589" s="10">
        <v>6</v>
      </c>
      <c r="B589" s="25" t="s">
        <v>462</v>
      </c>
      <c r="C589" s="25">
        <v>0.01</v>
      </c>
      <c r="D589" s="5" t="s">
        <v>183</v>
      </c>
      <c r="E589" s="5">
        <f>'Master Price list'!G107</f>
        <v>6.4</v>
      </c>
      <c r="F589" s="5">
        <f t="shared" si="128"/>
        <v>6.4000000000000001E-2</v>
      </c>
      <c r="G589" s="25">
        <v>0</v>
      </c>
      <c r="H589" s="5">
        <f t="shared" si="129"/>
        <v>0</v>
      </c>
      <c r="I589" s="5">
        <f t="shared" si="130"/>
        <v>6.4000000000000001E-2</v>
      </c>
    </row>
    <row r="590" spans="1:9" ht="13" x14ac:dyDescent="0.15">
      <c r="G590" s="170" t="s">
        <v>777</v>
      </c>
      <c r="H590" s="171"/>
      <c r="I590" s="29">
        <f>SUM(I584:I589)</f>
        <v>41.034357142857147</v>
      </c>
    </row>
    <row r="591" spans="1:9" ht="13" x14ac:dyDescent="0.15">
      <c r="G591" s="170" t="s">
        <v>836</v>
      </c>
      <c r="H591" s="171"/>
      <c r="I591" s="29">
        <f>I590/I581</f>
        <v>20.517178571428573</v>
      </c>
    </row>
    <row r="594" spans="1:9" ht="13" x14ac:dyDescent="0.15">
      <c r="A594" s="172" t="s">
        <v>753</v>
      </c>
      <c r="B594" s="173"/>
      <c r="C594" s="171"/>
      <c r="G594" s="172" t="s">
        <v>772</v>
      </c>
      <c r="H594" s="171"/>
      <c r="I594" s="28">
        <v>1</v>
      </c>
    </row>
    <row r="595" spans="1:9" ht="13" x14ac:dyDescent="0.15">
      <c r="A595" s="168" t="s">
        <v>773</v>
      </c>
      <c r="B595" s="168" t="s">
        <v>774</v>
      </c>
      <c r="C595" s="168" t="s">
        <v>775</v>
      </c>
      <c r="D595" s="168" t="s">
        <v>719</v>
      </c>
      <c r="E595" s="168" t="s">
        <v>776</v>
      </c>
      <c r="F595" s="168" t="s">
        <v>777</v>
      </c>
      <c r="G595" s="168" t="s">
        <v>778</v>
      </c>
      <c r="H595" s="168" t="s">
        <v>779</v>
      </c>
      <c r="I595" s="168" t="s">
        <v>780</v>
      </c>
    </row>
    <row r="596" spans="1:9" ht="13" x14ac:dyDescent="0.15">
      <c r="A596" s="169"/>
      <c r="B596" s="169"/>
      <c r="C596" s="169"/>
      <c r="D596" s="169"/>
      <c r="E596" s="169"/>
      <c r="F596" s="169"/>
      <c r="G596" s="169"/>
      <c r="H596" s="169"/>
      <c r="I596" s="169"/>
    </row>
    <row r="597" spans="1:9" ht="13" x14ac:dyDescent="0.15">
      <c r="A597" s="10">
        <v>1</v>
      </c>
      <c r="B597" s="25" t="s">
        <v>872</v>
      </c>
      <c r="C597" s="25">
        <v>0.45</v>
      </c>
      <c r="D597" s="5" t="s">
        <v>183</v>
      </c>
      <c r="E597" s="5">
        <f>E546</f>
        <v>11.333333333333334</v>
      </c>
      <c r="F597" s="5">
        <f t="shared" ref="F597:F599" si="131">E597*C597</f>
        <v>5.1000000000000005</v>
      </c>
      <c r="G597" s="25">
        <v>0</v>
      </c>
      <c r="H597" s="5">
        <f t="shared" ref="H597:H599" si="132">F597/100*G597</f>
        <v>0</v>
      </c>
      <c r="I597" s="5">
        <f t="shared" ref="I597:I599" si="133">H597+F597</f>
        <v>5.1000000000000005</v>
      </c>
    </row>
    <row r="598" spans="1:9" ht="13" x14ac:dyDescent="0.15">
      <c r="A598" s="10">
        <v>2</v>
      </c>
      <c r="B598" s="25" t="s">
        <v>580</v>
      </c>
      <c r="C598" s="25">
        <v>0.05</v>
      </c>
      <c r="D598" s="5" t="s">
        <v>183</v>
      </c>
      <c r="E598" s="5">
        <f>'Master Price list'!G154</f>
        <v>31</v>
      </c>
      <c r="F598" s="5">
        <f t="shared" si="131"/>
        <v>1.55</v>
      </c>
      <c r="G598" s="25">
        <v>0</v>
      </c>
      <c r="H598" s="5">
        <f t="shared" si="132"/>
        <v>0</v>
      </c>
      <c r="I598" s="5">
        <f t="shared" si="133"/>
        <v>1.55</v>
      </c>
    </row>
    <row r="599" spans="1:9" ht="13" x14ac:dyDescent="0.15">
      <c r="A599" s="10">
        <v>3</v>
      </c>
      <c r="B599" s="25" t="s">
        <v>556</v>
      </c>
      <c r="C599" s="25">
        <v>0.15</v>
      </c>
      <c r="D599" s="5" t="s">
        <v>183</v>
      </c>
      <c r="E599" s="5">
        <f>'Master Price list'!G146</f>
        <v>15.8</v>
      </c>
      <c r="F599" s="5">
        <f t="shared" si="131"/>
        <v>2.37</v>
      </c>
      <c r="G599" s="25">
        <v>0</v>
      </c>
      <c r="H599" s="5">
        <f t="shared" si="132"/>
        <v>0</v>
      </c>
      <c r="I599" s="5">
        <f t="shared" si="133"/>
        <v>2.37</v>
      </c>
    </row>
    <row r="600" spans="1:9" ht="13" x14ac:dyDescent="0.15">
      <c r="G600" s="170" t="s">
        <v>777</v>
      </c>
      <c r="H600" s="171"/>
      <c r="I600" s="29">
        <f>SUM(I597:I599)</f>
        <v>9.02</v>
      </c>
    </row>
    <row r="601" spans="1:9" ht="13" x14ac:dyDescent="0.15">
      <c r="G601" s="170" t="s">
        <v>836</v>
      </c>
      <c r="H601" s="171"/>
      <c r="I601" s="29">
        <f>I600/600*1000</f>
        <v>15.033333333333333</v>
      </c>
    </row>
    <row r="604" spans="1:9" ht="13" x14ac:dyDescent="0.15">
      <c r="A604" s="172" t="s">
        <v>754</v>
      </c>
      <c r="B604" s="173"/>
      <c r="C604" s="171"/>
      <c r="G604" s="172" t="s">
        <v>772</v>
      </c>
      <c r="H604" s="171"/>
      <c r="I604" s="28">
        <v>2</v>
      </c>
    </row>
    <row r="605" spans="1:9" ht="13" x14ac:dyDescent="0.15">
      <c r="A605" s="168" t="s">
        <v>773</v>
      </c>
      <c r="B605" s="168" t="s">
        <v>774</v>
      </c>
      <c r="C605" s="168" t="s">
        <v>775</v>
      </c>
      <c r="D605" s="168" t="s">
        <v>719</v>
      </c>
      <c r="E605" s="168" t="s">
        <v>776</v>
      </c>
      <c r="F605" s="168" t="s">
        <v>777</v>
      </c>
      <c r="G605" s="168" t="s">
        <v>778</v>
      </c>
      <c r="H605" s="168" t="s">
        <v>779</v>
      </c>
      <c r="I605" s="168" t="s">
        <v>780</v>
      </c>
    </row>
    <row r="606" spans="1:9" ht="13" x14ac:dyDescent="0.15">
      <c r="A606" s="169"/>
      <c r="B606" s="169"/>
      <c r="C606" s="169"/>
      <c r="D606" s="169"/>
      <c r="E606" s="169"/>
      <c r="F606" s="169"/>
      <c r="G606" s="169"/>
      <c r="H606" s="169"/>
      <c r="I606" s="169"/>
    </row>
    <row r="607" spans="1:9" ht="13" x14ac:dyDescent="0.15">
      <c r="A607" s="10">
        <v>1</v>
      </c>
      <c r="B607" s="25" t="s">
        <v>503</v>
      </c>
      <c r="C607" s="25">
        <v>0.8</v>
      </c>
      <c r="D607" s="5" t="s">
        <v>183</v>
      </c>
      <c r="E607" s="5">
        <f>'Master Price list'!G124</f>
        <v>129.70588235294116</v>
      </c>
      <c r="F607" s="5">
        <f t="shared" ref="F607:F610" si="134">E607*C607</f>
        <v>103.76470588235293</v>
      </c>
      <c r="G607" s="25">
        <v>5</v>
      </c>
      <c r="H607" s="5">
        <f t="shared" ref="H607:H610" si="135">F607/100*G607</f>
        <v>5.1882352941176464</v>
      </c>
      <c r="I607" s="5">
        <f t="shared" ref="I607:I610" si="136">H607+F607</f>
        <v>108.95294117647057</v>
      </c>
    </row>
    <row r="608" spans="1:9" ht="13" x14ac:dyDescent="0.15">
      <c r="A608" s="10">
        <v>2</v>
      </c>
      <c r="B608" s="25" t="s">
        <v>881</v>
      </c>
      <c r="C608" s="25">
        <v>0.8</v>
      </c>
      <c r="D608" s="5" t="s">
        <v>183</v>
      </c>
      <c r="E608" s="5">
        <f>'Master Price list'!G129</f>
        <v>123.8</v>
      </c>
      <c r="F608" s="5">
        <f t="shared" si="134"/>
        <v>99.04</v>
      </c>
      <c r="G608" s="25">
        <v>5</v>
      </c>
      <c r="H608" s="5">
        <f t="shared" si="135"/>
        <v>4.952</v>
      </c>
      <c r="I608" s="5">
        <f t="shared" si="136"/>
        <v>103.992</v>
      </c>
    </row>
    <row r="609" spans="1:9" ht="13" x14ac:dyDescent="0.15">
      <c r="A609" s="10">
        <v>3</v>
      </c>
      <c r="B609" s="25" t="s">
        <v>520</v>
      </c>
      <c r="C609" s="25">
        <v>0.5</v>
      </c>
      <c r="D609" s="5" t="s">
        <v>183</v>
      </c>
      <c r="E609" s="5">
        <f>'Master Price list'!G130</f>
        <v>21</v>
      </c>
      <c r="F609" s="5">
        <f t="shared" si="134"/>
        <v>10.5</v>
      </c>
      <c r="G609" s="25">
        <v>5</v>
      </c>
      <c r="H609" s="5">
        <f t="shared" si="135"/>
        <v>0.52500000000000002</v>
      </c>
      <c r="I609" s="5">
        <f t="shared" si="136"/>
        <v>11.025</v>
      </c>
    </row>
    <row r="610" spans="1:9" ht="13" x14ac:dyDescent="0.15">
      <c r="A610" s="10">
        <v>4</v>
      </c>
      <c r="B610" s="25" t="s">
        <v>492</v>
      </c>
      <c r="C610" s="25">
        <v>0.5</v>
      </c>
      <c r="D610" s="5" t="s">
        <v>183</v>
      </c>
      <c r="E610" s="5">
        <f>'Master Price list'!G120</f>
        <v>4.5999999999999996</v>
      </c>
      <c r="F610" s="5">
        <f t="shared" si="134"/>
        <v>2.2999999999999998</v>
      </c>
      <c r="G610" s="25">
        <v>0</v>
      </c>
      <c r="H610" s="5">
        <f t="shared" si="135"/>
        <v>0</v>
      </c>
      <c r="I610" s="5">
        <f t="shared" si="136"/>
        <v>2.2999999999999998</v>
      </c>
    </row>
    <row r="611" spans="1:9" ht="13" x14ac:dyDescent="0.15">
      <c r="G611" s="170" t="s">
        <v>777</v>
      </c>
      <c r="H611" s="171"/>
      <c r="I611" s="29">
        <f>SUM(I607:I610)</f>
        <v>226.26994117647061</v>
      </c>
    </row>
    <row r="612" spans="1:9" ht="13" x14ac:dyDescent="0.15">
      <c r="G612" s="170" t="s">
        <v>836</v>
      </c>
      <c r="H612" s="171"/>
      <c r="I612" s="29">
        <f>I611/I604</f>
        <v>113.1349705882353</v>
      </c>
    </row>
    <row r="615" spans="1:9" ht="13" x14ac:dyDescent="0.15">
      <c r="A615" s="172" t="s">
        <v>882</v>
      </c>
      <c r="B615" s="173"/>
      <c r="C615" s="171"/>
      <c r="G615" s="172" t="s">
        <v>772</v>
      </c>
      <c r="H615" s="171"/>
      <c r="I615" s="28">
        <v>1</v>
      </c>
    </row>
    <row r="616" spans="1:9" ht="13" x14ac:dyDescent="0.15">
      <c r="A616" s="168" t="s">
        <v>773</v>
      </c>
      <c r="B616" s="168" t="s">
        <v>774</v>
      </c>
      <c r="C616" s="168" t="s">
        <v>775</v>
      </c>
      <c r="D616" s="168" t="s">
        <v>719</v>
      </c>
      <c r="E616" s="168" t="s">
        <v>776</v>
      </c>
      <c r="F616" s="168" t="s">
        <v>777</v>
      </c>
      <c r="G616" s="168" t="s">
        <v>778</v>
      </c>
      <c r="H616" s="168" t="s">
        <v>779</v>
      </c>
      <c r="I616" s="168" t="s">
        <v>780</v>
      </c>
    </row>
    <row r="617" spans="1:9" ht="13" x14ac:dyDescent="0.15">
      <c r="A617" s="169"/>
      <c r="B617" s="169"/>
      <c r="C617" s="169"/>
      <c r="D617" s="169"/>
      <c r="E617" s="169"/>
      <c r="F617" s="169"/>
      <c r="G617" s="169"/>
      <c r="H617" s="169"/>
      <c r="I617" s="169"/>
    </row>
    <row r="618" spans="1:9" ht="13" x14ac:dyDescent="0.15">
      <c r="A618" s="10">
        <v>1</v>
      </c>
      <c r="B618" s="25" t="s">
        <v>883</v>
      </c>
      <c r="C618" s="25">
        <v>0.03</v>
      </c>
      <c r="D618" s="5" t="s">
        <v>183</v>
      </c>
      <c r="E618" s="5">
        <f>'Master Price list'!G21</f>
        <v>39.200000000000003</v>
      </c>
      <c r="F618" s="5">
        <f t="shared" ref="F618:F622" si="137">E618*C618</f>
        <v>1.1759999999999999</v>
      </c>
      <c r="G618" s="25">
        <v>0</v>
      </c>
      <c r="H618" s="5">
        <f t="shared" ref="H618:H622" si="138">F618/100*G618</f>
        <v>0</v>
      </c>
      <c r="I618" s="5">
        <f t="shared" ref="I618:I622" si="139">H618+F618</f>
        <v>1.1759999999999999</v>
      </c>
    </row>
    <row r="619" spans="1:9" ht="13" x14ac:dyDescent="0.15">
      <c r="A619" s="10">
        <v>2</v>
      </c>
      <c r="B619" s="25" t="s">
        <v>462</v>
      </c>
      <c r="C619" s="25">
        <v>0.3</v>
      </c>
      <c r="D619" s="5" t="s">
        <v>183</v>
      </c>
      <c r="E619" s="5">
        <f>E589</f>
        <v>6.4</v>
      </c>
      <c r="F619" s="5">
        <f t="shared" si="137"/>
        <v>1.92</v>
      </c>
      <c r="G619" s="25">
        <v>0</v>
      </c>
      <c r="H619" s="5">
        <f t="shared" si="138"/>
        <v>0</v>
      </c>
      <c r="I619" s="5">
        <f t="shared" si="139"/>
        <v>1.92</v>
      </c>
    </row>
    <row r="620" spans="1:9" ht="13" x14ac:dyDescent="0.15">
      <c r="A620" s="10">
        <v>3</v>
      </c>
      <c r="B620" s="25" t="s">
        <v>782</v>
      </c>
      <c r="C620" s="25">
        <v>2.5000000000000001E-3</v>
      </c>
      <c r="D620" s="5" t="s">
        <v>183</v>
      </c>
      <c r="E620" s="5">
        <f>E553</f>
        <v>4.4444444444444446</v>
      </c>
      <c r="F620" s="5">
        <f t="shared" si="137"/>
        <v>1.1111111111111112E-2</v>
      </c>
      <c r="G620" s="25">
        <v>0</v>
      </c>
      <c r="H620" s="5">
        <f t="shared" si="138"/>
        <v>0</v>
      </c>
      <c r="I620" s="5">
        <f t="shared" si="139"/>
        <v>1.1111111111111112E-2</v>
      </c>
    </row>
    <row r="621" spans="1:9" ht="13" x14ac:dyDescent="0.15">
      <c r="A621" s="10">
        <v>4</v>
      </c>
      <c r="B621" s="25" t="s">
        <v>795</v>
      </c>
      <c r="C621" s="25">
        <v>5.0000000000000001E-3</v>
      </c>
      <c r="D621" s="5" t="s">
        <v>183</v>
      </c>
      <c r="E621" s="5">
        <f>'Master Price list'!G121</f>
        <v>39.6</v>
      </c>
      <c r="F621" s="5">
        <f t="shared" si="137"/>
        <v>0.19800000000000001</v>
      </c>
      <c r="G621" s="25">
        <v>0</v>
      </c>
      <c r="H621" s="5">
        <f t="shared" si="138"/>
        <v>0</v>
      </c>
      <c r="I621" s="5">
        <f t="shared" si="139"/>
        <v>0.19800000000000001</v>
      </c>
    </row>
    <row r="622" spans="1:9" ht="13" x14ac:dyDescent="0.15">
      <c r="A622" s="10">
        <v>5</v>
      </c>
      <c r="B622" s="25" t="s">
        <v>781</v>
      </c>
      <c r="C622" s="25">
        <v>0.14000000000000001</v>
      </c>
      <c r="D622" s="5" t="s">
        <v>183</v>
      </c>
      <c r="E622" s="5">
        <f>'Master Price list'!G36</f>
        <v>22</v>
      </c>
      <c r="F622" s="5">
        <f t="shared" si="137"/>
        <v>3.08</v>
      </c>
      <c r="G622" s="25">
        <v>0</v>
      </c>
      <c r="H622" s="5">
        <f t="shared" si="138"/>
        <v>0</v>
      </c>
      <c r="I622" s="5">
        <f t="shared" si="139"/>
        <v>3.08</v>
      </c>
    </row>
    <row r="623" spans="1:9" ht="13" x14ac:dyDescent="0.15">
      <c r="G623" s="170" t="s">
        <v>777</v>
      </c>
      <c r="H623" s="171"/>
      <c r="I623" s="29">
        <f>SUM(I618:I622)</f>
        <v>6.3851111111111116</v>
      </c>
    </row>
    <row r="624" spans="1:9" ht="13" x14ac:dyDescent="0.15">
      <c r="G624" s="170" t="s">
        <v>836</v>
      </c>
      <c r="H624" s="171"/>
      <c r="I624" s="29">
        <f>I623/470*1000</f>
        <v>13.585342789598108</v>
      </c>
    </row>
    <row r="625" spans="1:9" ht="13" x14ac:dyDescent="0.15">
      <c r="G625" s="30"/>
      <c r="H625" s="30"/>
    </row>
    <row r="626" spans="1:9" ht="13" x14ac:dyDescent="0.15">
      <c r="G626" s="30"/>
      <c r="H626" s="30"/>
    </row>
    <row r="627" spans="1:9" ht="13" x14ac:dyDescent="0.15">
      <c r="A627" s="172" t="s">
        <v>756</v>
      </c>
      <c r="B627" s="173"/>
      <c r="C627" s="171"/>
      <c r="G627" s="172" t="s">
        <v>772</v>
      </c>
      <c r="H627" s="171"/>
      <c r="I627" s="28">
        <v>1</v>
      </c>
    </row>
    <row r="628" spans="1:9" ht="13" x14ac:dyDescent="0.15">
      <c r="A628" s="168" t="s">
        <v>773</v>
      </c>
      <c r="B628" s="168" t="s">
        <v>774</v>
      </c>
      <c r="C628" s="168" t="s">
        <v>775</v>
      </c>
      <c r="D628" s="168" t="s">
        <v>719</v>
      </c>
      <c r="E628" s="168" t="s">
        <v>776</v>
      </c>
      <c r="F628" s="168" t="s">
        <v>777</v>
      </c>
      <c r="G628" s="168" t="s">
        <v>778</v>
      </c>
      <c r="H628" s="168" t="s">
        <v>779</v>
      </c>
      <c r="I628" s="168" t="s">
        <v>780</v>
      </c>
    </row>
    <row r="629" spans="1:9" ht="13" x14ac:dyDescent="0.15">
      <c r="A629" s="169"/>
      <c r="B629" s="169"/>
      <c r="C629" s="169"/>
      <c r="D629" s="169"/>
      <c r="E629" s="169"/>
      <c r="F629" s="169"/>
      <c r="G629" s="169"/>
      <c r="H629" s="169"/>
      <c r="I629" s="169"/>
    </row>
    <row r="630" spans="1:9" ht="13" x14ac:dyDescent="0.15">
      <c r="A630" s="10">
        <v>1</v>
      </c>
      <c r="B630" s="25" t="s">
        <v>834</v>
      </c>
      <c r="C630" s="25">
        <v>0.06</v>
      </c>
      <c r="D630" s="5" t="s">
        <v>183</v>
      </c>
      <c r="E630" s="5">
        <f>'Master Price list'!G174</f>
        <v>15</v>
      </c>
      <c r="F630" s="5">
        <f t="shared" ref="F630:F632" si="140">E630*C630</f>
        <v>0.89999999999999991</v>
      </c>
      <c r="G630" s="25">
        <v>20</v>
      </c>
      <c r="H630" s="5">
        <f t="shared" ref="H630:H632" si="141">F630/100*G630</f>
        <v>0.18</v>
      </c>
      <c r="I630" s="5">
        <f t="shared" ref="I630:I632" si="142">H630+F630</f>
        <v>1.0799999999999998</v>
      </c>
    </row>
    <row r="631" spans="1:9" ht="13" x14ac:dyDescent="0.15">
      <c r="A631" s="10">
        <v>2</v>
      </c>
      <c r="B631" s="25" t="s">
        <v>884</v>
      </c>
      <c r="C631" s="25">
        <v>0.2</v>
      </c>
      <c r="D631" s="5" t="s">
        <v>183</v>
      </c>
      <c r="E631" s="5">
        <f>I644</f>
        <v>8.3964285714285722</v>
      </c>
      <c r="F631" s="5">
        <f t="shared" si="140"/>
        <v>1.6792857142857145</v>
      </c>
      <c r="G631" s="25">
        <v>0</v>
      </c>
      <c r="H631" s="5">
        <f t="shared" si="141"/>
        <v>0</v>
      </c>
      <c r="I631" s="5">
        <f t="shared" si="142"/>
        <v>1.6792857142857145</v>
      </c>
    </row>
    <row r="632" spans="1:9" ht="13" x14ac:dyDescent="0.15">
      <c r="A632" s="10">
        <v>3</v>
      </c>
      <c r="B632" s="25" t="s">
        <v>872</v>
      </c>
      <c r="C632" s="25">
        <v>0.3</v>
      </c>
      <c r="D632" s="5" t="s">
        <v>183</v>
      </c>
      <c r="E632" s="5">
        <f>E597</f>
        <v>11.333333333333334</v>
      </c>
      <c r="F632" s="5">
        <f t="shared" si="140"/>
        <v>3.4</v>
      </c>
      <c r="G632" s="25">
        <v>0</v>
      </c>
      <c r="H632" s="5">
        <f t="shared" si="141"/>
        <v>0</v>
      </c>
      <c r="I632" s="5">
        <f t="shared" si="142"/>
        <v>3.4</v>
      </c>
    </row>
    <row r="633" spans="1:9" ht="13" x14ac:dyDescent="0.15">
      <c r="G633" s="170" t="s">
        <v>777</v>
      </c>
      <c r="H633" s="171"/>
      <c r="I633" s="29">
        <f>SUM(I630:I632)</f>
        <v>6.1592857142857138</v>
      </c>
    </row>
    <row r="634" spans="1:9" ht="13" x14ac:dyDescent="0.15">
      <c r="G634" s="170" t="s">
        <v>836</v>
      </c>
      <c r="H634" s="171"/>
      <c r="I634" s="29">
        <f>I633/550*1000</f>
        <v>11.198701298701298</v>
      </c>
    </row>
    <row r="635" spans="1:9" ht="13" x14ac:dyDescent="0.15">
      <c r="G635" s="30"/>
      <c r="H635" s="30"/>
    </row>
    <row r="636" spans="1:9" ht="13" x14ac:dyDescent="0.15">
      <c r="G636" s="30"/>
      <c r="H636" s="30"/>
    </row>
    <row r="637" spans="1:9" ht="13" x14ac:dyDescent="0.15">
      <c r="A637" s="172" t="s">
        <v>884</v>
      </c>
      <c r="B637" s="173"/>
      <c r="C637" s="171"/>
      <c r="G637" s="172" t="s">
        <v>772</v>
      </c>
      <c r="H637" s="171"/>
      <c r="I637" s="28">
        <v>2</v>
      </c>
    </row>
    <row r="638" spans="1:9" ht="13" x14ac:dyDescent="0.15">
      <c r="A638" s="168" t="s">
        <v>773</v>
      </c>
      <c r="B638" s="168" t="s">
        <v>774</v>
      </c>
      <c r="C638" s="168" t="s">
        <v>775</v>
      </c>
      <c r="D638" s="168" t="s">
        <v>719</v>
      </c>
      <c r="E638" s="168" t="s">
        <v>776</v>
      </c>
      <c r="F638" s="168" t="s">
        <v>777</v>
      </c>
      <c r="G638" s="168" t="s">
        <v>778</v>
      </c>
      <c r="H638" s="168" t="s">
        <v>779</v>
      </c>
      <c r="I638" s="168" t="s">
        <v>780</v>
      </c>
    </row>
    <row r="639" spans="1:9" ht="13" x14ac:dyDescent="0.15">
      <c r="A639" s="169"/>
      <c r="B639" s="169"/>
      <c r="C639" s="169"/>
      <c r="D639" s="169"/>
      <c r="E639" s="169"/>
      <c r="F639" s="169"/>
      <c r="G639" s="169"/>
      <c r="H639" s="169"/>
      <c r="I639" s="169"/>
    </row>
    <row r="640" spans="1:9" ht="13" x14ac:dyDescent="0.15">
      <c r="A640" s="10">
        <v>1</v>
      </c>
      <c r="B640" s="25" t="s">
        <v>885</v>
      </c>
      <c r="C640" s="25">
        <v>1</v>
      </c>
      <c r="D640" s="5" t="s">
        <v>183</v>
      </c>
      <c r="E640" s="5">
        <f>'Master Price list'!G170</f>
        <v>11</v>
      </c>
      <c r="F640" s="5">
        <f t="shared" ref="F640:F642" si="143">E640*C640</f>
        <v>11</v>
      </c>
      <c r="G640" s="25">
        <v>5</v>
      </c>
      <c r="H640" s="5">
        <f t="shared" ref="H640:H642" si="144">F640/100*G640</f>
        <v>0.55000000000000004</v>
      </c>
      <c r="I640" s="5">
        <f t="shared" ref="I640:I642" si="145">H640+F640</f>
        <v>11.55</v>
      </c>
    </row>
    <row r="641" spans="1:9" ht="13" x14ac:dyDescent="0.15">
      <c r="A641" s="10">
        <v>2</v>
      </c>
      <c r="B641" s="25" t="s">
        <v>448</v>
      </c>
      <c r="C641" s="25">
        <v>0.3</v>
      </c>
      <c r="D641" s="5" t="s">
        <v>183</v>
      </c>
      <c r="E641" s="5">
        <f>'Master Price list'!G102</f>
        <v>2.1428571428571428</v>
      </c>
      <c r="F641" s="5">
        <f t="shared" si="143"/>
        <v>0.64285714285714279</v>
      </c>
      <c r="G641" s="25">
        <v>0</v>
      </c>
      <c r="H641" s="5">
        <f t="shared" si="144"/>
        <v>0</v>
      </c>
      <c r="I641" s="5">
        <f t="shared" si="145"/>
        <v>0.64285714285714279</v>
      </c>
    </row>
    <row r="642" spans="1:9" ht="13" x14ac:dyDescent="0.15">
      <c r="A642" s="10">
        <v>3</v>
      </c>
      <c r="B642" s="25" t="s">
        <v>492</v>
      </c>
      <c r="C642" s="25">
        <v>1</v>
      </c>
      <c r="D642" s="5" t="s">
        <v>183</v>
      </c>
      <c r="E642" s="5">
        <f>'Master Price list'!G120</f>
        <v>4.5999999999999996</v>
      </c>
      <c r="F642" s="5">
        <f t="shared" si="143"/>
        <v>4.5999999999999996</v>
      </c>
      <c r="G642" s="25">
        <v>0</v>
      </c>
      <c r="H642" s="5">
        <f t="shared" si="144"/>
        <v>0</v>
      </c>
      <c r="I642" s="5">
        <f t="shared" si="145"/>
        <v>4.5999999999999996</v>
      </c>
    </row>
    <row r="643" spans="1:9" ht="13" x14ac:dyDescent="0.15">
      <c r="G643" s="170" t="s">
        <v>777</v>
      </c>
      <c r="H643" s="171"/>
      <c r="I643" s="29">
        <f>SUM(I640:I642)</f>
        <v>16.792857142857144</v>
      </c>
    </row>
    <row r="644" spans="1:9" ht="13" x14ac:dyDescent="0.15">
      <c r="G644" s="170" t="s">
        <v>836</v>
      </c>
      <c r="H644" s="171"/>
      <c r="I644" s="29">
        <f>I643/I637</f>
        <v>8.3964285714285722</v>
      </c>
    </row>
    <row r="647" spans="1:9" ht="13" x14ac:dyDescent="0.15">
      <c r="A647" s="172" t="s">
        <v>758</v>
      </c>
      <c r="B647" s="173"/>
      <c r="C647" s="171"/>
      <c r="G647" s="172" t="s">
        <v>772</v>
      </c>
      <c r="H647" s="171"/>
      <c r="I647" s="28">
        <v>1</v>
      </c>
    </row>
    <row r="648" spans="1:9" ht="13" x14ac:dyDescent="0.15">
      <c r="A648" s="168" t="s">
        <v>773</v>
      </c>
      <c r="B648" s="168" t="s">
        <v>774</v>
      </c>
      <c r="C648" s="168" t="s">
        <v>775</v>
      </c>
      <c r="D648" s="168" t="s">
        <v>719</v>
      </c>
      <c r="E648" s="168" t="s">
        <v>776</v>
      </c>
      <c r="F648" s="168" t="s">
        <v>777</v>
      </c>
      <c r="G648" s="168" t="s">
        <v>778</v>
      </c>
      <c r="H648" s="168" t="s">
        <v>779</v>
      </c>
      <c r="I648" s="168" t="s">
        <v>780</v>
      </c>
    </row>
    <row r="649" spans="1:9" ht="13" x14ac:dyDescent="0.15">
      <c r="A649" s="169"/>
      <c r="B649" s="169"/>
      <c r="C649" s="169"/>
      <c r="D649" s="169"/>
      <c r="E649" s="169"/>
      <c r="F649" s="169"/>
      <c r="G649" s="169"/>
      <c r="H649" s="169"/>
      <c r="I649" s="169"/>
    </row>
    <row r="650" spans="1:9" ht="13" x14ac:dyDescent="0.15">
      <c r="A650" s="10">
        <v>1</v>
      </c>
      <c r="B650" s="25" t="s">
        <v>67</v>
      </c>
      <c r="C650" s="25">
        <v>1</v>
      </c>
      <c r="D650" s="5" t="s">
        <v>183</v>
      </c>
      <c r="E650" s="5">
        <f>'Master Price list'!G202</f>
        <v>4.8</v>
      </c>
      <c r="F650" s="5">
        <f t="shared" ref="F650:F652" si="146">E650*C650</f>
        <v>4.8</v>
      </c>
      <c r="G650" s="25">
        <v>5</v>
      </c>
      <c r="H650" s="5">
        <f t="shared" ref="H650:H652" si="147">F650/100*G650</f>
        <v>0.24</v>
      </c>
      <c r="I650" s="5">
        <f t="shared" ref="I650:I652" si="148">H650+F650</f>
        <v>5.04</v>
      </c>
    </row>
    <row r="651" spans="1:9" ht="13" x14ac:dyDescent="0.15">
      <c r="A651" s="10">
        <v>2</v>
      </c>
      <c r="B651" s="25" t="s">
        <v>797</v>
      </c>
      <c r="C651" s="25">
        <v>5.0000000000000001E-3</v>
      </c>
      <c r="D651" s="5" t="s">
        <v>183</v>
      </c>
      <c r="E651" s="5">
        <f>'Master Price list'!G47</f>
        <v>35</v>
      </c>
      <c r="F651" s="5">
        <f t="shared" si="146"/>
        <v>0.17500000000000002</v>
      </c>
      <c r="G651" s="25">
        <v>0</v>
      </c>
      <c r="H651" s="5">
        <f t="shared" si="147"/>
        <v>0</v>
      </c>
      <c r="I651" s="5">
        <f t="shared" si="148"/>
        <v>0.17500000000000002</v>
      </c>
    </row>
    <row r="652" spans="1:9" ht="13" x14ac:dyDescent="0.15">
      <c r="A652" s="10">
        <v>3</v>
      </c>
      <c r="B652" s="25" t="s">
        <v>492</v>
      </c>
      <c r="C652" s="25">
        <v>0.2</v>
      </c>
      <c r="D652" s="5" t="s">
        <v>183</v>
      </c>
      <c r="E652" s="5">
        <f>'Master Price list'!G120</f>
        <v>4.5999999999999996</v>
      </c>
      <c r="F652" s="5">
        <f t="shared" si="146"/>
        <v>0.91999999999999993</v>
      </c>
      <c r="G652" s="25">
        <v>0</v>
      </c>
      <c r="H652" s="5">
        <f t="shared" si="147"/>
        <v>0</v>
      </c>
      <c r="I652" s="5">
        <f t="shared" si="148"/>
        <v>0.91999999999999993</v>
      </c>
    </row>
    <row r="653" spans="1:9" ht="13" x14ac:dyDescent="0.15">
      <c r="G653" s="170" t="s">
        <v>777</v>
      </c>
      <c r="H653" s="171"/>
      <c r="I653" s="29">
        <f>SUM(I650:I652)</f>
        <v>6.1349999999999998</v>
      </c>
    </row>
    <row r="654" spans="1:9" ht="13" x14ac:dyDescent="0.15">
      <c r="G654" s="170" t="s">
        <v>836</v>
      </c>
      <c r="H654" s="171"/>
      <c r="I654" s="29">
        <f>I653/I647</f>
        <v>6.1349999999999998</v>
      </c>
    </row>
    <row r="657" spans="1:9" ht="13" x14ac:dyDescent="0.15">
      <c r="A657" s="172" t="s">
        <v>759</v>
      </c>
      <c r="B657" s="173"/>
      <c r="C657" s="171"/>
      <c r="G657" s="172" t="s">
        <v>772</v>
      </c>
      <c r="H657" s="171"/>
      <c r="I657" s="28">
        <v>1</v>
      </c>
    </row>
    <row r="658" spans="1:9" ht="13" x14ac:dyDescent="0.15">
      <c r="A658" s="168" t="s">
        <v>773</v>
      </c>
      <c r="B658" s="168" t="s">
        <v>774</v>
      </c>
      <c r="C658" s="168" t="s">
        <v>775</v>
      </c>
      <c r="D658" s="168" t="s">
        <v>719</v>
      </c>
      <c r="E658" s="168" t="s">
        <v>776</v>
      </c>
      <c r="F658" s="168" t="s">
        <v>777</v>
      </c>
      <c r="G658" s="168" t="s">
        <v>778</v>
      </c>
      <c r="H658" s="168" t="s">
        <v>779</v>
      </c>
      <c r="I658" s="168" t="s">
        <v>780</v>
      </c>
    </row>
    <row r="659" spans="1:9" ht="13" x14ac:dyDescent="0.15">
      <c r="A659" s="169"/>
      <c r="B659" s="169"/>
      <c r="C659" s="169"/>
      <c r="D659" s="169"/>
      <c r="E659" s="169"/>
      <c r="F659" s="169"/>
      <c r="G659" s="169"/>
      <c r="H659" s="169"/>
      <c r="I659" s="169"/>
    </row>
    <row r="660" spans="1:9" ht="13" x14ac:dyDescent="0.15">
      <c r="A660" s="10">
        <v>1</v>
      </c>
      <c r="B660" s="25" t="s">
        <v>820</v>
      </c>
      <c r="C660" s="25">
        <v>0.6</v>
      </c>
      <c r="D660" s="5" t="s">
        <v>183</v>
      </c>
      <c r="E660" s="5">
        <f>'Master Price list'!G166</f>
        <v>17</v>
      </c>
      <c r="F660" s="5">
        <f t="shared" ref="F660:F668" si="149">E660*C660</f>
        <v>10.199999999999999</v>
      </c>
      <c r="G660" s="25">
        <v>5</v>
      </c>
      <c r="H660" s="5">
        <f t="shared" ref="H660:H668" si="150">F660/100*G660</f>
        <v>0.51</v>
      </c>
      <c r="I660" s="5">
        <f t="shared" ref="I660:I668" si="151">H660+F660</f>
        <v>10.709999999999999</v>
      </c>
    </row>
    <row r="661" spans="1:9" ht="13" x14ac:dyDescent="0.15">
      <c r="A661" s="10">
        <v>2</v>
      </c>
      <c r="B661" s="25" t="s">
        <v>816</v>
      </c>
      <c r="C661" s="25">
        <v>0.08</v>
      </c>
      <c r="D661" s="5" t="s">
        <v>183</v>
      </c>
      <c r="E661" s="5">
        <f>'Master Price list'!G178</f>
        <v>11</v>
      </c>
      <c r="F661" s="5">
        <f t="shared" si="149"/>
        <v>0.88</v>
      </c>
      <c r="G661" s="25">
        <v>5</v>
      </c>
      <c r="H661" s="5">
        <f t="shared" si="150"/>
        <v>4.4000000000000004E-2</v>
      </c>
      <c r="I661" s="5">
        <f t="shared" si="151"/>
        <v>0.92400000000000004</v>
      </c>
    </row>
    <row r="662" spans="1:9" ht="13" x14ac:dyDescent="0.15">
      <c r="A662" s="10">
        <v>3</v>
      </c>
      <c r="B662" s="25" t="s">
        <v>886</v>
      </c>
      <c r="C662" s="25">
        <v>5.0000000000000001E-3</v>
      </c>
      <c r="D662" s="5" t="s">
        <v>183</v>
      </c>
      <c r="E662" s="5">
        <f>'Master Price list'!G50</f>
        <v>23</v>
      </c>
      <c r="F662" s="5">
        <f t="shared" si="149"/>
        <v>0.115</v>
      </c>
      <c r="G662" s="25">
        <v>0</v>
      </c>
      <c r="H662" s="5">
        <f t="shared" si="150"/>
        <v>0</v>
      </c>
      <c r="I662" s="5">
        <f t="shared" si="151"/>
        <v>0.115</v>
      </c>
    </row>
    <row r="663" spans="1:9" ht="13" x14ac:dyDescent="0.15">
      <c r="A663" s="10">
        <v>4</v>
      </c>
      <c r="B663" s="25" t="s">
        <v>302</v>
      </c>
      <c r="C663" s="25">
        <v>5.0000000000000001E-3</v>
      </c>
      <c r="D663" s="5" t="s">
        <v>183</v>
      </c>
      <c r="E663" s="5">
        <f>'Master Price list'!G48</f>
        <v>12</v>
      </c>
      <c r="F663" s="5">
        <f t="shared" si="149"/>
        <v>0.06</v>
      </c>
      <c r="G663" s="25">
        <v>0</v>
      </c>
      <c r="H663" s="5">
        <f t="shared" si="150"/>
        <v>0</v>
      </c>
      <c r="I663" s="5">
        <f t="shared" si="151"/>
        <v>0.06</v>
      </c>
    </row>
    <row r="664" spans="1:9" ht="13" x14ac:dyDescent="0.15">
      <c r="A664" s="10">
        <v>5</v>
      </c>
      <c r="B664" s="25" t="s">
        <v>782</v>
      </c>
      <c r="C664" s="25">
        <v>5.0000000000000001E-3</v>
      </c>
      <c r="D664" s="5" t="s">
        <v>183</v>
      </c>
      <c r="E664" s="5">
        <f>'Master Price list'!G62</f>
        <v>4.4444444444444446</v>
      </c>
      <c r="F664" s="5">
        <f t="shared" si="149"/>
        <v>2.2222222222222223E-2</v>
      </c>
      <c r="G664" s="25">
        <v>0</v>
      </c>
      <c r="H664" s="5">
        <f t="shared" si="150"/>
        <v>0</v>
      </c>
      <c r="I664" s="5">
        <f t="shared" si="151"/>
        <v>2.2222222222222223E-2</v>
      </c>
    </row>
    <row r="665" spans="1:9" ht="13" x14ac:dyDescent="0.15">
      <c r="A665" s="10">
        <v>6</v>
      </c>
      <c r="B665" s="25" t="s">
        <v>887</v>
      </c>
      <c r="C665" s="25">
        <v>0.2</v>
      </c>
      <c r="D665" s="5" t="s">
        <v>183</v>
      </c>
      <c r="E665" s="5">
        <f>'Master Price list'!G173</f>
        <v>13</v>
      </c>
      <c r="F665" s="5">
        <f t="shared" si="149"/>
        <v>2.6</v>
      </c>
      <c r="G665" s="25">
        <v>5</v>
      </c>
      <c r="H665" s="5">
        <f t="shared" si="150"/>
        <v>0.13</v>
      </c>
      <c r="I665" s="5">
        <f t="shared" si="151"/>
        <v>2.73</v>
      </c>
    </row>
    <row r="666" spans="1:9" ht="13" x14ac:dyDescent="0.15">
      <c r="A666" s="10">
        <v>7</v>
      </c>
      <c r="B666" s="25" t="s">
        <v>439</v>
      </c>
      <c r="C666" s="25">
        <v>0.03</v>
      </c>
      <c r="D666" s="5" t="s">
        <v>183</v>
      </c>
      <c r="E666" s="5">
        <f>'Master Price list'!G99</f>
        <v>16.363636363636363</v>
      </c>
      <c r="F666" s="5">
        <f t="shared" si="149"/>
        <v>0.49090909090909091</v>
      </c>
      <c r="G666" s="25">
        <v>0</v>
      </c>
      <c r="H666" s="5">
        <f t="shared" si="150"/>
        <v>0</v>
      </c>
      <c r="I666" s="5">
        <f t="shared" si="151"/>
        <v>0.49090909090909091</v>
      </c>
    </row>
    <row r="667" spans="1:9" ht="13" x14ac:dyDescent="0.15">
      <c r="A667" s="10">
        <v>8</v>
      </c>
      <c r="B667" s="25" t="s">
        <v>787</v>
      </c>
      <c r="C667" s="25">
        <v>4.4999999999999998E-2</v>
      </c>
      <c r="D667" s="5" t="s">
        <v>183</v>
      </c>
      <c r="E667" s="5">
        <f>'Master Price list'!G80</f>
        <v>42</v>
      </c>
      <c r="F667" s="5">
        <f t="shared" si="149"/>
        <v>1.89</v>
      </c>
      <c r="G667" s="25">
        <v>0</v>
      </c>
      <c r="H667" s="5">
        <f t="shared" si="150"/>
        <v>0</v>
      </c>
      <c r="I667" s="5">
        <f t="shared" si="151"/>
        <v>1.89</v>
      </c>
    </row>
    <row r="668" spans="1:9" ht="13" x14ac:dyDescent="0.15">
      <c r="A668" s="10">
        <v>9</v>
      </c>
      <c r="B668" s="25" t="s">
        <v>718</v>
      </c>
      <c r="C668" s="25">
        <v>0.03</v>
      </c>
      <c r="D668" s="5" t="s">
        <v>183</v>
      </c>
      <c r="E668" s="5">
        <f>'Master Price list'!G222</f>
        <v>37.799999999999997</v>
      </c>
      <c r="F668" s="5">
        <f t="shared" si="149"/>
        <v>1.1339999999999999</v>
      </c>
      <c r="G668" s="25">
        <v>0</v>
      </c>
      <c r="H668" s="5">
        <f t="shared" si="150"/>
        <v>0</v>
      </c>
      <c r="I668" s="5">
        <f t="shared" si="151"/>
        <v>1.1339999999999999</v>
      </c>
    </row>
    <row r="669" spans="1:9" ht="13" x14ac:dyDescent="0.15">
      <c r="G669" s="170" t="s">
        <v>777</v>
      </c>
      <c r="H669" s="171"/>
      <c r="I669" s="29">
        <f>SUM(I660:I668)</f>
        <v>18.076131313131313</v>
      </c>
    </row>
    <row r="670" spans="1:9" ht="13" x14ac:dyDescent="0.15">
      <c r="G670" s="170" t="s">
        <v>836</v>
      </c>
      <c r="H670" s="171"/>
      <c r="I670" s="29">
        <f>I669/I657</f>
        <v>18.076131313131313</v>
      </c>
    </row>
    <row r="671" spans="1:9" ht="13" x14ac:dyDescent="0.15">
      <c r="G671" s="30"/>
      <c r="H671" s="30"/>
    </row>
    <row r="672" spans="1:9" ht="13" x14ac:dyDescent="0.15">
      <c r="G672" s="30"/>
      <c r="H672" s="30"/>
    </row>
    <row r="673" spans="1:9" ht="13" x14ac:dyDescent="0.15">
      <c r="A673" s="172" t="s">
        <v>760</v>
      </c>
      <c r="B673" s="173"/>
      <c r="C673" s="171"/>
      <c r="G673" s="172" t="s">
        <v>772</v>
      </c>
      <c r="H673" s="171"/>
      <c r="I673" s="28">
        <v>2</v>
      </c>
    </row>
    <row r="674" spans="1:9" ht="13" x14ac:dyDescent="0.15">
      <c r="A674" s="168" t="s">
        <v>773</v>
      </c>
      <c r="B674" s="168" t="s">
        <v>774</v>
      </c>
      <c r="C674" s="168" t="s">
        <v>775</v>
      </c>
      <c r="D674" s="168" t="s">
        <v>719</v>
      </c>
      <c r="E674" s="168" t="s">
        <v>776</v>
      </c>
      <c r="F674" s="168" t="s">
        <v>777</v>
      </c>
      <c r="G674" s="168" t="s">
        <v>778</v>
      </c>
      <c r="H674" s="168" t="s">
        <v>779</v>
      </c>
      <c r="I674" s="168" t="s">
        <v>780</v>
      </c>
    </row>
    <row r="675" spans="1:9" ht="13" x14ac:dyDescent="0.15">
      <c r="A675" s="169"/>
      <c r="B675" s="169"/>
      <c r="C675" s="169"/>
      <c r="D675" s="169"/>
      <c r="E675" s="169"/>
      <c r="F675" s="169"/>
      <c r="G675" s="169"/>
      <c r="H675" s="169"/>
      <c r="I675" s="169"/>
    </row>
    <row r="676" spans="1:9" ht="13" x14ac:dyDescent="0.15">
      <c r="A676" s="10">
        <v>1</v>
      </c>
      <c r="B676" s="25" t="s">
        <v>888</v>
      </c>
      <c r="C676" s="25">
        <v>0.05</v>
      </c>
      <c r="D676" s="5" t="s">
        <v>183</v>
      </c>
      <c r="E676" s="5">
        <f>'Master Price list'!G171</f>
        <v>12</v>
      </c>
      <c r="F676" s="5">
        <f t="shared" ref="F676:F695" si="152">E676*C676</f>
        <v>0.60000000000000009</v>
      </c>
      <c r="G676" s="25">
        <v>5</v>
      </c>
      <c r="H676" s="5">
        <f t="shared" ref="H676:H695" si="153">F676/100*G676</f>
        <v>3.0000000000000006E-2</v>
      </c>
      <c r="I676" s="5">
        <f t="shared" ref="I676:I695" si="154">H676+F676</f>
        <v>0.63000000000000012</v>
      </c>
    </row>
    <row r="677" spans="1:9" ht="13" x14ac:dyDescent="0.15">
      <c r="A677" s="10">
        <v>2</v>
      </c>
      <c r="B677" s="25" t="s">
        <v>837</v>
      </c>
      <c r="C677" s="25">
        <v>0.1</v>
      </c>
      <c r="D677" s="5" t="s">
        <v>183</v>
      </c>
      <c r="E677" s="5">
        <f>'Master Price list'!G172</f>
        <v>18</v>
      </c>
      <c r="F677" s="5">
        <f t="shared" si="152"/>
        <v>1.8</v>
      </c>
      <c r="G677" s="25">
        <v>5</v>
      </c>
      <c r="H677" s="5">
        <f t="shared" si="153"/>
        <v>9.0000000000000011E-2</v>
      </c>
      <c r="I677" s="5">
        <f t="shared" si="154"/>
        <v>1.8900000000000001</v>
      </c>
    </row>
    <row r="678" spans="1:9" ht="13" x14ac:dyDescent="0.15">
      <c r="A678" s="10">
        <v>3</v>
      </c>
      <c r="B678" s="25" t="s">
        <v>889</v>
      </c>
      <c r="C678" s="25">
        <v>0.5</v>
      </c>
      <c r="D678" s="5" t="s">
        <v>183</v>
      </c>
      <c r="E678" s="5">
        <f>'Master Price list'!G173</f>
        <v>13</v>
      </c>
      <c r="F678" s="5">
        <f t="shared" si="152"/>
        <v>6.5</v>
      </c>
      <c r="G678" s="25">
        <v>5</v>
      </c>
      <c r="H678" s="5">
        <f t="shared" si="153"/>
        <v>0.32500000000000001</v>
      </c>
      <c r="I678" s="5">
        <f t="shared" si="154"/>
        <v>6.8250000000000002</v>
      </c>
    </row>
    <row r="679" spans="1:9" ht="13" x14ac:dyDescent="0.15">
      <c r="A679" s="10">
        <v>4</v>
      </c>
      <c r="B679" s="25" t="s">
        <v>890</v>
      </c>
      <c r="C679" s="25">
        <v>0.1</v>
      </c>
      <c r="D679" s="5" t="s">
        <v>183</v>
      </c>
      <c r="E679" s="5">
        <f>'Master Price list'!G170</f>
        <v>11</v>
      </c>
      <c r="F679" s="5">
        <f t="shared" si="152"/>
        <v>1.1000000000000001</v>
      </c>
      <c r="G679" s="25">
        <v>5</v>
      </c>
      <c r="H679" s="5">
        <f t="shared" si="153"/>
        <v>5.5000000000000007E-2</v>
      </c>
      <c r="I679" s="5">
        <f t="shared" si="154"/>
        <v>1.155</v>
      </c>
    </row>
    <row r="680" spans="1:9" ht="13" x14ac:dyDescent="0.15">
      <c r="A680" s="10">
        <v>5</v>
      </c>
      <c r="B680" s="25" t="s">
        <v>833</v>
      </c>
      <c r="C680" s="25">
        <v>0.3</v>
      </c>
      <c r="D680" s="5" t="s">
        <v>183</v>
      </c>
      <c r="E680" s="5">
        <f>'Master Price list'!G189</f>
        <v>3.3</v>
      </c>
      <c r="F680" s="5">
        <f t="shared" si="152"/>
        <v>0.98999999999999988</v>
      </c>
      <c r="G680" s="25">
        <v>5</v>
      </c>
      <c r="H680" s="5">
        <f t="shared" si="153"/>
        <v>4.9499999999999995E-2</v>
      </c>
      <c r="I680" s="5">
        <f t="shared" si="154"/>
        <v>1.0394999999999999</v>
      </c>
    </row>
    <row r="681" spans="1:9" ht="13" x14ac:dyDescent="0.15">
      <c r="A681" s="10">
        <v>6</v>
      </c>
      <c r="B681" s="25" t="s">
        <v>815</v>
      </c>
      <c r="C681" s="25">
        <v>0.3</v>
      </c>
      <c r="D681" s="5" t="s">
        <v>183</v>
      </c>
      <c r="E681" s="5">
        <f>'Master Price list'!G190</f>
        <v>3.5</v>
      </c>
      <c r="F681" s="5">
        <f t="shared" si="152"/>
        <v>1.05</v>
      </c>
      <c r="G681" s="25">
        <v>5</v>
      </c>
      <c r="H681" s="5">
        <f t="shared" si="153"/>
        <v>5.2500000000000005E-2</v>
      </c>
      <c r="I681" s="5">
        <f t="shared" si="154"/>
        <v>1.1025</v>
      </c>
    </row>
    <row r="682" spans="1:9" ht="13" x14ac:dyDescent="0.15">
      <c r="A682" s="10">
        <v>7</v>
      </c>
      <c r="B682" s="25" t="s">
        <v>891</v>
      </c>
      <c r="C682" s="25">
        <v>0.5</v>
      </c>
      <c r="D682" s="5" t="s">
        <v>183</v>
      </c>
      <c r="E682" s="5">
        <f>'Master Price list'!G185</f>
        <v>7</v>
      </c>
      <c r="F682" s="5">
        <f t="shared" si="152"/>
        <v>3.5</v>
      </c>
      <c r="G682" s="25">
        <v>5</v>
      </c>
      <c r="H682" s="5">
        <f t="shared" si="153"/>
        <v>0.17500000000000002</v>
      </c>
      <c r="I682" s="5">
        <f t="shared" si="154"/>
        <v>3.6749999999999998</v>
      </c>
    </row>
    <row r="683" spans="1:9" ht="13" x14ac:dyDescent="0.15">
      <c r="A683" s="10">
        <v>8</v>
      </c>
      <c r="B683" s="25" t="s">
        <v>861</v>
      </c>
      <c r="C683" s="25">
        <v>5.0000000000000001E-3</v>
      </c>
      <c r="D683" s="5" t="s">
        <v>183</v>
      </c>
      <c r="E683" s="5">
        <f>'Master Price list'!G203</f>
        <v>11</v>
      </c>
      <c r="F683" s="5">
        <f t="shared" si="152"/>
        <v>5.5E-2</v>
      </c>
      <c r="G683" s="25">
        <v>5</v>
      </c>
      <c r="H683" s="5">
        <f t="shared" si="153"/>
        <v>2.7500000000000003E-3</v>
      </c>
      <c r="I683" s="5">
        <f t="shared" si="154"/>
        <v>5.7750000000000003E-2</v>
      </c>
    </row>
    <row r="684" spans="1:9" ht="13" x14ac:dyDescent="0.15">
      <c r="A684" s="10">
        <v>9</v>
      </c>
      <c r="B684" s="25" t="s">
        <v>816</v>
      </c>
      <c r="C684" s="25">
        <v>0.06</v>
      </c>
      <c r="D684" s="5" t="s">
        <v>183</v>
      </c>
      <c r="E684" s="5">
        <f>'Master Price list'!G178</f>
        <v>11</v>
      </c>
      <c r="F684" s="5">
        <f t="shared" si="152"/>
        <v>0.65999999999999992</v>
      </c>
      <c r="G684" s="25">
        <v>5</v>
      </c>
      <c r="H684" s="5">
        <f t="shared" si="153"/>
        <v>3.2999999999999995E-2</v>
      </c>
      <c r="I684" s="5">
        <f t="shared" si="154"/>
        <v>0.69299999999999995</v>
      </c>
    </row>
    <row r="685" spans="1:9" ht="13" x14ac:dyDescent="0.15">
      <c r="A685" s="10">
        <v>10</v>
      </c>
      <c r="B685" s="25" t="s">
        <v>287</v>
      </c>
      <c r="C685" s="25">
        <v>5.0000000000000001E-3</v>
      </c>
      <c r="D685" s="5" t="s">
        <v>183</v>
      </c>
      <c r="E685" s="5">
        <f>E510</f>
        <v>56</v>
      </c>
      <c r="F685" s="5">
        <f t="shared" si="152"/>
        <v>0.28000000000000003</v>
      </c>
      <c r="G685" s="25">
        <v>0</v>
      </c>
      <c r="H685" s="5">
        <f t="shared" si="153"/>
        <v>0</v>
      </c>
      <c r="I685" s="5">
        <f t="shared" si="154"/>
        <v>0.28000000000000003</v>
      </c>
    </row>
    <row r="686" spans="1:9" ht="13" x14ac:dyDescent="0.15">
      <c r="A686" s="10">
        <v>11</v>
      </c>
      <c r="B686" s="25" t="s">
        <v>892</v>
      </c>
      <c r="C686" s="25">
        <v>1.4999999999999999E-2</v>
      </c>
      <c r="D686" s="5" t="s">
        <v>183</v>
      </c>
      <c r="E686" s="5">
        <f>'Master Price list'!G83</f>
        <v>29.5</v>
      </c>
      <c r="F686" s="5">
        <f t="shared" si="152"/>
        <v>0.4425</v>
      </c>
      <c r="G686" s="25">
        <v>0</v>
      </c>
      <c r="H686" s="5">
        <f t="shared" si="153"/>
        <v>0</v>
      </c>
      <c r="I686" s="5">
        <f t="shared" si="154"/>
        <v>0.4425</v>
      </c>
    </row>
    <row r="687" spans="1:9" ht="13" x14ac:dyDescent="0.15">
      <c r="A687" s="10">
        <v>12</v>
      </c>
      <c r="B687" s="25" t="s">
        <v>893</v>
      </c>
      <c r="C687" s="25">
        <v>1.4999999999999999E-2</v>
      </c>
      <c r="D687" s="5" t="s">
        <v>183</v>
      </c>
      <c r="E687" s="5">
        <f>'Master Price list'!G94</f>
        <v>11.866666666666667</v>
      </c>
      <c r="F687" s="5">
        <f t="shared" si="152"/>
        <v>0.17799999999999999</v>
      </c>
      <c r="G687" s="25">
        <v>0</v>
      </c>
      <c r="H687" s="5">
        <f t="shared" si="153"/>
        <v>0</v>
      </c>
      <c r="I687" s="5">
        <f t="shared" si="154"/>
        <v>0.17799999999999999</v>
      </c>
    </row>
    <row r="688" spans="1:9" ht="13" x14ac:dyDescent="0.15">
      <c r="A688" s="10">
        <v>13</v>
      </c>
      <c r="B688" s="25" t="s">
        <v>880</v>
      </c>
      <c r="C688" s="25">
        <v>5.0000000000000001E-3</v>
      </c>
      <c r="D688" s="5" t="s">
        <v>183</v>
      </c>
      <c r="E688" s="5">
        <f>'Master Price list'!G53</f>
        <v>85.714285714285708</v>
      </c>
      <c r="F688" s="5">
        <f t="shared" si="152"/>
        <v>0.42857142857142855</v>
      </c>
      <c r="G688" s="25">
        <v>0</v>
      </c>
      <c r="H688" s="5">
        <f t="shared" si="153"/>
        <v>0</v>
      </c>
      <c r="I688" s="5">
        <f t="shared" si="154"/>
        <v>0.42857142857142855</v>
      </c>
    </row>
    <row r="689" spans="1:9" ht="13" x14ac:dyDescent="0.15">
      <c r="A689" s="10">
        <v>14</v>
      </c>
      <c r="B689" s="25" t="s">
        <v>856</v>
      </c>
      <c r="C689" s="25">
        <v>0.06</v>
      </c>
      <c r="D689" s="5" t="s">
        <v>183</v>
      </c>
      <c r="E689" s="5">
        <f>'Master Price list'!G97</f>
        <v>13.5</v>
      </c>
      <c r="F689" s="5">
        <f t="shared" si="152"/>
        <v>0.80999999999999994</v>
      </c>
      <c r="G689" s="25">
        <v>0</v>
      </c>
      <c r="H689" s="5">
        <f t="shared" si="153"/>
        <v>0</v>
      </c>
      <c r="I689" s="5">
        <f t="shared" si="154"/>
        <v>0.80999999999999994</v>
      </c>
    </row>
    <row r="690" spans="1:9" ht="13" x14ac:dyDescent="0.15">
      <c r="A690" s="10">
        <v>15</v>
      </c>
      <c r="B690" s="25" t="s">
        <v>894</v>
      </c>
      <c r="C690" s="25">
        <v>2.5000000000000001E-3</v>
      </c>
      <c r="D690" s="5" t="s">
        <v>183</v>
      </c>
      <c r="E690" s="5">
        <f>'Master Price list'!G184</f>
        <v>5</v>
      </c>
      <c r="F690" s="5">
        <f t="shared" si="152"/>
        <v>1.2500000000000001E-2</v>
      </c>
      <c r="G690" s="25">
        <v>5</v>
      </c>
      <c r="H690" s="5">
        <f t="shared" si="153"/>
        <v>6.2500000000000001E-4</v>
      </c>
      <c r="I690" s="5">
        <f t="shared" si="154"/>
        <v>1.3125000000000001E-2</v>
      </c>
    </row>
    <row r="691" spans="1:9" ht="13" x14ac:dyDescent="0.15">
      <c r="A691" s="10">
        <v>16</v>
      </c>
      <c r="B691" s="25" t="s">
        <v>340</v>
      </c>
      <c r="C691" s="25">
        <v>1E-4</v>
      </c>
      <c r="D691" s="5" t="s">
        <v>183</v>
      </c>
      <c r="E691" s="5">
        <f>'Master Price list'!G64</f>
        <v>28</v>
      </c>
      <c r="F691" s="5">
        <f t="shared" si="152"/>
        <v>2.8E-3</v>
      </c>
      <c r="G691" s="25">
        <v>0</v>
      </c>
      <c r="H691" s="5">
        <f t="shared" si="153"/>
        <v>0</v>
      </c>
      <c r="I691" s="5">
        <f t="shared" si="154"/>
        <v>2.8E-3</v>
      </c>
    </row>
    <row r="692" spans="1:9" ht="13" x14ac:dyDescent="0.15">
      <c r="A692" s="10">
        <v>17</v>
      </c>
      <c r="B692" s="25" t="s">
        <v>462</v>
      </c>
      <c r="C692" s="25">
        <v>2.0000000000000001E-4</v>
      </c>
      <c r="D692" s="5" t="s">
        <v>183</v>
      </c>
      <c r="E692" s="5">
        <f>'Master Price list'!G107</f>
        <v>6.4</v>
      </c>
      <c r="F692" s="5">
        <f t="shared" si="152"/>
        <v>1.2800000000000001E-3</v>
      </c>
      <c r="G692" s="25">
        <v>0</v>
      </c>
      <c r="H692" s="5">
        <f t="shared" si="153"/>
        <v>0</v>
      </c>
      <c r="I692" s="5">
        <f t="shared" si="154"/>
        <v>1.2800000000000001E-3</v>
      </c>
    </row>
    <row r="693" spans="1:9" ht="13" x14ac:dyDescent="0.15">
      <c r="A693" s="10">
        <v>18</v>
      </c>
      <c r="B693" s="25" t="s">
        <v>635</v>
      </c>
      <c r="C693" s="25">
        <v>2.0000000000000001E-4</v>
      </c>
      <c r="D693" s="5" t="s">
        <v>183</v>
      </c>
      <c r="E693" s="5">
        <f>'Master Price list'!G181</f>
        <v>15</v>
      </c>
      <c r="F693" s="5">
        <f t="shared" si="152"/>
        <v>3.0000000000000001E-3</v>
      </c>
      <c r="G693" s="25">
        <v>0</v>
      </c>
      <c r="H693" s="5">
        <f t="shared" si="153"/>
        <v>0</v>
      </c>
      <c r="I693" s="5">
        <f t="shared" si="154"/>
        <v>3.0000000000000001E-3</v>
      </c>
    </row>
    <row r="694" spans="1:9" ht="13" x14ac:dyDescent="0.15">
      <c r="A694" s="10">
        <v>19</v>
      </c>
      <c r="B694" s="25" t="s">
        <v>895</v>
      </c>
      <c r="C694" s="25">
        <v>1E-4</v>
      </c>
      <c r="D694" s="5" t="s">
        <v>183</v>
      </c>
      <c r="E694" s="5">
        <f>'Master Price list'!G39</f>
        <v>15</v>
      </c>
      <c r="F694" s="5">
        <f t="shared" si="152"/>
        <v>1.5E-3</v>
      </c>
      <c r="G694" s="25">
        <v>0</v>
      </c>
      <c r="H694" s="5">
        <f t="shared" si="153"/>
        <v>0</v>
      </c>
      <c r="I694" s="5">
        <f t="shared" si="154"/>
        <v>1.5E-3</v>
      </c>
    </row>
    <row r="695" spans="1:9" ht="13" x14ac:dyDescent="0.15">
      <c r="A695" s="10">
        <v>20</v>
      </c>
      <c r="B695" s="25" t="s">
        <v>627</v>
      </c>
      <c r="C695" s="25">
        <v>5.0000000000000001E-3</v>
      </c>
      <c r="D695" s="5" t="s">
        <v>183</v>
      </c>
      <c r="E695" s="5">
        <f>'Master Price list'!G177</f>
        <v>11</v>
      </c>
      <c r="F695" s="5">
        <f t="shared" si="152"/>
        <v>5.5E-2</v>
      </c>
      <c r="G695" s="25">
        <v>5</v>
      </c>
      <c r="H695" s="5">
        <f t="shared" si="153"/>
        <v>2.7500000000000003E-3</v>
      </c>
      <c r="I695" s="5">
        <f t="shared" si="154"/>
        <v>5.7750000000000003E-2</v>
      </c>
    </row>
    <row r="696" spans="1:9" ht="13" x14ac:dyDescent="0.15">
      <c r="G696" s="170" t="s">
        <v>777</v>
      </c>
      <c r="H696" s="171"/>
      <c r="I696" s="29">
        <f>SUM(I676:I695)</f>
        <v>19.286276428571426</v>
      </c>
    </row>
    <row r="697" spans="1:9" ht="13" x14ac:dyDescent="0.15">
      <c r="G697" s="170" t="s">
        <v>784</v>
      </c>
      <c r="H697" s="171"/>
      <c r="I697" s="29">
        <f>I696/I673</f>
        <v>9.6431382142857132</v>
      </c>
    </row>
    <row r="698" spans="1:9" ht="13" x14ac:dyDescent="0.15">
      <c r="G698" s="30"/>
      <c r="H698" s="30"/>
    </row>
    <row r="699" spans="1:9" ht="13" x14ac:dyDescent="0.15">
      <c r="G699" s="30"/>
      <c r="H699" s="30"/>
    </row>
    <row r="700" spans="1:9" ht="13" x14ac:dyDescent="0.15">
      <c r="A700" s="172" t="s">
        <v>761</v>
      </c>
      <c r="B700" s="173"/>
      <c r="C700" s="171"/>
      <c r="G700" s="172" t="s">
        <v>772</v>
      </c>
      <c r="H700" s="171"/>
      <c r="I700" s="28">
        <v>3</v>
      </c>
    </row>
    <row r="701" spans="1:9" ht="13" x14ac:dyDescent="0.15">
      <c r="A701" s="168" t="s">
        <v>773</v>
      </c>
      <c r="B701" s="168" t="s">
        <v>774</v>
      </c>
      <c r="C701" s="168" t="s">
        <v>775</v>
      </c>
      <c r="D701" s="168" t="s">
        <v>719</v>
      </c>
      <c r="E701" s="168" t="s">
        <v>776</v>
      </c>
      <c r="F701" s="168" t="s">
        <v>777</v>
      </c>
      <c r="G701" s="168" t="s">
        <v>778</v>
      </c>
      <c r="H701" s="168" t="s">
        <v>779</v>
      </c>
      <c r="I701" s="168" t="s">
        <v>780</v>
      </c>
    </row>
    <row r="702" spans="1:9" ht="13" x14ac:dyDescent="0.15">
      <c r="A702" s="169"/>
      <c r="B702" s="169"/>
      <c r="C702" s="169"/>
      <c r="D702" s="169"/>
      <c r="E702" s="169"/>
      <c r="F702" s="169"/>
      <c r="G702" s="169"/>
      <c r="H702" s="169"/>
      <c r="I702" s="169"/>
    </row>
    <row r="703" spans="1:9" ht="13" x14ac:dyDescent="0.15">
      <c r="A703" s="10">
        <v>1</v>
      </c>
      <c r="B703" s="25" t="s">
        <v>67</v>
      </c>
      <c r="C703" s="25">
        <v>2</v>
      </c>
      <c r="D703" s="5" t="s">
        <v>183</v>
      </c>
      <c r="E703" s="5">
        <f>'Master Price list'!G202</f>
        <v>4.8</v>
      </c>
      <c r="F703" s="5">
        <f t="shared" ref="F703:F712" si="155">E703*C703</f>
        <v>9.6</v>
      </c>
      <c r="G703" s="25">
        <v>5</v>
      </c>
      <c r="H703" s="5">
        <f t="shared" ref="H703:H712" si="156">F703/100*G703</f>
        <v>0.48</v>
      </c>
      <c r="I703" s="5">
        <f t="shared" ref="I703:I712" si="157">H703+F703</f>
        <v>10.08</v>
      </c>
    </row>
    <row r="704" spans="1:9" ht="13" x14ac:dyDescent="0.15">
      <c r="A704" s="10">
        <v>2</v>
      </c>
      <c r="B704" s="25" t="s">
        <v>815</v>
      </c>
      <c r="C704" s="25">
        <v>0.6</v>
      </c>
      <c r="D704" s="5" t="s">
        <v>183</v>
      </c>
      <c r="E704" s="5">
        <f>'Master Price list'!G190</f>
        <v>3.5</v>
      </c>
      <c r="F704" s="5">
        <f t="shared" si="155"/>
        <v>2.1</v>
      </c>
      <c r="G704" s="25">
        <v>5</v>
      </c>
      <c r="H704" s="5">
        <f t="shared" si="156"/>
        <v>0.10500000000000001</v>
      </c>
      <c r="I704" s="5">
        <f t="shared" si="157"/>
        <v>2.2050000000000001</v>
      </c>
    </row>
    <row r="705" spans="1:9" ht="13" x14ac:dyDescent="0.15">
      <c r="A705" s="10">
        <v>3</v>
      </c>
      <c r="B705" s="25" t="s">
        <v>850</v>
      </c>
      <c r="C705" s="25">
        <v>0.5</v>
      </c>
      <c r="D705" s="5" t="s">
        <v>183</v>
      </c>
      <c r="E705" s="5">
        <f>'Master Price list'!G152</f>
        <v>4.0999999999999996</v>
      </c>
      <c r="F705" s="5">
        <f t="shared" si="155"/>
        <v>2.0499999999999998</v>
      </c>
      <c r="G705" s="25">
        <v>0</v>
      </c>
      <c r="H705" s="5">
        <f t="shared" si="156"/>
        <v>0</v>
      </c>
      <c r="I705" s="5">
        <f t="shared" si="157"/>
        <v>2.0499999999999998</v>
      </c>
    </row>
    <row r="706" spans="1:9" ht="13" x14ac:dyDescent="0.15">
      <c r="A706" s="10">
        <v>4</v>
      </c>
      <c r="B706" s="25" t="s">
        <v>310</v>
      </c>
      <c r="C706" s="25">
        <v>5.0000000000000001E-3</v>
      </c>
      <c r="D706" s="5" t="s">
        <v>183</v>
      </c>
      <c r="E706" s="5">
        <f>'Master Price list'!G52</f>
        <v>28</v>
      </c>
      <c r="F706" s="5">
        <f t="shared" si="155"/>
        <v>0.14000000000000001</v>
      </c>
      <c r="G706" s="25">
        <v>0</v>
      </c>
      <c r="H706" s="5">
        <f t="shared" si="156"/>
        <v>0</v>
      </c>
      <c r="I706" s="5">
        <f t="shared" si="157"/>
        <v>0.14000000000000001</v>
      </c>
    </row>
    <row r="707" spans="1:9" ht="13" x14ac:dyDescent="0.15">
      <c r="A707" s="10">
        <v>5</v>
      </c>
      <c r="B707" s="25" t="s">
        <v>896</v>
      </c>
      <c r="C707" s="25">
        <v>1.4999999999999999E-2</v>
      </c>
      <c r="D707" s="5" t="s">
        <v>183</v>
      </c>
      <c r="E707" s="5">
        <f>'Master Price list'!G41</f>
        <v>56</v>
      </c>
      <c r="F707" s="5">
        <f t="shared" si="155"/>
        <v>0.84</v>
      </c>
      <c r="G707" s="25">
        <v>0</v>
      </c>
      <c r="H707" s="5">
        <f t="shared" si="156"/>
        <v>0</v>
      </c>
      <c r="I707" s="5">
        <f t="shared" si="157"/>
        <v>0.84</v>
      </c>
    </row>
    <row r="708" spans="1:9" ht="13" x14ac:dyDescent="0.15">
      <c r="A708" s="10">
        <v>6</v>
      </c>
      <c r="B708" s="25" t="s">
        <v>782</v>
      </c>
      <c r="C708" s="25">
        <v>0.01</v>
      </c>
      <c r="D708" s="5" t="s">
        <v>183</v>
      </c>
      <c r="E708" s="5">
        <f>'Master Price list'!G62</f>
        <v>4.4444444444444446</v>
      </c>
      <c r="F708" s="5">
        <f t="shared" si="155"/>
        <v>4.4444444444444446E-2</v>
      </c>
      <c r="G708" s="25">
        <v>0</v>
      </c>
      <c r="H708" s="5">
        <f t="shared" si="156"/>
        <v>0</v>
      </c>
      <c r="I708" s="5">
        <f t="shared" si="157"/>
        <v>4.4444444444444446E-2</v>
      </c>
    </row>
    <row r="709" spans="1:9" ht="13" x14ac:dyDescent="0.15">
      <c r="A709" s="10">
        <v>7</v>
      </c>
      <c r="B709" s="25" t="s">
        <v>433</v>
      </c>
      <c r="C709" s="25">
        <v>5.0000000000000001E-3</v>
      </c>
      <c r="D709" s="5" t="s">
        <v>183</v>
      </c>
      <c r="E709" s="5">
        <f>'Master Price list'!G97</f>
        <v>13.5</v>
      </c>
      <c r="F709" s="5">
        <f t="shared" si="155"/>
        <v>6.7500000000000004E-2</v>
      </c>
      <c r="G709" s="25">
        <v>0</v>
      </c>
      <c r="H709" s="5">
        <f t="shared" si="156"/>
        <v>0</v>
      </c>
      <c r="I709" s="5">
        <f t="shared" si="157"/>
        <v>6.7500000000000004E-2</v>
      </c>
    </row>
    <row r="710" spans="1:9" ht="13" x14ac:dyDescent="0.15">
      <c r="A710" s="10">
        <v>8</v>
      </c>
      <c r="B710" s="25" t="s">
        <v>462</v>
      </c>
      <c r="C710" s="25">
        <v>0.12</v>
      </c>
      <c r="D710" s="5" t="s">
        <v>183</v>
      </c>
      <c r="E710" s="5">
        <f>'Master Price list'!G107</f>
        <v>6.4</v>
      </c>
      <c r="F710" s="5">
        <f t="shared" si="155"/>
        <v>0.76800000000000002</v>
      </c>
      <c r="G710" s="25">
        <v>0</v>
      </c>
      <c r="H710" s="5">
        <f t="shared" si="156"/>
        <v>0</v>
      </c>
      <c r="I710" s="5">
        <f t="shared" si="157"/>
        <v>0.76800000000000002</v>
      </c>
    </row>
    <row r="711" spans="1:9" ht="13" x14ac:dyDescent="0.15">
      <c r="A711" s="10">
        <v>9</v>
      </c>
      <c r="B711" s="25" t="s">
        <v>448</v>
      </c>
      <c r="C711" s="25">
        <v>0.03</v>
      </c>
      <c r="D711" s="5" t="s">
        <v>183</v>
      </c>
      <c r="E711" s="5">
        <f>'Master Price list'!G102</f>
        <v>2.1428571428571428</v>
      </c>
      <c r="F711" s="5">
        <f t="shared" si="155"/>
        <v>6.4285714285714279E-2</v>
      </c>
      <c r="G711" s="25">
        <v>0</v>
      </c>
      <c r="H711" s="5">
        <f t="shared" si="156"/>
        <v>0</v>
      </c>
      <c r="I711" s="5">
        <f t="shared" si="157"/>
        <v>6.4285714285714279E-2</v>
      </c>
    </row>
    <row r="712" spans="1:9" ht="13" x14ac:dyDescent="0.15">
      <c r="A712" s="10">
        <v>10</v>
      </c>
      <c r="B712" s="25" t="s">
        <v>816</v>
      </c>
      <c r="C712" s="25">
        <v>1.4999999999999999E-2</v>
      </c>
      <c r="D712" s="5" t="s">
        <v>183</v>
      </c>
      <c r="E712" s="5">
        <f>'Master Price list'!G178</f>
        <v>11</v>
      </c>
      <c r="F712" s="5">
        <f t="shared" si="155"/>
        <v>0.16499999999999998</v>
      </c>
      <c r="G712" s="25">
        <v>5</v>
      </c>
      <c r="H712" s="5">
        <f t="shared" si="156"/>
        <v>8.2499999999999987E-3</v>
      </c>
      <c r="I712" s="5">
        <f t="shared" si="157"/>
        <v>0.17324999999999999</v>
      </c>
    </row>
    <row r="713" spans="1:9" ht="13" x14ac:dyDescent="0.15">
      <c r="G713" s="170" t="s">
        <v>777</v>
      </c>
      <c r="H713" s="171"/>
      <c r="I713" s="29">
        <f>SUM(I703:I712)</f>
        <v>16.432480158730158</v>
      </c>
    </row>
    <row r="714" spans="1:9" ht="13" x14ac:dyDescent="0.15">
      <c r="G714" s="170" t="s">
        <v>836</v>
      </c>
      <c r="H714" s="171"/>
      <c r="I714" s="29">
        <f>I713/I700</f>
        <v>5.4774933862433857</v>
      </c>
    </row>
    <row r="715" spans="1:9" ht="13" x14ac:dyDescent="0.15">
      <c r="G715" s="30"/>
      <c r="H715" s="30"/>
    </row>
    <row r="716" spans="1:9" ht="13" x14ac:dyDescent="0.15">
      <c r="G716" s="30"/>
      <c r="H716" s="30"/>
    </row>
    <row r="717" spans="1:9" ht="13" x14ac:dyDescent="0.15">
      <c r="A717" s="172" t="s">
        <v>762</v>
      </c>
      <c r="B717" s="173"/>
      <c r="C717" s="171"/>
      <c r="G717" s="172" t="s">
        <v>772</v>
      </c>
      <c r="H717" s="171"/>
      <c r="I717" s="28">
        <v>1</v>
      </c>
    </row>
    <row r="718" spans="1:9" ht="13" x14ac:dyDescent="0.15">
      <c r="A718" s="168" t="s">
        <v>773</v>
      </c>
      <c r="B718" s="168" t="s">
        <v>774</v>
      </c>
      <c r="C718" s="168" t="s">
        <v>775</v>
      </c>
      <c r="D718" s="168" t="s">
        <v>719</v>
      </c>
      <c r="E718" s="168" t="s">
        <v>776</v>
      </c>
      <c r="F718" s="168" t="s">
        <v>777</v>
      </c>
      <c r="G718" s="168" t="s">
        <v>778</v>
      </c>
      <c r="H718" s="168" t="s">
        <v>779</v>
      </c>
      <c r="I718" s="168" t="s">
        <v>780</v>
      </c>
    </row>
    <row r="719" spans="1:9" ht="13" x14ac:dyDescent="0.15">
      <c r="A719" s="169"/>
      <c r="B719" s="169"/>
      <c r="C719" s="169"/>
      <c r="D719" s="169"/>
      <c r="E719" s="169"/>
      <c r="F719" s="169"/>
      <c r="G719" s="169"/>
      <c r="H719" s="169"/>
      <c r="I719" s="169"/>
    </row>
    <row r="720" spans="1:9" ht="13" x14ac:dyDescent="0.15">
      <c r="A720" s="10">
        <v>1</v>
      </c>
      <c r="B720" s="25" t="s">
        <v>850</v>
      </c>
      <c r="C720" s="25">
        <v>0.09</v>
      </c>
      <c r="D720" s="5" t="s">
        <v>183</v>
      </c>
      <c r="E720" s="5">
        <f>E705</f>
        <v>4.0999999999999996</v>
      </c>
      <c r="F720" s="5">
        <f t="shared" ref="F720:F722" si="158">E720*C720</f>
        <v>0.36899999999999994</v>
      </c>
      <c r="G720" s="25">
        <v>0</v>
      </c>
      <c r="H720" s="5">
        <f t="shared" ref="H720:H722" si="159">F720/100*G720</f>
        <v>0</v>
      </c>
      <c r="I720" s="5">
        <f t="shared" ref="I720:I722" si="160">H720+F720</f>
        <v>0.36899999999999994</v>
      </c>
    </row>
    <row r="721" spans="1:9" ht="13" x14ac:dyDescent="0.15">
      <c r="A721" s="10">
        <v>2</v>
      </c>
      <c r="B721" s="25" t="s">
        <v>580</v>
      </c>
      <c r="C721" s="25">
        <v>0.03</v>
      </c>
      <c r="D721" s="5" t="s">
        <v>183</v>
      </c>
      <c r="E721" s="5">
        <f>'Master Price list'!G154</f>
        <v>31</v>
      </c>
      <c r="F721" s="5">
        <f t="shared" si="158"/>
        <v>0.92999999999999994</v>
      </c>
      <c r="G721" s="25">
        <v>0</v>
      </c>
      <c r="H721" s="5">
        <f t="shared" si="159"/>
        <v>0</v>
      </c>
      <c r="I721" s="5">
        <f t="shared" si="160"/>
        <v>0.92999999999999994</v>
      </c>
    </row>
    <row r="722" spans="1:9" ht="13" x14ac:dyDescent="0.15">
      <c r="A722" s="10">
        <v>3</v>
      </c>
      <c r="B722" s="25" t="s">
        <v>872</v>
      </c>
      <c r="C722" s="25">
        <v>0.1</v>
      </c>
      <c r="D722" s="5" t="s">
        <v>183</v>
      </c>
      <c r="E722" s="5">
        <f>'Master Price list'!G147</f>
        <v>11.333333333333334</v>
      </c>
      <c r="F722" s="5">
        <f t="shared" si="158"/>
        <v>1.1333333333333335</v>
      </c>
      <c r="G722" s="25">
        <v>0</v>
      </c>
      <c r="H722" s="5">
        <f t="shared" si="159"/>
        <v>0</v>
      </c>
      <c r="I722" s="5">
        <f t="shared" si="160"/>
        <v>1.1333333333333335</v>
      </c>
    </row>
    <row r="723" spans="1:9" ht="13" x14ac:dyDescent="0.15">
      <c r="G723" s="170" t="s">
        <v>777</v>
      </c>
      <c r="H723" s="171"/>
      <c r="I723" s="29">
        <f>SUM(I720:I722)</f>
        <v>2.4323333333333332</v>
      </c>
    </row>
    <row r="724" spans="1:9" ht="13" x14ac:dyDescent="0.15">
      <c r="G724" s="170" t="s">
        <v>836</v>
      </c>
      <c r="H724" s="171"/>
      <c r="I724" s="29">
        <f>I723/200*1000</f>
        <v>12.161666666666665</v>
      </c>
    </row>
    <row r="725" spans="1:9" ht="13" x14ac:dyDescent="0.15">
      <c r="G725" s="30"/>
      <c r="H725" s="30"/>
    </row>
    <row r="726" spans="1:9" ht="13" x14ac:dyDescent="0.15">
      <c r="G726" s="30"/>
      <c r="H726" s="30"/>
    </row>
    <row r="727" spans="1:9" ht="13" x14ac:dyDescent="0.15">
      <c r="A727" s="172" t="s">
        <v>763</v>
      </c>
      <c r="B727" s="173"/>
      <c r="C727" s="171"/>
      <c r="G727" s="172" t="s">
        <v>772</v>
      </c>
      <c r="H727" s="171"/>
      <c r="I727" s="28">
        <v>2</v>
      </c>
    </row>
    <row r="728" spans="1:9" ht="13" x14ac:dyDescent="0.15">
      <c r="A728" s="168" t="s">
        <v>773</v>
      </c>
      <c r="B728" s="168" t="s">
        <v>774</v>
      </c>
      <c r="C728" s="168" t="s">
        <v>775</v>
      </c>
      <c r="D728" s="168" t="s">
        <v>719</v>
      </c>
      <c r="E728" s="168" t="s">
        <v>776</v>
      </c>
      <c r="F728" s="168" t="s">
        <v>777</v>
      </c>
      <c r="G728" s="168" t="s">
        <v>778</v>
      </c>
      <c r="H728" s="168" t="s">
        <v>779</v>
      </c>
      <c r="I728" s="168" t="s">
        <v>780</v>
      </c>
    </row>
    <row r="729" spans="1:9" ht="13" x14ac:dyDescent="0.15">
      <c r="A729" s="169"/>
      <c r="B729" s="169"/>
      <c r="C729" s="169"/>
      <c r="D729" s="169"/>
      <c r="E729" s="169"/>
      <c r="F729" s="169"/>
      <c r="G729" s="169"/>
      <c r="H729" s="169"/>
      <c r="I729" s="169"/>
    </row>
    <row r="730" spans="1:9" ht="13" x14ac:dyDescent="0.15">
      <c r="A730" s="10">
        <v>1</v>
      </c>
      <c r="B730" s="25" t="s">
        <v>388</v>
      </c>
      <c r="C730" s="25">
        <v>1</v>
      </c>
      <c r="D730" s="5" t="s">
        <v>183</v>
      </c>
      <c r="E730" s="5">
        <f>'Master Price list'!G79</f>
        <v>12</v>
      </c>
      <c r="F730" s="5">
        <f t="shared" ref="F730:F736" si="161">E730*C730</f>
        <v>12</v>
      </c>
      <c r="G730" s="25">
        <v>0</v>
      </c>
      <c r="H730" s="5">
        <f t="shared" ref="H730:H736" si="162">F730/100*G730</f>
        <v>0</v>
      </c>
      <c r="I730" s="5">
        <f t="shared" ref="I730:I736" si="163">H730+F730</f>
        <v>12</v>
      </c>
    </row>
    <row r="731" spans="1:9" ht="13" x14ac:dyDescent="0.15">
      <c r="A731" s="10">
        <v>2</v>
      </c>
      <c r="B731" s="25" t="s">
        <v>310</v>
      </c>
      <c r="C731" s="25">
        <v>0.03</v>
      </c>
      <c r="D731" s="5" t="s">
        <v>183</v>
      </c>
      <c r="E731" s="5">
        <f>'Master Price list'!G52</f>
        <v>28</v>
      </c>
      <c r="F731" s="5">
        <f t="shared" si="161"/>
        <v>0.84</v>
      </c>
      <c r="G731" s="25">
        <v>5</v>
      </c>
      <c r="H731" s="5">
        <f t="shared" si="162"/>
        <v>4.1999999999999996E-2</v>
      </c>
      <c r="I731" s="5">
        <f t="shared" si="163"/>
        <v>0.88200000000000001</v>
      </c>
    </row>
    <row r="732" spans="1:9" ht="13" x14ac:dyDescent="0.15">
      <c r="A732" s="10">
        <v>3</v>
      </c>
      <c r="B732" s="25" t="s">
        <v>340</v>
      </c>
      <c r="C732" s="25">
        <v>0.03</v>
      </c>
      <c r="D732" s="5" t="s">
        <v>183</v>
      </c>
      <c r="E732" s="5">
        <f>'Master Price list'!G64</f>
        <v>28</v>
      </c>
      <c r="F732" s="5">
        <f t="shared" si="161"/>
        <v>0.84</v>
      </c>
      <c r="G732" s="25">
        <v>0</v>
      </c>
      <c r="H732" s="5">
        <f t="shared" si="162"/>
        <v>0</v>
      </c>
      <c r="I732" s="5">
        <f t="shared" si="163"/>
        <v>0.84</v>
      </c>
    </row>
    <row r="733" spans="1:9" ht="13" x14ac:dyDescent="0.15">
      <c r="A733" s="10">
        <v>4</v>
      </c>
      <c r="B733" s="25" t="s">
        <v>796</v>
      </c>
      <c r="C733" s="25">
        <v>0.3</v>
      </c>
      <c r="D733" s="5" t="s">
        <v>183</v>
      </c>
      <c r="E733" s="5">
        <f>'Master Price list'!G21</f>
        <v>39.200000000000003</v>
      </c>
      <c r="F733" s="5">
        <f t="shared" si="161"/>
        <v>11.76</v>
      </c>
      <c r="G733" s="25">
        <v>0</v>
      </c>
      <c r="H733" s="5">
        <f t="shared" si="162"/>
        <v>0</v>
      </c>
      <c r="I733" s="5">
        <f t="shared" si="163"/>
        <v>11.76</v>
      </c>
    </row>
    <row r="734" spans="1:9" ht="13" x14ac:dyDescent="0.15">
      <c r="A734" s="10">
        <v>5</v>
      </c>
      <c r="B734" s="25" t="s">
        <v>462</v>
      </c>
      <c r="C734" s="25">
        <v>1.4999999999999999E-2</v>
      </c>
      <c r="D734" s="5" t="s">
        <v>183</v>
      </c>
      <c r="E734" s="5">
        <f>'Master Price list'!G107</f>
        <v>6.4</v>
      </c>
      <c r="F734" s="5">
        <f t="shared" si="161"/>
        <v>9.6000000000000002E-2</v>
      </c>
      <c r="G734" s="25">
        <v>0</v>
      </c>
      <c r="H734" s="5">
        <f t="shared" si="162"/>
        <v>0</v>
      </c>
      <c r="I734" s="5">
        <f t="shared" si="163"/>
        <v>9.6000000000000002E-2</v>
      </c>
    </row>
    <row r="735" spans="1:9" ht="13" x14ac:dyDescent="0.15">
      <c r="A735" s="10">
        <v>6</v>
      </c>
      <c r="B735" s="25" t="s">
        <v>852</v>
      </c>
      <c r="C735" s="25">
        <v>0.1</v>
      </c>
      <c r="D735" s="5" t="s">
        <v>183</v>
      </c>
      <c r="E735" s="5">
        <f>'Master Price list'!G74</f>
        <v>18.95</v>
      </c>
      <c r="F735" s="5">
        <f t="shared" si="161"/>
        <v>1.895</v>
      </c>
      <c r="G735" s="25">
        <v>0</v>
      </c>
      <c r="H735" s="5">
        <f t="shared" si="162"/>
        <v>0</v>
      </c>
      <c r="I735" s="5">
        <f t="shared" si="163"/>
        <v>1.895</v>
      </c>
    </row>
    <row r="736" spans="1:9" ht="13" x14ac:dyDescent="0.15">
      <c r="A736" s="10">
        <v>7</v>
      </c>
      <c r="B736" s="25" t="s">
        <v>897</v>
      </c>
      <c r="C736" s="25">
        <v>0.3</v>
      </c>
      <c r="D736" s="5" t="s">
        <v>183</v>
      </c>
      <c r="E736" s="5">
        <f>E704</f>
        <v>3.5</v>
      </c>
      <c r="F736" s="5">
        <f t="shared" si="161"/>
        <v>1.05</v>
      </c>
      <c r="G736" s="25">
        <v>10</v>
      </c>
      <c r="H736" s="5">
        <f t="shared" si="162"/>
        <v>0.10500000000000001</v>
      </c>
      <c r="I736" s="5">
        <f t="shared" si="163"/>
        <v>1.155</v>
      </c>
    </row>
    <row r="737" spans="1:9" ht="13" x14ac:dyDescent="0.15">
      <c r="G737" s="170" t="s">
        <v>777</v>
      </c>
      <c r="H737" s="171"/>
      <c r="I737" s="29">
        <f>SUM(I730:I736)</f>
        <v>28.628</v>
      </c>
    </row>
    <row r="738" spans="1:9" ht="13" x14ac:dyDescent="0.15">
      <c r="G738" s="170" t="s">
        <v>836</v>
      </c>
      <c r="H738" s="171"/>
      <c r="I738" s="29">
        <f>I737/I727</f>
        <v>14.314</v>
      </c>
    </row>
    <row r="739" spans="1:9" ht="13" x14ac:dyDescent="0.15">
      <c r="G739" s="30"/>
      <c r="H739" s="30"/>
    </row>
    <row r="740" spans="1:9" ht="13" x14ac:dyDescent="0.15">
      <c r="G740" s="30"/>
      <c r="H740" s="30"/>
    </row>
    <row r="741" spans="1:9" ht="13" x14ac:dyDescent="0.15">
      <c r="A741" s="172" t="s">
        <v>898</v>
      </c>
      <c r="B741" s="173"/>
      <c r="C741" s="171"/>
      <c r="G741" s="172" t="s">
        <v>772</v>
      </c>
      <c r="H741" s="171"/>
      <c r="I741" s="28">
        <v>1</v>
      </c>
    </row>
    <row r="742" spans="1:9" ht="13" x14ac:dyDescent="0.15">
      <c r="A742" s="168" t="s">
        <v>773</v>
      </c>
      <c r="B742" s="168" t="s">
        <v>774</v>
      </c>
      <c r="C742" s="168" t="s">
        <v>775</v>
      </c>
      <c r="D742" s="168" t="s">
        <v>719</v>
      </c>
      <c r="E742" s="168" t="s">
        <v>776</v>
      </c>
      <c r="F742" s="168" t="s">
        <v>777</v>
      </c>
      <c r="G742" s="168" t="s">
        <v>778</v>
      </c>
      <c r="H742" s="168" t="s">
        <v>779</v>
      </c>
      <c r="I742" s="168" t="s">
        <v>780</v>
      </c>
    </row>
    <row r="743" spans="1:9" ht="13" x14ac:dyDescent="0.15">
      <c r="A743" s="169"/>
      <c r="B743" s="169"/>
      <c r="C743" s="169"/>
      <c r="D743" s="169"/>
      <c r="E743" s="169"/>
      <c r="F743" s="169"/>
      <c r="G743" s="169"/>
      <c r="H743" s="169"/>
      <c r="I743" s="169"/>
    </row>
    <row r="744" spans="1:9" ht="13" x14ac:dyDescent="0.15">
      <c r="A744" s="10">
        <v>1</v>
      </c>
      <c r="B744" s="25" t="s">
        <v>872</v>
      </c>
      <c r="C744" s="25">
        <v>0.25</v>
      </c>
      <c r="D744" s="5" t="s">
        <v>183</v>
      </c>
      <c r="E744" s="5">
        <f>'Master Price list'!G147</f>
        <v>11.333333333333334</v>
      </c>
      <c r="F744" s="5">
        <f t="shared" ref="F744:F747" si="164">E744*C744</f>
        <v>2.8333333333333335</v>
      </c>
      <c r="G744" s="25">
        <v>0</v>
      </c>
      <c r="H744" s="5">
        <f t="shared" ref="H744:H747" si="165">F744/100*G744</f>
        <v>0</v>
      </c>
      <c r="I744" s="5">
        <f t="shared" ref="I744:I747" si="166">H744+F744</f>
        <v>2.8333333333333335</v>
      </c>
    </row>
    <row r="745" spans="1:9" ht="13" x14ac:dyDescent="0.15">
      <c r="A745" s="10">
        <v>2</v>
      </c>
      <c r="B745" s="25" t="s">
        <v>256</v>
      </c>
      <c r="C745" s="25">
        <v>0.06</v>
      </c>
      <c r="D745" s="5" t="s">
        <v>183</v>
      </c>
      <c r="E745" s="5">
        <f>'Master Price list'!G29</f>
        <v>85</v>
      </c>
      <c r="F745" s="5">
        <f t="shared" si="164"/>
        <v>5.0999999999999996</v>
      </c>
      <c r="G745" s="25">
        <v>0</v>
      </c>
      <c r="H745" s="5">
        <f t="shared" si="165"/>
        <v>0</v>
      </c>
      <c r="I745" s="5">
        <f t="shared" si="166"/>
        <v>5.0999999999999996</v>
      </c>
    </row>
    <row r="746" spans="1:9" ht="13" x14ac:dyDescent="0.15">
      <c r="A746" s="10">
        <v>3</v>
      </c>
      <c r="B746" s="25" t="s">
        <v>556</v>
      </c>
      <c r="C746" s="25">
        <v>4.4999999999999998E-2</v>
      </c>
      <c r="D746" s="5" t="s">
        <v>183</v>
      </c>
      <c r="E746" s="5">
        <f>'Master Price list'!G146</f>
        <v>15.8</v>
      </c>
      <c r="F746" s="5">
        <f t="shared" si="164"/>
        <v>0.71099999999999997</v>
      </c>
      <c r="G746" s="25">
        <v>0</v>
      </c>
      <c r="H746" s="5">
        <f t="shared" si="165"/>
        <v>0</v>
      </c>
      <c r="I746" s="5">
        <f t="shared" si="166"/>
        <v>0.71099999999999997</v>
      </c>
    </row>
    <row r="747" spans="1:9" ht="13" x14ac:dyDescent="0.15">
      <c r="A747" s="10">
        <v>4</v>
      </c>
      <c r="B747" s="25" t="s">
        <v>846</v>
      </c>
      <c r="C747" s="25">
        <v>0.01</v>
      </c>
      <c r="D747" s="5" t="s">
        <v>183</v>
      </c>
      <c r="E747" s="5">
        <f>'Master Price list'!G187</f>
        <v>8.8000000000000007</v>
      </c>
      <c r="F747" s="5">
        <f t="shared" si="164"/>
        <v>8.8000000000000009E-2</v>
      </c>
      <c r="G747" s="25">
        <v>20</v>
      </c>
      <c r="H747" s="5">
        <f t="shared" si="165"/>
        <v>1.7600000000000005E-2</v>
      </c>
      <c r="I747" s="5">
        <f t="shared" si="166"/>
        <v>0.10560000000000001</v>
      </c>
    </row>
    <row r="748" spans="1:9" ht="13" x14ac:dyDescent="0.15">
      <c r="G748" s="170" t="s">
        <v>777</v>
      </c>
      <c r="H748" s="171"/>
      <c r="I748" s="29">
        <f>SUM(I744:I747)</f>
        <v>8.7499333333333347</v>
      </c>
    </row>
    <row r="749" spans="1:9" ht="13" x14ac:dyDescent="0.15">
      <c r="G749" s="170" t="s">
        <v>836</v>
      </c>
      <c r="H749" s="171"/>
      <c r="I749" s="29">
        <f>I748/350*1000</f>
        <v>24.999809523809528</v>
      </c>
    </row>
    <row r="750" spans="1:9" ht="13" x14ac:dyDescent="0.15">
      <c r="G750" s="30"/>
      <c r="H750" s="30"/>
    </row>
    <row r="751" spans="1:9" ht="13" x14ac:dyDescent="0.15">
      <c r="G751" s="30"/>
      <c r="H751" s="30"/>
    </row>
    <row r="752" spans="1:9" ht="13" x14ac:dyDescent="0.15">
      <c r="A752" s="175" t="s">
        <v>899</v>
      </c>
      <c r="B752" s="173"/>
      <c r="C752" s="171"/>
      <c r="G752" s="172" t="s">
        <v>772</v>
      </c>
      <c r="H752" s="171"/>
      <c r="I752" s="28">
        <v>1</v>
      </c>
    </row>
    <row r="753" spans="1:9" ht="13" x14ac:dyDescent="0.15">
      <c r="A753" s="168" t="s">
        <v>773</v>
      </c>
      <c r="B753" s="168" t="s">
        <v>774</v>
      </c>
      <c r="C753" s="168" t="s">
        <v>775</v>
      </c>
      <c r="D753" s="168" t="s">
        <v>719</v>
      </c>
      <c r="E753" s="168" t="s">
        <v>776</v>
      </c>
      <c r="F753" s="168" t="s">
        <v>777</v>
      </c>
      <c r="G753" s="168" t="s">
        <v>778</v>
      </c>
      <c r="H753" s="168" t="s">
        <v>779</v>
      </c>
      <c r="I753" s="168" t="s">
        <v>780</v>
      </c>
    </row>
    <row r="754" spans="1:9" ht="13" x14ac:dyDescent="0.15">
      <c r="A754" s="169"/>
      <c r="B754" s="169"/>
      <c r="C754" s="169"/>
      <c r="D754" s="169"/>
      <c r="E754" s="169"/>
      <c r="F754" s="169"/>
      <c r="G754" s="169"/>
      <c r="H754" s="169"/>
      <c r="I754" s="169"/>
    </row>
    <row r="755" spans="1:9" ht="13" x14ac:dyDescent="0.15">
      <c r="A755" s="10">
        <v>1</v>
      </c>
      <c r="B755" s="25" t="s">
        <v>791</v>
      </c>
      <c r="C755" s="25"/>
      <c r="D755" s="5" t="s">
        <v>350</v>
      </c>
      <c r="E755" s="5">
        <v>0.35</v>
      </c>
      <c r="F755" s="5">
        <f t="shared" ref="F755:F758" si="167">E755*C755</f>
        <v>0</v>
      </c>
      <c r="G755" s="25">
        <v>0</v>
      </c>
      <c r="H755" s="5">
        <f t="shared" ref="H755:H758" si="168">F755/100*G755</f>
        <v>0</v>
      </c>
      <c r="I755" s="5">
        <f t="shared" ref="I755:I758" si="169">H755+F755</f>
        <v>0</v>
      </c>
    </row>
    <row r="756" spans="1:9" ht="13" x14ac:dyDescent="0.15">
      <c r="A756" s="10">
        <v>2</v>
      </c>
      <c r="B756" s="25" t="s">
        <v>548</v>
      </c>
      <c r="C756" s="25"/>
      <c r="D756" s="5"/>
      <c r="E756" s="5">
        <v>8.5000000000000006E-3</v>
      </c>
      <c r="F756" s="5">
        <f t="shared" si="167"/>
        <v>0</v>
      </c>
      <c r="G756" s="25">
        <v>5</v>
      </c>
      <c r="H756" s="5">
        <f t="shared" si="168"/>
        <v>0</v>
      </c>
      <c r="I756" s="5">
        <f t="shared" si="169"/>
        <v>0</v>
      </c>
    </row>
    <row r="757" spans="1:9" ht="13" x14ac:dyDescent="0.15">
      <c r="A757" s="10">
        <v>3</v>
      </c>
      <c r="B757" s="25" t="s">
        <v>718</v>
      </c>
      <c r="C757" s="25"/>
      <c r="D757" s="5"/>
      <c r="E757" s="5">
        <v>7.0000000000000001E-3</v>
      </c>
      <c r="F757" s="5">
        <f t="shared" si="167"/>
        <v>0</v>
      </c>
      <c r="G757" s="25">
        <v>0</v>
      </c>
      <c r="H757" s="5">
        <f t="shared" si="168"/>
        <v>0</v>
      </c>
      <c r="I757" s="5">
        <f t="shared" si="169"/>
        <v>0</v>
      </c>
    </row>
    <row r="758" spans="1:9" ht="13" x14ac:dyDescent="0.15">
      <c r="A758" s="10">
        <v>4</v>
      </c>
      <c r="B758" s="25" t="s">
        <v>834</v>
      </c>
      <c r="C758" s="25"/>
      <c r="D758" s="5"/>
      <c r="E758" s="5">
        <v>5.0000000000000001E-3</v>
      </c>
      <c r="F758" s="5">
        <f t="shared" si="167"/>
        <v>0</v>
      </c>
      <c r="G758" s="25">
        <v>0</v>
      </c>
      <c r="H758" s="5">
        <f t="shared" si="168"/>
        <v>0</v>
      </c>
      <c r="I758" s="5">
        <f t="shared" si="169"/>
        <v>0</v>
      </c>
    </row>
    <row r="759" spans="1:9" ht="13" x14ac:dyDescent="0.15">
      <c r="G759" s="170" t="s">
        <v>777</v>
      </c>
      <c r="H759" s="171"/>
      <c r="I759" s="29">
        <f>SUM(I755:I758)</f>
        <v>0</v>
      </c>
    </row>
    <row r="760" spans="1:9" ht="13" x14ac:dyDescent="0.15">
      <c r="G760" s="170" t="s">
        <v>784</v>
      </c>
      <c r="H760" s="171"/>
      <c r="I760" s="29">
        <f>I759/I752</f>
        <v>0</v>
      </c>
    </row>
    <row r="761" spans="1:9" ht="13" x14ac:dyDescent="0.15">
      <c r="G761" s="30"/>
      <c r="H761" s="30"/>
    </row>
    <row r="762" spans="1:9" ht="13" x14ac:dyDescent="0.15">
      <c r="G762" s="30"/>
      <c r="H762" s="30"/>
    </row>
    <row r="763" spans="1:9" ht="13" x14ac:dyDescent="0.15">
      <c r="A763" s="172" t="s">
        <v>765</v>
      </c>
      <c r="B763" s="173"/>
      <c r="C763" s="171"/>
      <c r="G763" s="172" t="s">
        <v>772</v>
      </c>
      <c r="H763" s="171"/>
      <c r="I763" s="28">
        <v>1</v>
      </c>
    </row>
    <row r="764" spans="1:9" ht="13" x14ac:dyDescent="0.15">
      <c r="A764" s="168" t="s">
        <v>773</v>
      </c>
      <c r="B764" s="168" t="s">
        <v>774</v>
      </c>
      <c r="C764" s="168" t="s">
        <v>775</v>
      </c>
      <c r="D764" s="168" t="s">
        <v>719</v>
      </c>
      <c r="E764" s="168" t="s">
        <v>776</v>
      </c>
      <c r="F764" s="168" t="s">
        <v>777</v>
      </c>
      <c r="G764" s="168" t="s">
        <v>778</v>
      </c>
      <c r="H764" s="168" t="s">
        <v>779</v>
      </c>
      <c r="I764" s="168" t="s">
        <v>780</v>
      </c>
    </row>
    <row r="765" spans="1:9" ht="13" x14ac:dyDescent="0.15">
      <c r="A765" s="169"/>
      <c r="B765" s="169"/>
      <c r="C765" s="169"/>
      <c r="D765" s="169"/>
      <c r="E765" s="169"/>
      <c r="F765" s="169"/>
      <c r="G765" s="169"/>
      <c r="H765" s="169"/>
      <c r="I765" s="169"/>
    </row>
    <row r="766" spans="1:9" ht="13" x14ac:dyDescent="0.15">
      <c r="A766" s="10">
        <v>1</v>
      </c>
      <c r="B766" s="25" t="s">
        <v>520</v>
      </c>
      <c r="C766" s="25">
        <v>1</v>
      </c>
      <c r="D766" s="5" t="s">
        <v>183</v>
      </c>
      <c r="E766" s="5">
        <f>'Master Price list'!G130</f>
        <v>21</v>
      </c>
      <c r="F766" s="5">
        <f t="shared" ref="F766:F768" si="170">E766*C766</f>
        <v>21</v>
      </c>
      <c r="G766" s="25">
        <v>50</v>
      </c>
      <c r="H766" s="5">
        <f t="shared" ref="H766:H768" si="171">F766/100*G766</f>
        <v>10.5</v>
      </c>
      <c r="I766" s="5">
        <f t="shared" ref="I766:I768" si="172">H766+F766</f>
        <v>31.5</v>
      </c>
    </row>
    <row r="767" spans="1:9" ht="13" x14ac:dyDescent="0.15">
      <c r="A767" s="10">
        <v>2</v>
      </c>
      <c r="B767" s="25" t="s">
        <v>492</v>
      </c>
      <c r="C767" s="25">
        <v>0.3</v>
      </c>
      <c r="D767" s="5" t="s">
        <v>183</v>
      </c>
      <c r="E767" s="5">
        <f>'Master Price list'!G120</f>
        <v>4.5999999999999996</v>
      </c>
      <c r="F767" s="5">
        <f t="shared" si="170"/>
        <v>1.38</v>
      </c>
      <c r="G767" s="25">
        <v>0</v>
      </c>
      <c r="H767" s="5">
        <f t="shared" si="171"/>
        <v>0</v>
      </c>
      <c r="I767" s="5">
        <f t="shared" si="172"/>
        <v>1.38</v>
      </c>
    </row>
    <row r="768" spans="1:9" ht="13" x14ac:dyDescent="0.15">
      <c r="A768" s="10">
        <v>3</v>
      </c>
      <c r="B768" s="25" t="s">
        <v>718</v>
      </c>
      <c r="C768" s="25">
        <v>7.0000000000000007E-2</v>
      </c>
      <c r="D768" s="5" t="s">
        <v>183</v>
      </c>
      <c r="E768" s="5">
        <f>'Master Price list'!G222</f>
        <v>37.799999999999997</v>
      </c>
      <c r="F768" s="5">
        <f t="shared" si="170"/>
        <v>2.6459999999999999</v>
      </c>
      <c r="G768" s="25">
        <v>0</v>
      </c>
      <c r="H768" s="5">
        <f t="shared" si="171"/>
        <v>0</v>
      </c>
      <c r="I768" s="5">
        <f t="shared" si="172"/>
        <v>2.6459999999999999</v>
      </c>
    </row>
    <row r="769" spans="1:9" ht="13" x14ac:dyDescent="0.15">
      <c r="G769" s="170" t="s">
        <v>777</v>
      </c>
      <c r="H769" s="171"/>
      <c r="I769" s="29">
        <f>SUM(I766:I768)</f>
        <v>35.526000000000003</v>
      </c>
    </row>
    <row r="770" spans="1:9" ht="13" x14ac:dyDescent="0.15">
      <c r="G770" s="170" t="s">
        <v>784</v>
      </c>
      <c r="H770" s="171"/>
      <c r="I770" s="29">
        <f>I769/I763</f>
        <v>35.526000000000003</v>
      </c>
    </row>
    <row r="771" spans="1:9" ht="13" x14ac:dyDescent="0.15">
      <c r="G771" s="30"/>
      <c r="H771" s="30"/>
    </row>
    <row r="772" spans="1:9" ht="13" x14ac:dyDescent="0.15">
      <c r="G772" s="30"/>
      <c r="H772" s="30"/>
    </row>
    <row r="773" spans="1:9" ht="13" x14ac:dyDescent="0.15">
      <c r="A773" s="172" t="s">
        <v>65</v>
      </c>
      <c r="B773" s="173"/>
      <c r="C773" s="171"/>
      <c r="G773" s="172" t="s">
        <v>772</v>
      </c>
      <c r="H773" s="171"/>
      <c r="I773" s="28">
        <v>2</v>
      </c>
    </row>
    <row r="774" spans="1:9" ht="13" x14ac:dyDescent="0.15">
      <c r="A774" s="168" t="s">
        <v>773</v>
      </c>
      <c r="B774" s="168" t="s">
        <v>774</v>
      </c>
      <c r="C774" s="168" t="s">
        <v>775</v>
      </c>
      <c r="D774" s="168" t="s">
        <v>719</v>
      </c>
      <c r="E774" s="168" t="s">
        <v>776</v>
      </c>
      <c r="F774" s="168" t="s">
        <v>777</v>
      </c>
      <c r="G774" s="168" t="s">
        <v>778</v>
      </c>
      <c r="H774" s="168" t="s">
        <v>779</v>
      </c>
      <c r="I774" s="168" t="s">
        <v>780</v>
      </c>
    </row>
    <row r="775" spans="1:9" ht="13" x14ac:dyDescent="0.15">
      <c r="A775" s="169"/>
      <c r="B775" s="169"/>
      <c r="C775" s="169"/>
      <c r="D775" s="169"/>
      <c r="E775" s="169"/>
      <c r="F775" s="169"/>
      <c r="G775" s="169"/>
      <c r="H775" s="169"/>
      <c r="I775" s="169"/>
    </row>
    <row r="776" spans="1:9" ht="13" x14ac:dyDescent="0.15">
      <c r="A776" s="10">
        <v>1</v>
      </c>
      <c r="B776" s="25" t="s">
        <v>868</v>
      </c>
      <c r="C776" s="25">
        <v>1</v>
      </c>
      <c r="D776" s="5" t="s">
        <v>183</v>
      </c>
      <c r="E776" s="5">
        <f>'Master Price list'!G77</f>
        <v>11.25</v>
      </c>
      <c r="F776" s="5">
        <f t="shared" ref="F776:F786" si="173">E776*C776</f>
        <v>11.25</v>
      </c>
      <c r="G776" s="25">
        <v>10</v>
      </c>
      <c r="H776" s="5">
        <f t="shared" ref="H776:H786" si="174">F776/100*G776</f>
        <v>1.125</v>
      </c>
      <c r="I776" s="5">
        <f t="shared" ref="I776:I786" si="175">H776+F776</f>
        <v>12.375</v>
      </c>
    </row>
    <row r="777" spans="1:9" ht="13" x14ac:dyDescent="0.15">
      <c r="A777" s="10">
        <v>2</v>
      </c>
      <c r="B777" s="25" t="s">
        <v>787</v>
      </c>
      <c r="C777" s="25">
        <v>0.1</v>
      </c>
      <c r="D777" s="5" t="s">
        <v>183</v>
      </c>
      <c r="E777" s="5">
        <f>'Master Price list'!G80</f>
        <v>42</v>
      </c>
      <c r="F777" s="5">
        <f t="shared" si="173"/>
        <v>4.2</v>
      </c>
      <c r="G777" s="25">
        <v>0</v>
      </c>
      <c r="H777" s="5">
        <f t="shared" si="174"/>
        <v>0</v>
      </c>
      <c r="I777" s="5">
        <f t="shared" si="175"/>
        <v>4.2</v>
      </c>
    </row>
    <row r="778" spans="1:9" ht="13" x14ac:dyDescent="0.15">
      <c r="A778" s="10">
        <v>3</v>
      </c>
      <c r="B778" s="25" t="s">
        <v>815</v>
      </c>
      <c r="C778" s="25">
        <v>0.5</v>
      </c>
      <c r="D778" s="5" t="s">
        <v>183</v>
      </c>
      <c r="E778" s="5">
        <f>'Master Price list'!G190</f>
        <v>3.5</v>
      </c>
      <c r="F778" s="5">
        <f t="shared" si="173"/>
        <v>1.75</v>
      </c>
      <c r="G778" s="25">
        <v>5</v>
      </c>
      <c r="H778" s="5">
        <f t="shared" si="174"/>
        <v>8.7500000000000008E-2</v>
      </c>
      <c r="I778" s="5">
        <f t="shared" si="175"/>
        <v>1.8374999999999999</v>
      </c>
    </row>
    <row r="779" spans="1:9" ht="13" x14ac:dyDescent="0.15">
      <c r="A779" s="10">
        <v>4</v>
      </c>
      <c r="B779" s="25" t="s">
        <v>900</v>
      </c>
      <c r="C779" s="25">
        <v>1</v>
      </c>
      <c r="D779" s="5" t="s">
        <v>183</v>
      </c>
      <c r="E779" s="5">
        <f>'Master Price list'!G103</f>
        <v>10.8</v>
      </c>
      <c r="F779" s="5">
        <f t="shared" si="173"/>
        <v>10.8</v>
      </c>
      <c r="G779" s="25">
        <v>0</v>
      </c>
      <c r="H779" s="5">
        <f t="shared" si="174"/>
        <v>0</v>
      </c>
      <c r="I779" s="5">
        <f t="shared" si="175"/>
        <v>10.8</v>
      </c>
    </row>
    <row r="780" spans="1:9" ht="13" x14ac:dyDescent="0.15">
      <c r="A780" s="10">
        <v>5</v>
      </c>
      <c r="B780" s="25" t="s">
        <v>556</v>
      </c>
      <c r="C780" s="25">
        <v>0.09</v>
      </c>
      <c r="D780" s="5" t="s">
        <v>183</v>
      </c>
      <c r="E780" s="5">
        <f>'Master Price list'!G146</f>
        <v>15.8</v>
      </c>
      <c r="F780" s="5">
        <f t="shared" si="173"/>
        <v>1.4219999999999999</v>
      </c>
      <c r="G780" s="25">
        <v>0</v>
      </c>
      <c r="H780" s="5">
        <f t="shared" si="174"/>
        <v>0</v>
      </c>
      <c r="I780" s="5">
        <f t="shared" si="175"/>
        <v>1.4219999999999999</v>
      </c>
    </row>
    <row r="781" spans="1:9" ht="13" x14ac:dyDescent="0.15">
      <c r="A781" s="10">
        <v>6</v>
      </c>
      <c r="B781" s="25" t="s">
        <v>439</v>
      </c>
      <c r="C781" s="25">
        <v>0.06</v>
      </c>
      <c r="D781" s="5" t="s">
        <v>183</v>
      </c>
      <c r="E781" s="5">
        <f>'Master Price list'!G99</f>
        <v>16.363636363636363</v>
      </c>
      <c r="F781" s="5">
        <f t="shared" si="173"/>
        <v>0.98181818181818181</v>
      </c>
      <c r="G781" s="25">
        <v>0</v>
      </c>
      <c r="H781" s="5">
        <f t="shared" si="174"/>
        <v>0</v>
      </c>
      <c r="I781" s="5">
        <f t="shared" si="175"/>
        <v>0.98181818181818181</v>
      </c>
    </row>
    <row r="782" spans="1:9" ht="13" x14ac:dyDescent="0.15">
      <c r="A782" s="10">
        <v>7</v>
      </c>
      <c r="B782" s="25" t="s">
        <v>418</v>
      </c>
      <c r="C782" s="25">
        <v>0.11</v>
      </c>
      <c r="D782" s="5" t="s">
        <v>183</v>
      </c>
      <c r="E782" s="5">
        <f>'Master Price list'!G91</f>
        <v>19</v>
      </c>
      <c r="F782" s="5">
        <f t="shared" si="173"/>
        <v>2.09</v>
      </c>
      <c r="G782" s="25">
        <v>0</v>
      </c>
      <c r="H782" s="5">
        <f t="shared" si="174"/>
        <v>0</v>
      </c>
      <c r="I782" s="5">
        <f t="shared" si="175"/>
        <v>2.09</v>
      </c>
    </row>
    <row r="783" spans="1:9" ht="13" x14ac:dyDescent="0.15">
      <c r="A783" s="10">
        <v>8</v>
      </c>
      <c r="B783" s="25" t="s">
        <v>877</v>
      </c>
      <c r="C783" s="25">
        <v>0.05</v>
      </c>
      <c r="D783" s="5" t="s">
        <v>183</v>
      </c>
      <c r="E783" s="5">
        <f>'Master Price list'!G175</f>
        <v>86</v>
      </c>
      <c r="F783" s="5">
        <f t="shared" si="173"/>
        <v>4.3</v>
      </c>
      <c r="G783" s="25">
        <v>10</v>
      </c>
      <c r="H783" s="5">
        <f t="shared" si="174"/>
        <v>0.42999999999999994</v>
      </c>
      <c r="I783" s="5">
        <f t="shared" si="175"/>
        <v>4.7299999999999995</v>
      </c>
    </row>
    <row r="784" spans="1:9" ht="13" x14ac:dyDescent="0.15">
      <c r="A784" s="10">
        <v>9</v>
      </c>
      <c r="B784" s="25" t="s">
        <v>901</v>
      </c>
      <c r="C784" s="25">
        <v>0.05</v>
      </c>
      <c r="D784" s="5" t="s">
        <v>183</v>
      </c>
      <c r="E784" s="5">
        <f>'Master Price list'!G174</f>
        <v>15</v>
      </c>
      <c r="F784" s="5">
        <f t="shared" si="173"/>
        <v>0.75</v>
      </c>
      <c r="G784" s="25">
        <v>20</v>
      </c>
      <c r="H784" s="5">
        <f t="shared" si="174"/>
        <v>0.15</v>
      </c>
      <c r="I784" s="5">
        <f t="shared" si="175"/>
        <v>0.9</v>
      </c>
    </row>
    <row r="785" spans="1:9" ht="13" x14ac:dyDescent="0.15">
      <c r="A785" s="10">
        <v>10</v>
      </c>
      <c r="B785" s="25" t="s">
        <v>782</v>
      </c>
      <c r="C785" s="25">
        <v>5.0000000000000001E-3</v>
      </c>
      <c r="D785" s="5" t="s">
        <v>183</v>
      </c>
      <c r="E785" s="5">
        <f>E708</f>
        <v>4.4444444444444446</v>
      </c>
      <c r="F785" s="5">
        <f t="shared" si="173"/>
        <v>2.2222222222222223E-2</v>
      </c>
      <c r="G785" s="25">
        <v>0</v>
      </c>
      <c r="H785" s="5">
        <f t="shared" si="174"/>
        <v>0</v>
      </c>
      <c r="I785" s="5">
        <f t="shared" si="175"/>
        <v>2.2222222222222223E-2</v>
      </c>
    </row>
    <row r="786" spans="1:9" ht="13" x14ac:dyDescent="0.15">
      <c r="A786" s="10">
        <v>11</v>
      </c>
      <c r="B786" s="25" t="s">
        <v>287</v>
      </c>
      <c r="C786" s="25">
        <v>5.0000000000000001E-3</v>
      </c>
      <c r="D786" s="5" t="s">
        <v>183</v>
      </c>
      <c r="E786" s="5">
        <f>E707</f>
        <v>56</v>
      </c>
      <c r="F786" s="5">
        <f t="shared" si="173"/>
        <v>0.28000000000000003</v>
      </c>
      <c r="G786" s="25">
        <v>0</v>
      </c>
      <c r="H786" s="5">
        <f t="shared" si="174"/>
        <v>0</v>
      </c>
      <c r="I786" s="5">
        <f t="shared" si="175"/>
        <v>0.28000000000000003</v>
      </c>
    </row>
    <row r="787" spans="1:9" ht="13" x14ac:dyDescent="0.15">
      <c r="G787" s="170" t="s">
        <v>777</v>
      </c>
      <c r="H787" s="171"/>
      <c r="I787" s="29">
        <f>SUM(I776:I786)</f>
        <v>39.638540404040398</v>
      </c>
    </row>
    <row r="788" spans="1:9" ht="13" x14ac:dyDescent="0.15">
      <c r="G788" s="170" t="s">
        <v>836</v>
      </c>
      <c r="H788" s="171"/>
      <c r="I788" s="29">
        <f>I787/I773</f>
        <v>19.819270202020199</v>
      </c>
    </row>
    <row r="789" spans="1:9" ht="13" x14ac:dyDescent="0.15">
      <c r="G789" s="30"/>
      <c r="H789" s="30"/>
    </row>
    <row r="790" spans="1:9" ht="13" x14ac:dyDescent="0.15">
      <c r="G790" s="30"/>
      <c r="H790" s="30"/>
    </row>
    <row r="791" spans="1:9" ht="13" x14ac:dyDescent="0.15">
      <c r="A791" s="172" t="s">
        <v>766</v>
      </c>
      <c r="B791" s="173"/>
      <c r="C791" s="171"/>
      <c r="G791" s="172" t="s">
        <v>772</v>
      </c>
      <c r="H791" s="171"/>
      <c r="I791" s="28">
        <v>1</v>
      </c>
    </row>
    <row r="792" spans="1:9" ht="13" x14ac:dyDescent="0.15">
      <c r="A792" s="168" t="s">
        <v>773</v>
      </c>
      <c r="B792" s="168" t="s">
        <v>774</v>
      </c>
      <c r="C792" s="168" t="s">
        <v>775</v>
      </c>
      <c r="D792" s="168" t="s">
        <v>719</v>
      </c>
      <c r="E792" s="168" t="s">
        <v>776</v>
      </c>
      <c r="F792" s="168" t="s">
        <v>777</v>
      </c>
      <c r="G792" s="168" t="s">
        <v>778</v>
      </c>
      <c r="H792" s="168" t="s">
        <v>779</v>
      </c>
      <c r="I792" s="168" t="s">
        <v>780</v>
      </c>
    </row>
    <row r="793" spans="1:9" ht="13" x14ac:dyDescent="0.15">
      <c r="A793" s="169"/>
      <c r="B793" s="169"/>
      <c r="C793" s="169"/>
      <c r="D793" s="169"/>
      <c r="E793" s="169"/>
      <c r="F793" s="169"/>
      <c r="G793" s="169"/>
      <c r="H793" s="169"/>
      <c r="I793" s="169"/>
    </row>
    <row r="794" spans="1:9" ht="13" x14ac:dyDescent="0.15">
      <c r="A794" s="10">
        <v>1</v>
      </c>
      <c r="B794" s="25" t="s">
        <v>588</v>
      </c>
      <c r="C794" s="25">
        <v>0.1</v>
      </c>
      <c r="D794" s="5" t="s">
        <v>183</v>
      </c>
      <c r="E794" s="5">
        <f>'Master Price list'!G158</f>
        <v>5.3</v>
      </c>
      <c r="F794" s="5">
        <f t="shared" ref="F794:F797" si="176">E794*C794</f>
        <v>0.53</v>
      </c>
      <c r="G794" s="25">
        <v>10</v>
      </c>
      <c r="H794" s="5">
        <f t="shared" ref="H794:H797" si="177">F794/100*G794</f>
        <v>5.2999999999999999E-2</v>
      </c>
      <c r="I794" s="5">
        <f t="shared" ref="I794:I797" si="178">H794+F794</f>
        <v>0.58300000000000007</v>
      </c>
    </row>
    <row r="795" spans="1:9" ht="13" x14ac:dyDescent="0.15">
      <c r="A795" s="10">
        <v>2</v>
      </c>
      <c r="B795" s="25" t="s">
        <v>883</v>
      </c>
      <c r="C795" s="25">
        <v>5.0000000000000001E-3</v>
      </c>
      <c r="D795" s="5" t="s">
        <v>183</v>
      </c>
      <c r="E795" s="5">
        <f>'Master Price list'!G21</f>
        <v>39.200000000000003</v>
      </c>
      <c r="F795" s="5">
        <f t="shared" si="176"/>
        <v>0.19600000000000001</v>
      </c>
      <c r="G795" s="25">
        <v>0</v>
      </c>
      <c r="H795" s="5">
        <f t="shared" si="177"/>
        <v>0</v>
      </c>
      <c r="I795" s="5">
        <f t="shared" si="178"/>
        <v>0.19600000000000001</v>
      </c>
    </row>
    <row r="796" spans="1:9" ht="13" x14ac:dyDescent="0.15">
      <c r="A796" s="10">
        <v>3</v>
      </c>
      <c r="B796" s="25" t="s">
        <v>718</v>
      </c>
      <c r="C796" s="25">
        <v>2.5000000000000001E-3</v>
      </c>
      <c r="D796" s="5" t="s">
        <v>183</v>
      </c>
      <c r="E796" s="5">
        <f>'Master Price list'!G222</f>
        <v>37.799999999999997</v>
      </c>
      <c r="F796" s="5">
        <f t="shared" si="176"/>
        <v>9.4500000000000001E-2</v>
      </c>
      <c r="G796" s="25">
        <v>0</v>
      </c>
      <c r="H796" s="5">
        <f t="shared" si="177"/>
        <v>0</v>
      </c>
      <c r="I796" s="5">
        <f t="shared" si="178"/>
        <v>9.4500000000000001E-2</v>
      </c>
    </row>
    <row r="797" spans="1:9" ht="13" x14ac:dyDescent="0.15">
      <c r="A797" s="10">
        <v>4</v>
      </c>
      <c r="B797" s="25" t="s">
        <v>462</v>
      </c>
      <c r="C797" s="25">
        <v>5.0000000000000001E-3</v>
      </c>
      <c r="D797" s="5" t="s">
        <v>183</v>
      </c>
      <c r="E797" s="5">
        <f>'Master Price list'!G107</f>
        <v>6.4</v>
      </c>
      <c r="F797" s="5">
        <f t="shared" si="176"/>
        <v>3.2000000000000001E-2</v>
      </c>
      <c r="G797" s="25">
        <v>0</v>
      </c>
      <c r="H797" s="5">
        <f t="shared" si="177"/>
        <v>0</v>
      </c>
      <c r="I797" s="5">
        <f t="shared" si="178"/>
        <v>3.2000000000000001E-2</v>
      </c>
    </row>
    <row r="798" spans="1:9" ht="13" x14ac:dyDescent="0.15">
      <c r="G798" s="170" t="s">
        <v>777</v>
      </c>
      <c r="H798" s="171"/>
      <c r="I798" s="29">
        <f>SUM(I794:I797)</f>
        <v>0.90550000000000019</v>
      </c>
    </row>
    <row r="799" spans="1:9" ht="13" x14ac:dyDescent="0.15">
      <c r="G799" s="170" t="s">
        <v>788</v>
      </c>
      <c r="H799" s="171"/>
      <c r="I799" s="29">
        <f>I798/I791</f>
        <v>0.90550000000000019</v>
      </c>
    </row>
    <row r="800" spans="1:9" ht="13" x14ac:dyDescent="0.15">
      <c r="G800" s="30"/>
      <c r="H800" s="30"/>
    </row>
    <row r="801" spans="1:9" ht="13" x14ac:dyDescent="0.15">
      <c r="G801" s="30"/>
      <c r="H801" s="30"/>
    </row>
    <row r="802" spans="1:9" ht="13" x14ac:dyDescent="0.15">
      <c r="A802" s="172" t="s">
        <v>767</v>
      </c>
      <c r="B802" s="173"/>
      <c r="C802" s="171"/>
      <c r="G802" s="172" t="s">
        <v>772</v>
      </c>
      <c r="H802" s="171"/>
      <c r="I802" s="28">
        <v>1</v>
      </c>
    </row>
    <row r="803" spans="1:9" ht="13" x14ac:dyDescent="0.15">
      <c r="A803" s="168" t="s">
        <v>773</v>
      </c>
      <c r="B803" s="168" t="s">
        <v>774</v>
      </c>
      <c r="C803" s="168" t="s">
        <v>775</v>
      </c>
      <c r="D803" s="168" t="s">
        <v>719</v>
      </c>
      <c r="E803" s="168" t="s">
        <v>776</v>
      </c>
      <c r="F803" s="168" t="s">
        <v>777</v>
      </c>
      <c r="G803" s="168" t="s">
        <v>778</v>
      </c>
      <c r="H803" s="168" t="s">
        <v>779</v>
      </c>
      <c r="I803" s="168" t="s">
        <v>780</v>
      </c>
    </row>
    <row r="804" spans="1:9" ht="13" x14ac:dyDescent="0.15">
      <c r="A804" s="169"/>
      <c r="B804" s="169"/>
      <c r="C804" s="169"/>
      <c r="D804" s="169"/>
      <c r="E804" s="169"/>
      <c r="F804" s="169"/>
      <c r="G804" s="169"/>
      <c r="H804" s="169"/>
      <c r="I804" s="169"/>
    </row>
    <row r="805" spans="1:9" ht="13" x14ac:dyDescent="0.15">
      <c r="A805" s="10">
        <v>1</v>
      </c>
      <c r="B805" s="25" t="s">
        <v>902</v>
      </c>
      <c r="C805" s="25">
        <v>0.1</v>
      </c>
      <c r="D805" s="5" t="s">
        <v>183</v>
      </c>
      <c r="E805" s="5">
        <f>'Master Price list'!G155</f>
        <v>35</v>
      </c>
      <c r="F805" s="5">
        <f t="shared" ref="F805:F806" si="179">E805*C805</f>
        <v>3.5</v>
      </c>
      <c r="G805" s="25">
        <v>10</v>
      </c>
      <c r="H805" s="5">
        <f t="shared" ref="H805:H806" si="180">F805/100*G805</f>
        <v>0.35000000000000003</v>
      </c>
      <c r="I805" s="5">
        <f t="shared" ref="I805:I806" si="181">H805+F805</f>
        <v>3.85</v>
      </c>
    </row>
    <row r="806" spans="1:9" ht="13" x14ac:dyDescent="0.15">
      <c r="A806" s="10">
        <v>2</v>
      </c>
      <c r="B806" s="25" t="s">
        <v>69</v>
      </c>
      <c r="C806" s="25">
        <v>0.1</v>
      </c>
      <c r="D806" s="5" t="s">
        <v>183</v>
      </c>
      <c r="E806" s="5">
        <f>'Master Price list'!G8</f>
        <v>39.380000000000003</v>
      </c>
      <c r="F806" s="5">
        <f t="shared" si="179"/>
        <v>3.9380000000000006</v>
      </c>
      <c r="G806" s="25">
        <v>0</v>
      </c>
      <c r="H806" s="5">
        <f t="shared" si="180"/>
        <v>0</v>
      </c>
      <c r="I806" s="5">
        <f t="shared" si="181"/>
        <v>3.9380000000000006</v>
      </c>
    </row>
    <row r="807" spans="1:9" ht="13" x14ac:dyDescent="0.15">
      <c r="G807" s="170" t="s">
        <v>777</v>
      </c>
      <c r="H807" s="171"/>
      <c r="I807" s="29">
        <f>SUM(I805:I806)</f>
        <v>7.7880000000000003</v>
      </c>
    </row>
    <row r="808" spans="1:9" ht="13" x14ac:dyDescent="0.15">
      <c r="G808" s="170" t="s">
        <v>788</v>
      </c>
      <c r="H808" s="171"/>
      <c r="I808" s="29">
        <f>I807/I802</f>
        <v>7.7880000000000003</v>
      </c>
    </row>
    <row r="809" spans="1:9" ht="13" x14ac:dyDescent="0.15">
      <c r="G809" s="30"/>
      <c r="H809" s="30"/>
    </row>
    <row r="810" spans="1:9" ht="13" x14ac:dyDescent="0.15">
      <c r="G810" s="30"/>
      <c r="H810" s="30"/>
    </row>
    <row r="811" spans="1:9" ht="13" x14ac:dyDescent="0.15">
      <c r="A811" s="172" t="s">
        <v>903</v>
      </c>
      <c r="B811" s="173"/>
      <c r="C811" s="171"/>
      <c r="G811" s="172" t="s">
        <v>772</v>
      </c>
      <c r="H811" s="171"/>
      <c r="I811" s="28">
        <v>1</v>
      </c>
    </row>
    <row r="812" spans="1:9" ht="13" x14ac:dyDescent="0.15">
      <c r="A812" s="168" t="s">
        <v>773</v>
      </c>
      <c r="B812" s="168" t="s">
        <v>774</v>
      </c>
      <c r="C812" s="168" t="s">
        <v>775</v>
      </c>
      <c r="D812" s="168" t="s">
        <v>719</v>
      </c>
      <c r="E812" s="168" t="s">
        <v>776</v>
      </c>
      <c r="F812" s="168" t="s">
        <v>777</v>
      </c>
      <c r="G812" s="168" t="s">
        <v>778</v>
      </c>
      <c r="H812" s="168" t="s">
        <v>779</v>
      </c>
      <c r="I812" s="168" t="s">
        <v>780</v>
      </c>
    </row>
    <row r="813" spans="1:9" ht="13" x14ac:dyDescent="0.15">
      <c r="A813" s="169"/>
      <c r="B813" s="169"/>
      <c r="C813" s="169"/>
      <c r="D813" s="169"/>
      <c r="E813" s="169"/>
      <c r="F813" s="169"/>
      <c r="G813" s="169"/>
      <c r="H813" s="169"/>
      <c r="I813" s="169"/>
    </row>
    <row r="814" spans="1:9" ht="13" x14ac:dyDescent="0.15">
      <c r="A814" s="10">
        <v>1</v>
      </c>
      <c r="B814" s="25" t="s">
        <v>904</v>
      </c>
      <c r="C814" s="25">
        <v>0.1</v>
      </c>
      <c r="D814" s="5" t="s">
        <v>183</v>
      </c>
      <c r="E814" s="5">
        <f>'Master Price list'!G47</f>
        <v>35</v>
      </c>
      <c r="F814" s="5">
        <f t="shared" ref="F814:F815" si="182">E814*C814</f>
        <v>3.5</v>
      </c>
      <c r="G814" s="25">
        <v>10</v>
      </c>
      <c r="H814" s="5">
        <f t="shared" ref="H814:H815" si="183">F814/100*G814</f>
        <v>0.35000000000000003</v>
      </c>
      <c r="I814" s="5">
        <f t="shared" ref="I814:I815" si="184">H814+F814</f>
        <v>3.85</v>
      </c>
    </row>
    <row r="815" spans="1:9" ht="13" x14ac:dyDescent="0.15">
      <c r="A815" s="10">
        <v>2</v>
      </c>
      <c r="B815" s="25" t="s">
        <v>482</v>
      </c>
      <c r="C815" s="25">
        <v>0.9</v>
      </c>
      <c r="D815" s="5" t="s">
        <v>183</v>
      </c>
      <c r="E815" s="5">
        <f>'Master Price list'!G115</f>
        <v>7.2</v>
      </c>
      <c r="F815" s="5">
        <f t="shared" si="182"/>
        <v>6.48</v>
      </c>
      <c r="G815" s="25">
        <v>0</v>
      </c>
      <c r="H815" s="5">
        <f t="shared" si="183"/>
        <v>0</v>
      </c>
      <c r="I815" s="5">
        <f t="shared" si="184"/>
        <v>6.48</v>
      </c>
    </row>
    <row r="816" spans="1:9" ht="13" x14ac:dyDescent="0.15">
      <c r="G816" s="170" t="s">
        <v>777</v>
      </c>
      <c r="H816" s="171"/>
      <c r="I816" s="29">
        <f>SUM(I814:I815)</f>
        <v>10.33</v>
      </c>
    </row>
    <row r="817" spans="1:9" ht="13" x14ac:dyDescent="0.15">
      <c r="G817" s="170" t="s">
        <v>836</v>
      </c>
      <c r="H817" s="171"/>
      <c r="I817" s="29">
        <f>I816/I811</f>
        <v>10.33</v>
      </c>
    </row>
    <row r="818" spans="1:9" ht="13" x14ac:dyDescent="0.15">
      <c r="G818" s="30"/>
      <c r="H818" s="30"/>
    </row>
    <row r="819" spans="1:9" ht="13" x14ac:dyDescent="0.15">
      <c r="G819" s="30"/>
      <c r="H819" s="30"/>
    </row>
    <row r="820" spans="1:9" ht="13" x14ac:dyDescent="0.15">
      <c r="A820" s="172" t="s">
        <v>769</v>
      </c>
      <c r="B820" s="173"/>
      <c r="C820" s="171"/>
      <c r="G820" s="172" t="s">
        <v>772</v>
      </c>
      <c r="H820" s="171"/>
      <c r="I820" s="28">
        <v>1</v>
      </c>
    </row>
    <row r="821" spans="1:9" ht="13" x14ac:dyDescent="0.15">
      <c r="A821" s="168" t="s">
        <v>773</v>
      </c>
      <c r="B821" s="168" t="s">
        <v>774</v>
      </c>
      <c r="C821" s="168" t="s">
        <v>775</v>
      </c>
      <c r="D821" s="168" t="s">
        <v>719</v>
      </c>
      <c r="E821" s="168" t="s">
        <v>776</v>
      </c>
      <c r="F821" s="168" t="s">
        <v>777</v>
      </c>
      <c r="G821" s="168" t="s">
        <v>778</v>
      </c>
      <c r="H821" s="168" t="s">
        <v>779</v>
      </c>
      <c r="I821" s="168" t="s">
        <v>780</v>
      </c>
    </row>
    <row r="822" spans="1:9" ht="13" x14ac:dyDescent="0.15">
      <c r="A822" s="169"/>
      <c r="B822" s="169"/>
      <c r="C822" s="169"/>
      <c r="D822" s="169"/>
      <c r="E822" s="169"/>
      <c r="F822" s="169"/>
      <c r="G822" s="169"/>
      <c r="H822" s="169"/>
      <c r="I822" s="169"/>
    </row>
    <row r="823" spans="1:9" ht="13" x14ac:dyDescent="0.15">
      <c r="A823" s="10">
        <v>1</v>
      </c>
      <c r="B823" s="25" t="s">
        <v>905</v>
      </c>
      <c r="C823" s="25">
        <v>0.2</v>
      </c>
      <c r="D823" s="5" t="s">
        <v>183</v>
      </c>
      <c r="E823" s="5">
        <f>'Master Price list'!G173</f>
        <v>13</v>
      </c>
      <c r="F823" s="5">
        <f t="shared" ref="F823:F828" si="185">E823*C823</f>
        <v>2.6</v>
      </c>
      <c r="G823" s="25">
        <v>5</v>
      </c>
      <c r="H823" s="5">
        <f t="shared" ref="H823:H828" si="186">F823/100*G823</f>
        <v>0.13</v>
      </c>
      <c r="I823" s="5">
        <f t="shared" ref="I823:I828" si="187">H823+F823</f>
        <v>2.73</v>
      </c>
    </row>
    <row r="824" spans="1:9" ht="13" x14ac:dyDescent="0.15">
      <c r="A824" s="10">
        <v>2</v>
      </c>
      <c r="B824" s="25" t="s">
        <v>833</v>
      </c>
      <c r="C824" s="25">
        <v>0.2</v>
      </c>
      <c r="D824" s="5" t="s">
        <v>183</v>
      </c>
      <c r="E824" s="5">
        <f>'Master Price list'!G189</f>
        <v>3.3</v>
      </c>
      <c r="F824" s="5">
        <f t="shared" si="185"/>
        <v>0.66</v>
      </c>
      <c r="G824" s="25">
        <v>5</v>
      </c>
      <c r="H824" s="5">
        <f t="shared" si="186"/>
        <v>3.3000000000000002E-2</v>
      </c>
      <c r="I824" s="5">
        <f t="shared" si="187"/>
        <v>0.69300000000000006</v>
      </c>
    </row>
    <row r="825" spans="1:9" ht="13" x14ac:dyDescent="0.15">
      <c r="A825" s="10">
        <v>3</v>
      </c>
      <c r="B825" s="25" t="s">
        <v>816</v>
      </c>
      <c r="C825" s="25">
        <v>5.0000000000000001E-3</v>
      </c>
      <c r="D825" s="5" t="s">
        <v>183</v>
      </c>
      <c r="E825" s="5">
        <f>'Master Price list'!G178</f>
        <v>11</v>
      </c>
      <c r="F825" s="5">
        <f t="shared" si="185"/>
        <v>5.5E-2</v>
      </c>
      <c r="G825" s="25">
        <v>5</v>
      </c>
      <c r="H825" s="5">
        <f t="shared" si="186"/>
        <v>2.7500000000000003E-3</v>
      </c>
      <c r="I825" s="5">
        <f t="shared" si="187"/>
        <v>5.7750000000000003E-2</v>
      </c>
    </row>
    <row r="826" spans="1:9" ht="13" x14ac:dyDescent="0.15">
      <c r="A826" s="10">
        <v>4</v>
      </c>
      <c r="B826" s="25" t="s">
        <v>906</v>
      </c>
      <c r="C826" s="25">
        <v>0.2</v>
      </c>
      <c r="D826" s="5" t="s">
        <v>183</v>
      </c>
      <c r="E826" s="5">
        <f>'Master Price list'!G165</f>
        <v>12</v>
      </c>
      <c r="F826" s="5">
        <f t="shared" si="185"/>
        <v>2.4000000000000004</v>
      </c>
      <c r="G826" s="25">
        <v>5</v>
      </c>
      <c r="H826" s="5">
        <f t="shared" si="186"/>
        <v>0.12000000000000002</v>
      </c>
      <c r="I826" s="5">
        <f t="shared" si="187"/>
        <v>2.5200000000000005</v>
      </c>
    </row>
    <row r="827" spans="1:9" ht="13" x14ac:dyDescent="0.15">
      <c r="A827" s="10">
        <v>5</v>
      </c>
      <c r="B827" s="25" t="s">
        <v>861</v>
      </c>
      <c r="C827" s="25">
        <v>0.09</v>
      </c>
      <c r="D827" s="5" t="s">
        <v>183</v>
      </c>
      <c r="E827" s="5">
        <f>'Master Price list'!G203</f>
        <v>11</v>
      </c>
      <c r="F827" s="5">
        <f t="shared" si="185"/>
        <v>0.99</v>
      </c>
      <c r="G827" s="25">
        <v>5</v>
      </c>
      <c r="H827" s="5">
        <f t="shared" si="186"/>
        <v>4.9499999999999995E-2</v>
      </c>
      <c r="I827" s="5">
        <f t="shared" si="187"/>
        <v>1.0395000000000001</v>
      </c>
    </row>
    <row r="828" spans="1:9" ht="13" x14ac:dyDescent="0.15">
      <c r="A828" s="10">
        <v>6</v>
      </c>
      <c r="B828" s="25" t="s">
        <v>894</v>
      </c>
      <c r="C828" s="25">
        <v>0.06</v>
      </c>
      <c r="D828" s="5" t="s">
        <v>183</v>
      </c>
      <c r="E828" s="5">
        <f>'Master Price list'!G184</f>
        <v>5</v>
      </c>
      <c r="F828" s="5">
        <f t="shared" si="185"/>
        <v>0.3</v>
      </c>
      <c r="G828" s="25">
        <v>5</v>
      </c>
      <c r="H828" s="5">
        <f t="shared" si="186"/>
        <v>1.4999999999999999E-2</v>
      </c>
      <c r="I828" s="5">
        <f t="shared" si="187"/>
        <v>0.315</v>
      </c>
    </row>
    <row r="829" spans="1:9" ht="13" x14ac:dyDescent="0.15">
      <c r="G829" s="170" t="s">
        <v>777</v>
      </c>
      <c r="H829" s="171"/>
      <c r="I829" s="29">
        <f>SUM(I823:I828)</f>
        <v>7.3552500000000007</v>
      </c>
    </row>
    <row r="830" spans="1:9" ht="13" x14ac:dyDescent="0.15">
      <c r="G830" s="170" t="s">
        <v>836</v>
      </c>
      <c r="H830" s="171"/>
      <c r="I830" s="29">
        <f>I829/700*1000</f>
        <v>10.507500000000002</v>
      </c>
    </row>
    <row r="831" spans="1:9" ht="13" x14ac:dyDescent="0.15">
      <c r="G831" s="30"/>
      <c r="H831" s="30"/>
    </row>
    <row r="832" spans="1:9" ht="13" x14ac:dyDescent="0.15">
      <c r="G832" s="30"/>
      <c r="H832" s="30"/>
    </row>
    <row r="833" spans="1:9" ht="13" x14ac:dyDescent="0.15">
      <c r="A833" s="172" t="s">
        <v>770</v>
      </c>
      <c r="B833" s="173"/>
      <c r="C833" s="171"/>
      <c r="G833" s="172" t="s">
        <v>772</v>
      </c>
      <c r="H833" s="171"/>
      <c r="I833" s="28">
        <v>17</v>
      </c>
    </row>
    <row r="834" spans="1:9" ht="13" x14ac:dyDescent="0.15">
      <c r="A834" s="174" t="s">
        <v>773</v>
      </c>
      <c r="B834" s="174" t="s">
        <v>774</v>
      </c>
      <c r="C834" s="174" t="s">
        <v>775</v>
      </c>
      <c r="D834" s="174" t="s">
        <v>719</v>
      </c>
      <c r="E834" s="174" t="s">
        <v>776</v>
      </c>
      <c r="F834" s="174" t="s">
        <v>777</v>
      </c>
      <c r="G834" s="174" t="s">
        <v>778</v>
      </c>
      <c r="H834" s="174" t="s">
        <v>779</v>
      </c>
      <c r="I834" s="174" t="s">
        <v>780</v>
      </c>
    </row>
    <row r="835" spans="1:9" ht="13" x14ac:dyDescent="0.15">
      <c r="A835" s="169"/>
      <c r="B835" s="169"/>
      <c r="C835" s="169"/>
      <c r="D835" s="169"/>
      <c r="E835" s="169"/>
      <c r="F835" s="169"/>
      <c r="G835" s="169"/>
      <c r="H835" s="169"/>
      <c r="I835" s="169"/>
    </row>
    <row r="836" spans="1:9" ht="13" x14ac:dyDescent="0.15">
      <c r="A836" s="10">
        <v>1</v>
      </c>
      <c r="B836" s="25" t="s">
        <v>480</v>
      </c>
      <c r="C836" s="25">
        <v>1</v>
      </c>
      <c r="D836" s="5" t="s">
        <v>183</v>
      </c>
      <c r="E836" s="5">
        <f>'Master Price list'!G114</f>
        <v>4.5</v>
      </c>
      <c r="F836" s="5">
        <f t="shared" ref="F836:F843" si="188">E836*C836</f>
        <v>4.5</v>
      </c>
      <c r="G836" s="25">
        <v>0</v>
      </c>
      <c r="H836" s="5">
        <f t="shared" ref="H836:H843" si="189">F836/100*G836</f>
        <v>0</v>
      </c>
      <c r="I836" s="5">
        <f t="shared" ref="I836:I843" si="190">H836+F836</f>
        <v>4.5</v>
      </c>
    </row>
    <row r="837" spans="1:9" ht="13" x14ac:dyDescent="0.15">
      <c r="A837" s="10">
        <v>2</v>
      </c>
      <c r="B837" s="25" t="s">
        <v>492</v>
      </c>
      <c r="C837" s="25">
        <v>0.03</v>
      </c>
      <c r="D837" s="5" t="s">
        <v>183</v>
      </c>
      <c r="E837" s="5">
        <f>'Master Price list'!G120</f>
        <v>4.5999999999999996</v>
      </c>
      <c r="F837" s="5">
        <f t="shared" si="188"/>
        <v>0.13799999999999998</v>
      </c>
      <c r="G837" s="25">
        <v>0</v>
      </c>
      <c r="H837" s="5">
        <f t="shared" si="189"/>
        <v>0</v>
      </c>
      <c r="I837" s="5">
        <f t="shared" si="190"/>
        <v>0.13799999999999998</v>
      </c>
    </row>
    <row r="838" spans="1:9" ht="13" x14ac:dyDescent="0.15">
      <c r="A838" s="10">
        <v>3</v>
      </c>
      <c r="B838" s="25" t="s">
        <v>497</v>
      </c>
      <c r="C838" s="25">
        <v>0.01</v>
      </c>
      <c r="D838" s="5" t="s">
        <v>183</v>
      </c>
      <c r="E838" s="5">
        <f>'Master Price list'!G122</f>
        <v>7.4</v>
      </c>
      <c r="F838" s="5">
        <f t="shared" si="188"/>
        <v>7.400000000000001E-2</v>
      </c>
      <c r="G838" s="25">
        <v>0</v>
      </c>
      <c r="H838" s="5">
        <f t="shared" si="189"/>
        <v>0</v>
      </c>
      <c r="I838" s="5">
        <f t="shared" si="190"/>
        <v>7.400000000000001E-2</v>
      </c>
    </row>
    <row r="839" spans="1:9" ht="13" x14ac:dyDescent="0.15">
      <c r="A839" s="10">
        <v>4</v>
      </c>
      <c r="B839" s="25" t="s">
        <v>782</v>
      </c>
      <c r="C839" s="25">
        <v>1.4999999999999999E-2</v>
      </c>
      <c r="D839" s="5" t="s">
        <v>183</v>
      </c>
      <c r="E839" s="5">
        <f>'Master Price list'!G62</f>
        <v>4.4444444444444446</v>
      </c>
      <c r="F839" s="5">
        <f t="shared" si="188"/>
        <v>6.6666666666666666E-2</v>
      </c>
      <c r="G839" s="25">
        <v>0</v>
      </c>
      <c r="H839" s="5">
        <f t="shared" si="189"/>
        <v>0</v>
      </c>
      <c r="I839" s="5">
        <f t="shared" si="190"/>
        <v>6.6666666666666666E-2</v>
      </c>
    </row>
    <row r="840" spans="1:9" ht="13" x14ac:dyDescent="0.15">
      <c r="A840" s="10">
        <v>5</v>
      </c>
      <c r="B840" s="25" t="s">
        <v>808</v>
      </c>
      <c r="C840" s="25">
        <v>0.4</v>
      </c>
      <c r="D840" s="5" t="s">
        <v>183</v>
      </c>
      <c r="E840" s="5">
        <v>0</v>
      </c>
      <c r="F840" s="5">
        <f t="shared" si="188"/>
        <v>0</v>
      </c>
      <c r="G840" s="25">
        <v>0</v>
      </c>
      <c r="H840" s="5">
        <f t="shared" si="189"/>
        <v>0</v>
      </c>
      <c r="I840" s="5">
        <f t="shared" si="190"/>
        <v>0</v>
      </c>
    </row>
    <row r="841" spans="1:9" ht="13" x14ac:dyDescent="0.15">
      <c r="A841" s="10">
        <v>6</v>
      </c>
      <c r="B841" s="25" t="s">
        <v>754</v>
      </c>
      <c r="C841" s="25">
        <v>0.2</v>
      </c>
      <c r="D841" s="5" t="s">
        <v>183</v>
      </c>
      <c r="E841" s="5">
        <f>'Item list'!B44</f>
        <v>113.1349705882353</v>
      </c>
      <c r="F841" s="5">
        <f t="shared" si="188"/>
        <v>22.626994117647062</v>
      </c>
      <c r="G841" s="25">
        <v>0</v>
      </c>
      <c r="H841" s="5">
        <f t="shared" si="189"/>
        <v>0</v>
      </c>
      <c r="I841" s="5">
        <f t="shared" si="190"/>
        <v>22.626994117647062</v>
      </c>
    </row>
    <row r="842" spans="1:9" ht="13" x14ac:dyDescent="0.15">
      <c r="A842" s="10">
        <v>7</v>
      </c>
      <c r="B842" s="25" t="s">
        <v>907</v>
      </c>
      <c r="C842" s="25">
        <v>0.2</v>
      </c>
      <c r="D842" s="5" t="s">
        <v>183</v>
      </c>
      <c r="E842" s="5">
        <f>'Master Price list'!G163</f>
        <v>55</v>
      </c>
      <c r="F842" s="5">
        <f t="shared" si="188"/>
        <v>11</v>
      </c>
      <c r="G842" s="25">
        <v>0</v>
      </c>
      <c r="H842" s="5">
        <f t="shared" si="189"/>
        <v>0</v>
      </c>
      <c r="I842" s="5">
        <f t="shared" si="190"/>
        <v>11</v>
      </c>
    </row>
    <row r="843" spans="1:9" ht="13" x14ac:dyDescent="0.15">
      <c r="A843" s="10">
        <v>10</v>
      </c>
      <c r="B843" s="25" t="s">
        <v>76</v>
      </c>
      <c r="C843" s="25">
        <v>1</v>
      </c>
      <c r="D843" s="5" t="s">
        <v>350</v>
      </c>
      <c r="E843" s="5">
        <f>'Master Price list'!G207</f>
        <v>0.5</v>
      </c>
      <c r="F843" s="5">
        <f t="shared" si="188"/>
        <v>0.5</v>
      </c>
      <c r="G843" s="25">
        <v>0</v>
      </c>
      <c r="H843" s="5">
        <f t="shared" si="189"/>
        <v>0</v>
      </c>
      <c r="I843" s="5">
        <f t="shared" si="190"/>
        <v>0.5</v>
      </c>
    </row>
    <row r="844" spans="1:9" ht="13" x14ac:dyDescent="0.15">
      <c r="G844" s="170" t="s">
        <v>777</v>
      </c>
      <c r="H844" s="171"/>
      <c r="I844" s="29">
        <f>SUM(I836:I843)</f>
        <v>38.905660784313724</v>
      </c>
    </row>
    <row r="845" spans="1:9" ht="13" x14ac:dyDescent="0.15">
      <c r="G845" s="170" t="s">
        <v>812</v>
      </c>
      <c r="H845" s="171"/>
      <c r="I845" s="29">
        <f>I844/I833</f>
        <v>2.2885682814302193</v>
      </c>
    </row>
  </sheetData>
  <mergeCells count="793">
    <mergeCell ref="G844:H844"/>
    <mergeCell ref="G845:H845"/>
    <mergeCell ref="H821:H822"/>
    <mergeCell ref="G829:H829"/>
    <mergeCell ref="G830:H830"/>
    <mergeCell ref="G833:H833"/>
    <mergeCell ref="G834:G835"/>
    <mergeCell ref="H834:H835"/>
    <mergeCell ref="I834:I835"/>
    <mergeCell ref="G816:H816"/>
    <mergeCell ref="G817:H817"/>
    <mergeCell ref="G820:H820"/>
    <mergeCell ref="G821:G822"/>
    <mergeCell ref="I821:I822"/>
    <mergeCell ref="C821:C822"/>
    <mergeCell ref="A833:C833"/>
    <mergeCell ref="A834:A835"/>
    <mergeCell ref="B834:B835"/>
    <mergeCell ref="C834:C835"/>
    <mergeCell ref="D834:D835"/>
    <mergeCell ref="E834:E835"/>
    <mergeCell ref="F834:F835"/>
    <mergeCell ref="A820:C820"/>
    <mergeCell ref="A821:A822"/>
    <mergeCell ref="B821:B822"/>
    <mergeCell ref="D821:D822"/>
    <mergeCell ref="E821:E822"/>
    <mergeCell ref="F821:F822"/>
    <mergeCell ref="G807:H807"/>
    <mergeCell ref="G808:H808"/>
    <mergeCell ref="G811:H811"/>
    <mergeCell ref="F812:F813"/>
    <mergeCell ref="I812:I813"/>
    <mergeCell ref="D803:D804"/>
    <mergeCell ref="E803:E804"/>
    <mergeCell ref="A811:C811"/>
    <mergeCell ref="A812:A813"/>
    <mergeCell ref="B812:B813"/>
    <mergeCell ref="D812:D813"/>
    <mergeCell ref="E812:E813"/>
    <mergeCell ref="G812:G813"/>
    <mergeCell ref="H812:H813"/>
    <mergeCell ref="C812:C813"/>
    <mergeCell ref="H582:H583"/>
    <mergeCell ref="I582:I583"/>
    <mergeCell ref="G798:H798"/>
    <mergeCell ref="G799:H799"/>
    <mergeCell ref="A802:C802"/>
    <mergeCell ref="G802:H802"/>
    <mergeCell ref="A803:A804"/>
    <mergeCell ref="B803:B804"/>
    <mergeCell ref="C803:C804"/>
    <mergeCell ref="H803:H804"/>
    <mergeCell ref="F803:F804"/>
    <mergeCell ref="G803:G804"/>
    <mergeCell ref="I803:I804"/>
    <mergeCell ref="H792:H793"/>
    <mergeCell ref="I792:I793"/>
    <mergeCell ref="G769:H769"/>
    <mergeCell ref="G770:H770"/>
    <mergeCell ref="G773:H773"/>
    <mergeCell ref="G774:G775"/>
    <mergeCell ref="I774:I775"/>
    <mergeCell ref="C774:C775"/>
    <mergeCell ref="A791:C791"/>
    <mergeCell ref="A792:A793"/>
    <mergeCell ref="B792:B793"/>
    <mergeCell ref="G566:H566"/>
    <mergeCell ref="G567:H567"/>
    <mergeCell ref="G570:H570"/>
    <mergeCell ref="G571:G572"/>
    <mergeCell ref="I571:I572"/>
    <mergeCell ref="C571:C572"/>
    <mergeCell ref="A581:C581"/>
    <mergeCell ref="A582:A583"/>
    <mergeCell ref="B582:B583"/>
    <mergeCell ref="C582:C583"/>
    <mergeCell ref="D582:D583"/>
    <mergeCell ref="E582:E583"/>
    <mergeCell ref="F582:F583"/>
    <mergeCell ref="A570:C570"/>
    <mergeCell ref="A571:A572"/>
    <mergeCell ref="B571:B572"/>
    <mergeCell ref="D571:D572"/>
    <mergeCell ref="E571:E572"/>
    <mergeCell ref="F571:F572"/>
    <mergeCell ref="H571:H572"/>
    <mergeCell ref="G577:H577"/>
    <mergeCell ref="G578:H578"/>
    <mergeCell ref="G581:H581"/>
    <mergeCell ref="G582:G583"/>
    <mergeCell ref="G554:H554"/>
    <mergeCell ref="G555:H555"/>
    <mergeCell ref="G558:H558"/>
    <mergeCell ref="F559:F560"/>
    <mergeCell ref="I559:I560"/>
    <mergeCell ref="D544:D545"/>
    <mergeCell ref="E544:E545"/>
    <mergeCell ref="A558:C558"/>
    <mergeCell ref="A559:A560"/>
    <mergeCell ref="B559:B560"/>
    <mergeCell ref="D559:D560"/>
    <mergeCell ref="E559:E560"/>
    <mergeCell ref="G559:G560"/>
    <mergeCell ref="H559:H560"/>
    <mergeCell ref="C559:C560"/>
    <mergeCell ref="H530:H531"/>
    <mergeCell ref="I530:I531"/>
    <mergeCell ref="G539:H539"/>
    <mergeCell ref="G540:H540"/>
    <mergeCell ref="A543:C543"/>
    <mergeCell ref="G543:H543"/>
    <mergeCell ref="A544:A545"/>
    <mergeCell ref="B544:B545"/>
    <mergeCell ref="C544:C545"/>
    <mergeCell ref="H544:H545"/>
    <mergeCell ref="F544:F545"/>
    <mergeCell ref="G544:G545"/>
    <mergeCell ref="I544:I545"/>
    <mergeCell ref="G512:H512"/>
    <mergeCell ref="G513:H513"/>
    <mergeCell ref="G516:H516"/>
    <mergeCell ref="G517:G518"/>
    <mergeCell ref="I517:I518"/>
    <mergeCell ref="C517:C518"/>
    <mergeCell ref="A529:C529"/>
    <mergeCell ref="A530:A531"/>
    <mergeCell ref="B530:B531"/>
    <mergeCell ref="C530:C531"/>
    <mergeCell ref="D530:D531"/>
    <mergeCell ref="E530:E531"/>
    <mergeCell ref="F530:F531"/>
    <mergeCell ref="A516:C516"/>
    <mergeCell ref="A517:A518"/>
    <mergeCell ref="B517:B518"/>
    <mergeCell ref="D517:D518"/>
    <mergeCell ref="E517:E518"/>
    <mergeCell ref="F517:F518"/>
    <mergeCell ref="H517:H518"/>
    <mergeCell ref="G525:H525"/>
    <mergeCell ref="G526:H526"/>
    <mergeCell ref="G529:H529"/>
    <mergeCell ref="G530:G531"/>
    <mergeCell ref="G499:H499"/>
    <mergeCell ref="G500:H500"/>
    <mergeCell ref="G503:H503"/>
    <mergeCell ref="F504:F505"/>
    <mergeCell ref="I504:I505"/>
    <mergeCell ref="D490:D491"/>
    <mergeCell ref="E490:E491"/>
    <mergeCell ref="A503:C503"/>
    <mergeCell ref="A504:A505"/>
    <mergeCell ref="B504:B505"/>
    <mergeCell ref="D504:D505"/>
    <mergeCell ref="E504:E505"/>
    <mergeCell ref="G504:G505"/>
    <mergeCell ref="H504:H505"/>
    <mergeCell ref="C504:C505"/>
    <mergeCell ref="H476:H477"/>
    <mergeCell ref="I476:I477"/>
    <mergeCell ref="G485:H485"/>
    <mergeCell ref="G486:H486"/>
    <mergeCell ref="A489:C489"/>
    <mergeCell ref="G489:H489"/>
    <mergeCell ref="A490:A491"/>
    <mergeCell ref="B490:B491"/>
    <mergeCell ref="C490:C491"/>
    <mergeCell ref="H490:H491"/>
    <mergeCell ref="F490:F491"/>
    <mergeCell ref="G490:G491"/>
    <mergeCell ref="I490:I491"/>
    <mergeCell ref="G455:H455"/>
    <mergeCell ref="G456:H456"/>
    <mergeCell ref="G459:H459"/>
    <mergeCell ref="G460:G461"/>
    <mergeCell ref="I460:I461"/>
    <mergeCell ref="C460:C461"/>
    <mergeCell ref="A475:C475"/>
    <mergeCell ref="A476:A477"/>
    <mergeCell ref="B476:B477"/>
    <mergeCell ref="C476:C477"/>
    <mergeCell ref="D476:D477"/>
    <mergeCell ref="E476:E477"/>
    <mergeCell ref="F476:F477"/>
    <mergeCell ref="A459:C459"/>
    <mergeCell ref="A460:A461"/>
    <mergeCell ref="B460:B461"/>
    <mergeCell ref="D460:D461"/>
    <mergeCell ref="E460:E461"/>
    <mergeCell ref="F460:F461"/>
    <mergeCell ref="H460:H461"/>
    <mergeCell ref="G471:H471"/>
    <mergeCell ref="G472:H472"/>
    <mergeCell ref="G475:H475"/>
    <mergeCell ref="G476:G477"/>
    <mergeCell ref="G441:H441"/>
    <mergeCell ref="G442:H442"/>
    <mergeCell ref="G445:H445"/>
    <mergeCell ref="F446:F447"/>
    <mergeCell ref="I446:I447"/>
    <mergeCell ref="D434:D435"/>
    <mergeCell ref="E434:E435"/>
    <mergeCell ref="A445:C445"/>
    <mergeCell ref="A446:A447"/>
    <mergeCell ref="B446:B447"/>
    <mergeCell ref="D446:D447"/>
    <mergeCell ref="E446:E447"/>
    <mergeCell ref="G446:G447"/>
    <mergeCell ref="H446:H447"/>
    <mergeCell ref="C446:C447"/>
    <mergeCell ref="H421:H422"/>
    <mergeCell ref="I421:I422"/>
    <mergeCell ref="G429:H429"/>
    <mergeCell ref="G430:H430"/>
    <mergeCell ref="A433:C433"/>
    <mergeCell ref="G433:H433"/>
    <mergeCell ref="A434:A435"/>
    <mergeCell ref="B434:B435"/>
    <mergeCell ref="C434:C435"/>
    <mergeCell ref="H434:H435"/>
    <mergeCell ref="F434:F435"/>
    <mergeCell ref="G434:G435"/>
    <mergeCell ref="I434:I435"/>
    <mergeCell ref="G407:H407"/>
    <mergeCell ref="G408:H408"/>
    <mergeCell ref="G411:H411"/>
    <mergeCell ref="G412:G413"/>
    <mergeCell ref="I412:I413"/>
    <mergeCell ref="C412:C413"/>
    <mergeCell ref="A420:C420"/>
    <mergeCell ref="A421:A422"/>
    <mergeCell ref="B421:B422"/>
    <mergeCell ref="C421:C422"/>
    <mergeCell ref="D421:D422"/>
    <mergeCell ref="E421:E422"/>
    <mergeCell ref="F421:F422"/>
    <mergeCell ref="A411:C411"/>
    <mergeCell ref="A412:A413"/>
    <mergeCell ref="B412:B413"/>
    <mergeCell ref="D412:D413"/>
    <mergeCell ref="E412:E413"/>
    <mergeCell ref="F412:F413"/>
    <mergeCell ref="H412:H413"/>
    <mergeCell ref="G416:H416"/>
    <mergeCell ref="G417:H417"/>
    <mergeCell ref="G420:H420"/>
    <mergeCell ref="G421:G422"/>
    <mergeCell ref="G393:H393"/>
    <mergeCell ref="G394:H394"/>
    <mergeCell ref="G397:H397"/>
    <mergeCell ref="F398:F399"/>
    <mergeCell ref="I398:I399"/>
    <mergeCell ref="D387:D388"/>
    <mergeCell ref="E387:E388"/>
    <mergeCell ref="A397:C397"/>
    <mergeCell ref="A398:A399"/>
    <mergeCell ref="B398:B399"/>
    <mergeCell ref="D398:D399"/>
    <mergeCell ref="E398:E399"/>
    <mergeCell ref="G398:G399"/>
    <mergeCell ref="H398:H399"/>
    <mergeCell ref="C398:C399"/>
    <mergeCell ref="H370:H371"/>
    <mergeCell ref="I370:I371"/>
    <mergeCell ref="G382:H382"/>
    <mergeCell ref="G383:H383"/>
    <mergeCell ref="A386:C386"/>
    <mergeCell ref="G386:H386"/>
    <mergeCell ref="A387:A388"/>
    <mergeCell ref="B387:B388"/>
    <mergeCell ref="C387:C388"/>
    <mergeCell ref="H387:H388"/>
    <mergeCell ref="F387:F388"/>
    <mergeCell ref="G387:G388"/>
    <mergeCell ref="I387:I388"/>
    <mergeCell ref="G351:H351"/>
    <mergeCell ref="G352:H352"/>
    <mergeCell ref="G355:H355"/>
    <mergeCell ref="G356:G357"/>
    <mergeCell ref="I356:I357"/>
    <mergeCell ref="C356:C357"/>
    <mergeCell ref="A369:C369"/>
    <mergeCell ref="A370:A371"/>
    <mergeCell ref="B370:B371"/>
    <mergeCell ref="C370:C371"/>
    <mergeCell ref="D370:D371"/>
    <mergeCell ref="E370:E371"/>
    <mergeCell ref="F370:F371"/>
    <mergeCell ref="A355:C355"/>
    <mergeCell ref="A356:A357"/>
    <mergeCell ref="B356:B357"/>
    <mergeCell ref="D356:D357"/>
    <mergeCell ref="E356:E357"/>
    <mergeCell ref="F356:F357"/>
    <mergeCell ref="H356:H357"/>
    <mergeCell ref="G365:H365"/>
    <mergeCell ref="G366:H366"/>
    <mergeCell ref="G369:H369"/>
    <mergeCell ref="G370:G371"/>
    <mergeCell ref="G337:H337"/>
    <mergeCell ref="G338:H338"/>
    <mergeCell ref="G341:H341"/>
    <mergeCell ref="F342:F343"/>
    <mergeCell ref="I342:I343"/>
    <mergeCell ref="D328:D329"/>
    <mergeCell ref="E328:E329"/>
    <mergeCell ref="A341:C341"/>
    <mergeCell ref="A342:A343"/>
    <mergeCell ref="B342:B343"/>
    <mergeCell ref="D342:D343"/>
    <mergeCell ref="E342:E343"/>
    <mergeCell ref="G342:G343"/>
    <mergeCell ref="H342:H343"/>
    <mergeCell ref="C342:C343"/>
    <mergeCell ref="A327:C327"/>
    <mergeCell ref="G327:H327"/>
    <mergeCell ref="A328:A329"/>
    <mergeCell ref="B328:B329"/>
    <mergeCell ref="C328:C329"/>
    <mergeCell ref="H328:H329"/>
    <mergeCell ref="F328:F329"/>
    <mergeCell ref="G328:G329"/>
    <mergeCell ref="I328:I329"/>
    <mergeCell ref="H303:H304"/>
    <mergeCell ref="G309:H309"/>
    <mergeCell ref="G310:H310"/>
    <mergeCell ref="G313:H313"/>
    <mergeCell ref="G314:G315"/>
    <mergeCell ref="H314:H315"/>
    <mergeCell ref="I314:I315"/>
    <mergeCell ref="G323:H323"/>
    <mergeCell ref="G324:H324"/>
    <mergeCell ref="B314:B315"/>
    <mergeCell ref="C314:C315"/>
    <mergeCell ref="D314:D315"/>
    <mergeCell ref="E314:E315"/>
    <mergeCell ref="F314:F315"/>
    <mergeCell ref="C286:C287"/>
    <mergeCell ref="A302:C302"/>
    <mergeCell ref="A303:A304"/>
    <mergeCell ref="B303:B304"/>
    <mergeCell ref="D303:D304"/>
    <mergeCell ref="E303:E304"/>
    <mergeCell ref="F303:F304"/>
    <mergeCell ref="G261:H261"/>
    <mergeCell ref="G262:H262"/>
    <mergeCell ref="A265:C265"/>
    <mergeCell ref="G265:H265"/>
    <mergeCell ref="A266:A267"/>
    <mergeCell ref="B266:B267"/>
    <mergeCell ref="C266:C267"/>
    <mergeCell ref="H266:H267"/>
    <mergeCell ref="F266:F267"/>
    <mergeCell ref="G266:G267"/>
    <mergeCell ref="I266:I267"/>
    <mergeCell ref="G281:H281"/>
    <mergeCell ref="G282:H282"/>
    <mergeCell ref="G285:H285"/>
    <mergeCell ref="F286:F287"/>
    <mergeCell ref="I286:I287"/>
    <mergeCell ref="D266:D267"/>
    <mergeCell ref="E266:E267"/>
    <mergeCell ref="A285:C285"/>
    <mergeCell ref="A286:A287"/>
    <mergeCell ref="B286:B287"/>
    <mergeCell ref="D286:D287"/>
    <mergeCell ref="C792:C793"/>
    <mergeCell ref="D792:D793"/>
    <mergeCell ref="E792:E793"/>
    <mergeCell ref="F792:F793"/>
    <mergeCell ref="A773:C773"/>
    <mergeCell ref="A774:A775"/>
    <mergeCell ref="B774:B775"/>
    <mergeCell ref="D774:D775"/>
    <mergeCell ref="E774:E775"/>
    <mergeCell ref="F774:F775"/>
    <mergeCell ref="H774:H775"/>
    <mergeCell ref="G787:H787"/>
    <mergeCell ref="G788:H788"/>
    <mergeCell ref="G791:H791"/>
    <mergeCell ref="G792:G793"/>
    <mergeCell ref="G759:H759"/>
    <mergeCell ref="G760:H760"/>
    <mergeCell ref="G763:H763"/>
    <mergeCell ref="F764:F765"/>
    <mergeCell ref="I764:I765"/>
    <mergeCell ref="D753:D754"/>
    <mergeCell ref="E753:E754"/>
    <mergeCell ref="A763:C763"/>
    <mergeCell ref="A764:A765"/>
    <mergeCell ref="B764:B765"/>
    <mergeCell ref="D764:D765"/>
    <mergeCell ref="E764:E765"/>
    <mergeCell ref="G764:G765"/>
    <mergeCell ref="H764:H765"/>
    <mergeCell ref="C764:C765"/>
    <mergeCell ref="H742:H743"/>
    <mergeCell ref="I742:I743"/>
    <mergeCell ref="G748:H748"/>
    <mergeCell ref="G749:H749"/>
    <mergeCell ref="A752:C752"/>
    <mergeCell ref="G752:H752"/>
    <mergeCell ref="A753:A754"/>
    <mergeCell ref="B753:B754"/>
    <mergeCell ref="C753:C754"/>
    <mergeCell ref="H753:H754"/>
    <mergeCell ref="F753:F754"/>
    <mergeCell ref="G753:G754"/>
    <mergeCell ref="I753:I754"/>
    <mergeCell ref="G723:H723"/>
    <mergeCell ref="G724:H724"/>
    <mergeCell ref="G727:H727"/>
    <mergeCell ref="G728:G729"/>
    <mergeCell ref="I728:I729"/>
    <mergeCell ref="C728:C729"/>
    <mergeCell ref="A741:C741"/>
    <mergeCell ref="A742:A743"/>
    <mergeCell ref="B742:B743"/>
    <mergeCell ref="C742:C743"/>
    <mergeCell ref="D742:D743"/>
    <mergeCell ref="E742:E743"/>
    <mergeCell ref="F742:F743"/>
    <mergeCell ref="A727:C727"/>
    <mergeCell ref="A728:A729"/>
    <mergeCell ref="B728:B729"/>
    <mergeCell ref="D728:D729"/>
    <mergeCell ref="E728:E729"/>
    <mergeCell ref="F728:F729"/>
    <mergeCell ref="H728:H729"/>
    <mergeCell ref="G737:H737"/>
    <mergeCell ref="G738:H738"/>
    <mergeCell ref="G741:H741"/>
    <mergeCell ref="G742:G743"/>
    <mergeCell ref="G713:H713"/>
    <mergeCell ref="G714:H714"/>
    <mergeCell ref="G717:H717"/>
    <mergeCell ref="F718:F719"/>
    <mergeCell ref="I718:I719"/>
    <mergeCell ref="D701:D702"/>
    <mergeCell ref="E701:E702"/>
    <mergeCell ref="A717:C717"/>
    <mergeCell ref="A718:A719"/>
    <mergeCell ref="B718:B719"/>
    <mergeCell ref="D718:D719"/>
    <mergeCell ref="E718:E719"/>
    <mergeCell ref="G718:G719"/>
    <mergeCell ref="H718:H719"/>
    <mergeCell ref="C718:C719"/>
    <mergeCell ref="H674:H675"/>
    <mergeCell ref="I674:I675"/>
    <mergeCell ref="G696:H696"/>
    <mergeCell ref="G697:H697"/>
    <mergeCell ref="A700:C700"/>
    <mergeCell ref="G700:H700"/>
    <mergeCell ref="A701:A702"/>
    <mergeCell ref="B701:B702"/>
    <mergeCell ref="C701:C702"/>
    <mergeCell ref="H701:H702"/>
    <mergeCell ref="F701:F702"/>
    <mergeCell ref="G701:G702"/>
    <mergeCell ref="I701:I702"/>
    <mergeCell ref="G653:H653"/>
    <mergeCell ref="G654:H654"/>
    <mergeCell ref="G657:H657"/>
    <mergeCell ref="G658:G659"/>
    <mergeCell ref="I658:I659"/>
    <mergeCell ref="C658:C659"/>
    <mergeCell ref="A673:C673"/>
    <mergeCell ref="A674:A675"/>
    <mergeCell ref="B674:B675"/>
    <mergeCell ref="C674:C675"/>
    <mergeCell ref="D674:D675"/>
    <mergeCell ref="E674:E675"/>
    <mergeCell ref="F674:F675"/>
    <mergeCell ref="A657:C657"/>
    <mergeCell ref="A658:A659"/>
    <mergeCell ref="B658:B659"/>
    <mergeCell ref="D658:D659"/>
    <mergeCell ref="E658:E659"/>
    <mergeCell ref="F658:F659"/>
    <mergeCell ref="H658:H659"/>
    <mergeCell ref="G669:H669"/>
    <mergeCell ref="G670:H670"/>
    <mergeCell ref="G673:H673"/>
    <mergeCell ref="G674:G675"/>
    <mergeCell ref="G643:H643"/>
    <mergeCell ref="G644:H644"/>
    <mergeCell ref="G647:H647"/>
    <mergeCell ref="F648:F649"/>
    <mergeCell ref="I648:I649"/>
    <mergeCell ref="D638:D639"/>
    <mergeCell ref="E638:E639"/>
    <mergeCell ref="A647:C647"/>
    <mergeCell ref="A648:A649"/>
    <mergeCell ref="B648:B649"/>
    <mergeCell ref="D648:D649"/>
    <mergeCell ref="E648:E649"/>
    <mergeCell ref="G648:G649"/>
    <mergeCell ref="H648:H649"/>
    <mergeCell ref="C648:C649"/>
    <mergeCell ref="H628:H629"/>
    <mergeCell ref="I628:I629"/>
    <mergeCell ref="G633:H633"/>
    <mergeCell ref="G634:H634"/>
    <mergeCell ref="A637:C637"/>
    <mergeCell ref="G637:H637"/>
    <mergeCell ref="A638:A639"/>
    <mergeCell ref="B638:B639"/>
    <mergeCell ref="C638:C639"/>
    <mergeCell ref="H638:H639"/>
    <mergeCell ref="F638:F639"/>
    <mergeCell ref="G638:G639"/>
    <mergeCell ref="I638:I639"/>
    <mergeCell ref="G611:H611"/>
    <mergeCell ref="G612:H612"/>
    <mergeCell ref="G615:H615"/>
    <mergeCell ref="G616:G617"/>
    <mergeCell ref="I616:I617"/>
    <mergeCell ref="C616:C617"/>
    <mergeCell ref="A627:C627"/>
    <mergeCell ref="A628:A629"/>
    <mergeCell ref="B628:B629"/>
    <mergeCell ref="C628:C629"/>
    <mergeCell ref="D628:D629"/>
    <mergeCell ref="E628:E629"/>
    <mergeCell ref="F628:F629"/>
    <mergeCell ref="A615:C615"/>
    <mergeCell ref="A616:A617"/>
    <mergeCell ref="B616:B617"/>
    <mergeCell ref="D616:D617"/>
    <mergeCell ref="E616:E617"/>
    <mergeCell ref="F616:F617"/>
    <mergeCell ref="H616:H617"/>
    <mergeCell ref="G623:H623"/>
    <mergeCell ref="G624:H624"/>
    <mergeCell ref="G627:H627"/>
    <mergeCell ref="G628:G629"/>
    <mergeCell ref="G600:H600"/>
    <mergeCell ref="G601:H601"/>
    <mergeCell ref="G604:H604"/>
    <mergeCell ref="F605:F606"/>
    <mergeCell ref="I605:I606"/>
    <mergeCell ref="D595:D596"/>
    <mergeCell ref="E595:E596"/>
    <mergeCell ref="A604:C604"/>
    <mergeCell ref="A605:A606"/>
    <mergeCell ref="B605:B606"/>
    <mergeCell ref="D605:D606"/>
    <mergeCell ref="E605:E606"/>
    <mergeCell ref="G605:G606"/>
    <mergeCell ref="H605:H606"/>
    <mergeCell ref="C605:C606"/>
    <mergeCell ref="H251:H252"/>
    <mergeCell ref="I251:I252"/>
    <mergeCell ref="G590:H590"/>
    <mergeCell ref="G591:H591"/>
    <mergeCell ref="A594:C594"/>
    <mergeCell ref="G594:H594"/>
    <mergeCell ref="A595:A596"/>
    <mergeCell ref="B595:B596"/>
    <mergeCell ref="C595:C596"/>
    <mergeCell ref="H595:H596"/>
    <mergeCell ref="F595:F596"/>
    <mergeCell ref="G595:G596"/>
    <mergeCell ref="I595:I596"/>
    <mergeCell ref="E286:E287"/>
    <mergeCell ref="G286:G287"/>
    <mergeCell ref="H286:H287"/>
    <mergeCell ref="G298:H298"/>
    <mergeCell ref="G299:H299"/>
    <mergeCell ref="G302:H302"/>
    <mergeCell ref="G303:G304"/>
    <mergeCell ref="I303:I304"/>
    <mergeCell ref="C303:C304"/>
    <mergeCell ref="A313:C313"/>
    <mergeCell ref="A314:A315"/>
    <mergeCell ref="G234:H234"/>
    <mergeCell ref="G235:H235"/>
    <mergeCell ref="G238:H238"/>
    <mergeCell ref="G239:G240"/>
    <mergeCell ref="I239:I240"/>
    <mergeCell ref="C239:C240"/>
    <mergeCell ref="A250:C250"/>
    <mergeCell ref="A251:A252"/>
    <mergeCell ref="B251:B252"/>
    <mergeCell ref="C251:C252"/>
    <mergeCell ref="D251:D252"/>
    <mergeCell ref="E251:E252"/>
    <mergeCell ref="F251:F252"/>
    <mergeCell ref="A238:C238"/>
    <mergeCell ref="A239:A240"/>
    <mergeCell ref="B239:B240"/>
    <mergeCell ref="D239:D240"/>
    <mergeCell ref="E239:E240"/>
    <mergeCell ref="F239:F240"/>
    <mergeCell ref="H239:H240"/>
    <mergeCell ref="G246:H246"/>
    <mergeCell ref="G247:H247"/>
    <mergeCell ref="G250:H250"/>
    <mergeCell ref="G251:G252"/>
    <mergeCell ref="G211:H211"/>
    <mergeCell ref="G212:H212"/>
    <mergeCell ref="G215:H215"/>
    <mergeCell ref="F216:F217"/>
    <mergeCell ref="I216:I217"/>
    <mergeCell ref="D197:D198"/>
    <mergeCell ref="E197:E198"/>
    <mergeCell ref="A215:C215"/>
    <mergeCell ref="A216:A217"/>
    <mergeCell ref="B216:B217"/>
    <mergeCell ref="D216:D217"/>
    <mergeCell ref="E216:E217"/>
    <mergeCell ref="G216:G217"/>
    <mergeCell ref="H216:H217"/>
    <mergeCell ref="C216:C217"/>
    <mergeCell ref="H179:H180"/>
    <mergeCell ref="I179:I180"/>
    <mergeCell ref="G192:H192"/>
    <mergeCell ref="G193:H193"/>
    <mergeCell ref="A196:C196"/>
    <mergeCell ref="G196:H196"/>
    <mergeCell ref="A197:A198"/>
    <mergeCell ref="B197:B198"/>
    <mergeCell ref="C197:C198"/>
    <mergeCell ref="H197:H198"/>
    <mergeCell ref="F197:F198"/>
    <mergeCell ref="G197:G198"/>
    <mergeCell ref="I197:I198"/>
    <mergeCell ref="G157:H157"/>
    <mergeCell ref="G158:H158"/>
    <mergeCell ref="G161:H161"/>
    <mergeCell ref="G162:G163"/>
    <mergeCell ref="I162:I163"/>
    <mergeCell ref="C162:C163"/>
    <mergeCell ref="A178:C178"/>
    <mergeCell ref="A179:A180"/>
    <mergeCell ref="B179:B180"/>
    <mergeCell ref="C179:C180"/>
    <mergeCell ref="D179:D180"/>
    <mergeCell ref="E179:E180"/>
    <mergeCell ref="F179:F180"/>
    <mergeCell ref="A161:C161"/>
    <mergeCell ref="A162:A163"/>
    <mergeCell ref="B162:B163"/>
    <mergeCell ref="D162:D163"/>
    <mergeCell ref="E162:E163"/>
    <mergeCell ref="F162:F163"/>
    <mergeCell ref="H162:H163"/>
    <mergeCell ref="G174:H174"/>
    <mergeCell ref="G175:H175"/>
    <mergeCell ref="G178:H178"/>
    <mergeCell ref="G179:G180"/>
    <mergeCell ref="I136:I137"/>
    <mergeCell ref="G143:H143"/>
    <mergeCell ref="G144:H144"/>
    <mergeCell ref="G147:H147"/>
    <mergeCell ref="F148:F149"/>
    <mergeCell ref="I148:I149"/>
    <mergeCell ref="D136:D137"/>
    <mergeCell ref="E136:E137"/>
    <mergeCell ref="A147:C147"/>
    <mergeCell ref="A148:A149"/>
    <mergeCell ref="B148:B149"/>
    <mergeCell ref="D148:D149"/>
    <mergeCell ref="E148:E149"/>
    <mergeCell ref="G148:G149"/>
    <mergeCell ref="H148:H149"/>
    <mergeCell ref="C148:C149"/>
    <mergeCell ref="G132:H132"/>
    <mergeCell ref="A135:C135"/>
    <mergeCell ref="G135:H135"/>
    <mergeCell ref="A136:A137"/>
    <mergeCell ref="B136:B137"/>
    <mergeCell ref="C136:C137"/>
    <mergeCell ref="H136:H137"/>
    <mergeCell ref="F136:F137"/>
    <mergeCell ref="G136:G137"/>
    <mergeCell ref="F119:F120"/>
    <mergeCell ref="H106:H107"/>
    <mergeCell ref="G114:H114"/>
    <mergeCell ref="G115:H115"/>
    <mergeCell ref="G118:H118"/>
    <mergeCell ref="G119:G120"/>
    <mergeCell ref="H119:H120"/>
    <mergeCell ref="I119:I120"/>
    <mergeCell ref="G131:H131"/>
    <mergeCell ref="G106:G107"/>
    <mergeCell ref="I106:I107"/>
    <mergeCell ref="F106:F107"/>
    <mergeCell ref="A119:A120"/>
    <mergeCell ref="B119:B120"/>
    <mergeCell ref="C119:C120"/>
    <mergeCell ref="D119:D120"/>
    <mergeCell ref="E119:E120"/>
    <mergeCell ref="C93:C94"/>
    <mergeCell ref="A105:C105"/>
    <mergeCell ref="A106:A107"/>
    <mergeCell ref="B106:B107"/>
    <mergeCell ref="D106:D107"/>
    <mergeCell ref="E106:E107"/>
    <mergeCell ref="B78:B79"/>
    <mergeCell ref="C78:C79"/>
    <mergeCell ref="A92:C92"/>
    <mergeCell ref="A93:A94"/>
    <mergeCell ref="B93:B94"/>
    <mergeCell ref="D93:D94"/>
    <mergeCell ref="E93:E94"/>
    <mergeCell ref="C106:C107"/>
    <mergeCell ref="A118:C118"/>
    <mergeCell ref="D63:D64"/>
    <mergeCell ref="E63:E64"/>
    <mergeCell ref="I63:I64"/>
    <mergeCell ref="G93:G94"/>
    <mergeCell ref="H93:H94"/>
    <mergeCell ref="G101:H101"/>
    <mergeCell ref="A62:C62"/>
    <mergeCell ref="G62:H62"/>
    <mergeCell ref="A63:A64"/>
    <mergeCell ref="B63:B64"/>
    <mergeCell ref="C63:C64"/>
    <mergeCell ref="H63:H64"/>
    <mergeCell ref="D78:D79"/>
    <mergeCell ref="E78:E79"/>
    <mergeCell ref="F63:F64"/>
    <mergeCell ref="G63:G64"/>
    <mergeCell ref="G73:H73"/>
    <mergeCell ref="G74:H74"/>
    <mergeCell ref="A77:C77"/>
    <mergeCell ref="G77:H77"/>
    <mergeCell ref="A78:A79"/>
    <mergeCell ref="H78:H79"/>
    <mergeCell ref="F78:F79"/>
    <mergeCell ref="G78:G79"/>
    <mergeCell ref="G102:H102"/>
    <mergeCell ref="G105:H105"/>
    <mergeCell ref="G58:H58"/>
    <mergeCell ref="G59:H59"/>
    <mergeCell ref="I78:I79"/>
    <mergeCell ref="G88:H88"/>
    <mergeCell ref="G89:H89"/>
    <mergeCell ref="G92:H92"/>
    <mergeCell ref="F2:F3"/>
    <mergeCell ref="G2:G3"/>
    <mergeCell ref="H2:H3"/>
    <mergeCell ref="I2:I3"/>
    <mergeCell ref="G9:H9"/>
    <mergeCell ref="G10:H10"/>
    <mergeCell ref="G13:H13"/>
    <mergeCell ref="F93:F94"/>
    <mergeCell ref="I93:I94"/>
    <mergeCell ref="I44:I45"/>
    <mergeCell ref="A1:C1"/>
    <mergeCell ref="G1:H1"/>
    <mergeCell ref="A2:A3"/>
    <mergeCell ref="B2:B3"/>
    <mergeCell ref="C2:C3"/>
    <mergeCell ref="D2:D3"/>
    <mergeCell ref="E2:E3"/>
    <mergeCell ref="A43:C43"/>
    <mergeCell ref="A44:A45"/>
    <mergeCell ref="B44:B45"/>
    <mergeCell ref="C44:C45"/>
    <mergeCell ref="D44:D45"/>
    <mergeCell ref="E44:E45"/>
    <mergeCell ref="F27:F28"/>
    <mergeCell ref="G27:G28"/>
    <mergeCell ref="G38:H38"/>
    <mergeCell ref="G39:H39"/>
    <mergeCell ref="G43:H43"/>
    <mergeCell ref="F44:F45"/>
    <mergeCell ref="G44:G45"/>
    <mergeCell ref="D27:D28"/>
    <mergeCell ref="E27:E28"/>
    <mergeCell ref="H44:H45"/>
    <mergeCell ref="A13:C13"/>
    <mergeCell ref="A14:A15"/>
    <mergeCell ref="B14:B15"/>
    <mergeCell ref="C14:C15"/>
    <mergeCell ref="D14:D15"/>
    <mergeCell ref="E14:E15"/>
    <mergeCell ref="H27:H28"/>
    <mergeCell ref="I27:I28"/>
    <mergeCell ref="H14:H15"/>
    <mergeCell ref="I14:I15"/>
    <mergeCell ref="G22:H22"/>
    <mergeCell ref="G23:H23"/>
    <mergeCell ref="A26:C26"/>
    <mergeCell ref="G26:H26"/>
    <mergeCell ref="A27:A28"/>
    <mergeCell ref="B27:B28"/>
    <mergeCell ref="C27:C28"/>
    <mergeCell ref="F14:F15"/>
    <mergeCell ref="G14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66"/>
  <sheetViews>
    <sheetView zoomScale="150" workbookViewId="0">
      <selection activeCell="C19" sqref="C19"/>
    </sheetView>
  </sheetViews>
  <sheetFormatPr baseColWidth="10" defaultColWidth="14.5" defaultRowHeight="15.75" customHeight="1" x14ac:dyDescent="0.15"/>
  <cols>
    <col min="1" max="1" width="37.5" customWidth="1"/>
  </cols>
  <sheetData>
    <row r="1" spans="1:11" ht="13" x14ac:dyDescent="0.15">
      <c r="A1" s="31" t="s">
        <v>0</v>
      </c>
      <c r="B1" s="31" t="s">
        <v>1</v>
      </c>
    </row>
    <row r="2" spans="1:11" ht="15.75" customHeight="1" x14ac:dyDescent="0.15">
      <c r="A2" s="21" t="s">
        <v>5</v>
      </c>
      <c r="B2" s="3">
        <f>'Menu item calculator'!F12</f>
        <v>15.227748669467786</v>
      </c>
    </row>
    <row r="3" spans="1:11" ht="15.75" customHeight="1" x14ac:dyDescent="0.15">
      <c r="A3" s="21" t="s">
        <v>6</v>
      </c>
      <c r="B3" s="3">
        <f>'Menu item calculator'!F26</f>
        <v>15.227748669467786</v>
      </c>
    </row>
    <row r="4" spans="1:11" ht="15.75" customHeight="1" x14ac:dyDescent="0.15">
      <c r="A4" s="21" t="s">
        <v>7</v>
      </c>
      <c r="B4" s="3">
        <f>'Menu item calculator'!F40</f>
        <v>15.227748669467786</v>
      </c>
    </row>
    <row r="5" spans="1:11" ht="15.75" customHeight="1" x14ac:dyDescent="0.15">
      <c r="A5" s="21" t="s">
        <v>8</v>
      </c>
      <c r="B5" s="3">
        <f>'Menu item calculator'!F54</f>
        <v>15.619248669467787</v>
      </c>
      <c r="G5" s="3">
        <v>2</v>
      </c>
      <c r="H5" s="54" t="s">
        <v>908</v>
      </c>
      <c r="I5" s="55">
        <v>0.7</v>
      </c>
      <c r="J5" s="56">
        <f>(80*I5)*G5</f>
        <v>112</v>
      </c>
    </row>
    <row r="6" spans="1:11" ht="15.75" customHeight="1" x14ac:dyDescent="0.15">
      <c r="A6" s="21" t="s">
        <v>9</v>
      </c>
      <c r="B6" s="3">
        <f>'Menu item calculator'!F68</f>
        <v>12.302455072786691</v>
      </c>
      <c r="G6" s="3">
        <v>6</v>
      </c>
      <c r="H6" s="54" t="s">
        <v>908</v>
      </c>
      <c r="I6" s="55">
        <v>0.2</v>
      </c>
      <c r="J6" s="56">
        <f>(80*I6)*G6</f>
        <v>96</v>
      </c>
    </row>
    <row r="7" spans="1:11" ht="15.75" customHeight="1" x14ac:dyDescent="0.15">
      <c r="A7" s="21" t="s">
        <v>10</v>
      </c>
      <c r="B7" s="3">
        <f>'Menu item calculator'!F82</f>
        <v>12.302455072786691</v>
      </c>
      <c r="G7" s="3">
        <v>20</v>
      </c>
      <c r="H7" s="54" t="s">
        <v>909</v>
      </c>
      <c r="I7" s="55">
        <v>0.1</v>
      </c>
      <c r="J7" s="56">
        <f>(80*I7)*G7</f>
        <v>160</v>
      </c>
    </row>
    <row r="8" spans="1:11" ht="15.75" customHeight="1" x14ac:dyDescent="0.15">
      <c r="A8" s="21" t="s">
        <v>11</v>
      </c>
      <c r="B8" s="3">
        <f>'Menu item calculator'!F96</f>
        <v>12.302455072786691</v>
      </c>
      <c r="I8" s="57">
        <f>SUM(I5:I7)</f>
        <v>0.99999999999999989</v>
      </c>
    </row>
    <row r="9" spans="1:11" ht="15.75" customHeight="1" x14ac:dyDescent="0.15">
      <c r="A9" s="21" t="s">
        <v>12</v>
      </c>
      <c r="B9" s="3">
        <f>'Menu item calculator'!F110</f>
        <v>12.693955072786689</v>
      </c>
      <c r="J9" s="56">
        <f>SUM(J5:J7)</f>
        <v>368</v>
      </c>
      <c r="K9" s="54" t="s">
        <v>910</v>
      </c>
    </row>
    <row r="10" spans="1:11" ht="15.75" customHeight="1" x14ac:dyDescent="0.15">
      <c r="A10" s="21" t="s">
        <v>13</v>
      </c>
      <c r="B10" s="3">
        <f>'Menu item calculator'!F121</f>
        <v>3.7039399128540316</v>
      </c>
    </row>
    <row r="11" spans="1:11" ht="15.75" customHeight="1" x14ac:dyDescent="0.15">
      <c r="A11" s="21" t="s">
        <v>14</v>
      </c>
      <c r="B11" s="3">
        <f>'Menu item calculator'!F133</f>
        <v>2.8514399128540311</v>
      </c>
    </row>
    <row r="12" spans="1:11" ht="15.75" customHeight="1" x14ac:dyDescent="0.15">
      <c r="A12" s="21" t="s">
        <v>15</v>
      </c>
      <c r="B12" s="3">
        <f>'Menu item calculator'!F144</f>
        <v>4.210204618736384</v>
      </c>
    </row>
    <row r="13" spans="1:11" ht="15.75" customHeight="1" x14ac:dyDescent="0.15">
      <c r="A13" s="32" t="s">
        <v>16</v>
      </c>
      <c r="B13" s="3">
        <f>'Menu item calculator'!F156</f>
        <v>6.0332661176470594</v>
      </c>
    </row>
    <row r="14" spans="1:11" ht="15.75" customHeight="1" x14ac:dyDescent="0.15">
      <c r="A14" s="21" t="s">
        <v>17</v>
      </c>
      <c r="B14" s="3">
        <f>'Menu item calculator'!F169</f>
        <v>12.43326611764706</v>
      </c>
    </row>
    <row r="15" spans="1:11" ht="15.75" customHeight="1" x14ac:dyDescent="0.15">
      <c r="A15" s="21" t="s">
        <v>18</v>
      </c>
      <c r="B15" s="3">
        <f>'Menu item calculator'!F183</f>
        <v>8.7232661176470589</v>
      </c>
    </row>
    <row r="16" spans="1:11" ht="15.75" customHeight="1" x14ac:dyDescent="0.15">
      <c r="A16" s="21" t="s">
        <v>19</v>
      </c>
      <c r="B16" s="3">
        <f>'Menu item calculator'!F197</f>
        <v>10.626496050420169</v>
      </c>
    </row>
    <row r="17" spans="1:2" ht="15.75" customHeight="1" x14ac:dyDescent="0.15">
      <c r="A17" s="21" t="s">
        <v>20</v>
      </c>
      <c r="B17" s="3">
        <f>'Menu item calculator'!F211</f>
        <v>13.598996050420169</v>
      </c>
    </row>
    <row r="18" spans="1:2" ht="15.75" customHeight="1" x14ac:dyDescent="0.15">
      <c r="A18" s="21" t="s">
        <v>21</v>
      </c>
      <c r="B18" s="3">
        <f>'Menu item calculator'!F220</f>
        <v>0.2824686666666667</v>
      </c>
    </row>
    <row r="19" spans="1:2" ht="15.75" customHeight="1" x14ac:dyDescent="0.15">
      <c r="A19" s="33" t="s">
        <v>22</v>
      </c>
      <c r="B19" s="21" t="s">
        <v>23</v>
      </c>
    </row>
    <row r="20" spans="1:2" ht="13" x14ac:dyDescent="0.15">
      <c r="A20" s="21" t="s">
        <v>24</v>
      </c>
      <c r="B20" s="3">
        <f>'Menu item calculator'!F245</f>
        <v>4.7135224999999998</v>
      </c>
    </row>
    <row r="21" spans="1:2" ht="13" x14ac:dyDescent="0.15">
      <c r="A21" s="21" t="s">
        <v>25</v>
      </c>
      <c r="B21" s="3">
        <f>'Menu item calculator'!F255</f>
        <v>6.8936269503546104</v>
      </c>
    </row>
    <row r="22" spans="1:2" ht="13" x14ac:dyDescent="0.15">
      <c r="A22" s="21" t="s">
        <v>26</v>
      </c>
      <c r="B22" s="3">
        <f>'Menu item calculator'!F268</f>
        <v>3.5439748529411768</v>
      </c>
    </row>
    <row r="23" spans="1:2" ht="13" x14ac:dyDescent="0.15">
      <c r="A23" s="21" t="s">
        <v>27</v>
      </c>
      <c r="B23" s="3">
        <f>'Menu item calculator'!F279</f>
        <v>11.724652777777777</v>
      </c>
    </row>
    <row r="24" spans="1:2" ht="13" x14ac:dyDescent="0.15">
      <c r="A24" s="21" t="s">
        <v>28</v>
      </c>
      <c r="B24" s="3">
        <f>'Menu item calculator'!F291</f>
        <v>12.345572875816995</v>
      </c>
    </row>
    <row r="25" spans="1:2" ht="13" x14ac:dyDescent="0.15">
      <c r="A25" s="21" t="s">
        <v>29</v>
      </c>
      <c r="B25" s="3">
        <f>'Menu item calculator'!F298</f>
        <v>2.9466999999999999</v>
      </c>
    </row>
    <row r="26" spans="1:2" ht="13" x14ac:dyDescent="0.15">
      <c r="A26" s="21" t="s">
        <v>30</v>
      </c>
      <c r="B26" s="3">
        <f>'Menu item calculator'!F309</f>
        <v>5.3527634477124177</v>
      </c>
    </row>
    <row r="27" spans="1:2" ht="13" x14ac:dyDescent="0.15">
      <c r="A27" s="21" t="s">
        <v>31</v>
      </c>
      <c r="B27" s="3">
        <f>'Menu item calculator'!F320</f>
        <v>5.8647388888888896</v>
      </c>
    </row>
    <row r="28" spans="1:2" ht="13" x14ac:dyDescent="0.15">
      <c r="A28" s="21" t="s">
        <v>32</v>
      </c>
      <c r="B28" s="3">
        <f>'Menu item calculator'!F331</f>
        <v>5.7092388888888888</v>
      </c>
    </row>
    <row r="29" spans="1:2" ht="13" x14ac:dyDescent="0.15">
      <c r="A29" s="21" t="s">
        <v>33</v>
      </c>
      <c r="B29" s="3">
        <f>'Menu item calculator'!F345</f>
        <v>7.9863888888888894</v>
      </c>
    </row>
    <row r="30" spans="1:2" ht="13" x14ac:dyDescent="0.15">
      <c r="A30" s="21" t="s">
        <v>34</v>
      </c>
      <c r="B30" s="3">
        <f>'Menu item calculator'!F360</f>
        <v>6.7422916666666675</v>
      </c>
    </row>
    <row r="31" spans="1:2" ht="13" x14ac:dyDescent="0.15">
      <c r="A31" s="21" t="s">
        <v>35</v>
      </c>
      <c r="B31" s="3">
        <f>'Menu item calculator'!F378</f>
        <v>10.595722875816993</v>
      </c>
    </row>
    <row r="32" spans="1:2" ht="13" x14ac:dyDescent="0.15">
      <c r="A32" s="21" t="s">
        <v>36</v>
      </c>
      <c r="B32" s="3">
        <f>'Menu item calculator'!F389</f>
        <v>6.4831277777777769</v>
      </c>
    </row>
    <row r="33" spans="1:2" ht="13" x14ac:dyDescent="0.15">
      <c r="A33" s="21" t="s">
        <v>37</v>
      </c>
      <c r="B33" s="3">
        <f>'Menu item calculator'!F402</f>
        <v>3.4825109401709406</v>
      </c>
    </row>
    <row r="34" spans="1:2" ht="13" x14ac:dyDescent="0.15">
      <c r="A34" s="21" t="s">
        <v>38</v>
      </c>
      <c r="B34" s="3">
        <f>'Menu item calculator'!F415</f>
        <v>7.496184134615385</v>
      </c>
    </row>
    <row r="35" spans="1:2" ht="13" x14ac:dyDescent="0.15">
      <c r="A35" s="21" t="s">
        <v>39</v>
      </c>
      <c r="B35" s="3">
        <f>'Menu item calculator'!F430</f>
        <v>8.1066260538073038</v>
      </c>
    </row>
    <row r="36" spans="1:2" ht="13" x14ac:dyDescent="0.15">
      <c r="A36" s="21" t="s">
        <v>40</v>
      </c>
      <c r="B36" s="3">
        <f>'Menu item calculator'!F447</f>
        <v>5.6296128080447332</v>
      </c>
    </row>
    <row r="37" spans="1:2" ht="13" x14ac:dyDescent="0.15">
      <c r="A37" s="21" t="s">
        <v>41</v>
      </c>
      <c r="B37" s="3">
        <f>'Menu item calculator'!F459</f>
        <v>6.5508333333333333</v>
      </c>
    </row>
    <row r="38" spans="1:2" ht="13" x14ac:dyDescent="0.15">
      <c r="A38" s="21" t="s">
        <v>42</v>
      </c>
      <c r="B38" s="3">
        <f>'Menu item calculator'!F471</f>
        <v>6.0708333333333337</v>
      </c>
    </row>
    <row r="39" spans="1:2" ht="13" x14ac:dyDescent="0.15">
      <c r="A39" s="21" t="s">
        <v>43</v>
      </c>
      <c r="B39" s="3">
        <f>'Menu item calculator'!F483</f>
        <v>3.6417155555555554</v>
      </c>
    </row>
    <row r="40" spans="1:2" ht="13" x14ac:dyDescent="0.15">
      <c r="A40" s="21" t="s">
        <v>44</v>
      </c>
      <c r="B40" s="3">
        <f>'Menu item calculator'!F494</f>
        <v>4.7674817647058827</v>
      </c>
    </row>
    <row r="41" spans="1:2" ht="13" x14ac:dyDescent="0.15">
      <c r="A41" s="21" t="s">
        <v>45</v>
      </c>
      <c r="B41" s="3">
        <f>'Menu item calculator'!F510</f>
        <v>12.452476190476192</v>
      </c>
    </row>
    <row r="42" spans="1:2" ht="13" x14ac:dyDescent="0.15">
      <c r="A42" s="21" t="s">
        <v>46</v>
      </c>
      <c r="B42" s="3">
        <f>'Menu item calculator'!F522</f>
        <v>7.9840294117647037</v>
      </c>
    </row>
    <row r="43" spans="1:2" ht="13" x14ac:dyDescent="0.15">
      <c r="A43" s="21" t="s">
        <v>47</v>
      </c>
      <c r="B43" s="3">
        <f>'Menu item calculator'!F536</f>
        <v>6.2855288888888889</v>
      </c>
    </row>
    <row r="44" spans="1:2" ht="13" x14ac:dyDescent="0.15">
      <c r="A44" s="21" t="s">
        <v>48</v>
      </c>
      <c r="B44" s="3">
        <f>'Menu item calculator'!F550</f>
        <v>14.40424954248366</v>
      </c>
    </row>
    <row r="45" spans="1:2" ht="13" x14ac:dyDescent="0.15">
      <c r="A45" s="21" t="s">
        <v>49</v>
      </c>
      <c r="B45" s="3">
        <f>'Menu item calculator'!F557</f>
        <v>2.2880000000000003</v>
      </c>
    </row>
    <row r="46" spans="1:2" ht="13" x14ac:dyDescent="0.15">
      <c r="A46" s="21" t="s">
        <v>50</v>
      </c>
      <c r="B46" s="3">
        <f>'Menu item calculator'!F565</f>
        <v>3.791127083333333</v>
      </c>
    </row>
    <row r="47" spans="1:2" ht="13" x14ac:dyDescent="0.15">
      <c r="A47" s="21" t="s">
        <v>51</v>
      </c>
      <c r="B47" s="3">
        <f>'Menu item calculator'!F573</f>
        <v>1.0111270833333335</v>
      </c>
    </row>
    <row r="48" spans="1:2" ht="13" x14ac:dyDescent="0.15">
      <c r="A48" s="21" t="s">
        <v>52</v>
      </c>
      <c r="B48" s="3">
        <f>'Menu item calculator'!F585</f>
        <v>8.691076209150328</v>
      </c>
    </row>
    <row r="49" spans="1:2" ht="13" x14ac:dyDescent="0.15">
      <c r="A49" s="21" t="s">
        <v>53</v>
      </c>
      <c r="B49" s="3">
        <f>'Menu item calculator'!F597</f>
        <v>25.822881966726086</v>
      </c>
    </row>
    <row r="50" spans="1:2" ht="13" x14ac:dyDescent="0.15">
      <c r="A50" s="21" t="s">
        <v>54</v>
      </c>
      <c r="B50" s="3">
        <f>'Menu item calculator'!F609</f>
        <v>20.535477505446629</v>
      </c>
    </row>
    <row r="51" spans="1:2" ht="13" x14ac:dyDescent="0.15">
      <c r="A51" s="21" t="s">
        <v>55</v>
      </c>
      <c r="B51" s="3">
        <f>'Menu item calculator'!F624</f>
        <v>6.8691815266106442</v>
      </c>
    </row>
    <row r="52" spans="1:2" ht="13" x14ac:dyDescent="0.15">
      <c r="A52" s="21" t="s">
        <v>56</v>
      </c>
      <c r="B52" s="3">
        <f>'Menu item calculator'!F634</f>
        <v>4.729368611111112</v>
      </c>
    </row>
    <row r="53" spans="1:2" ht="13" x14ac:dyDescent="0.15">
      <c r="A53" s="21" t="s">
        <v>57</v>
      </c>
      <c r="B53" s="3">
        <f>'Menu item calculator'!F643</f>
        <v>2.4317298611111111</v>
      </c>
    </row>
    <row r="54" spans="1:2" ht="13" x14ac:dyDescent="0.15">
      <c r="A54" s="21" t="s">
        <v>58</v>
      </c>
      <c r="B54" s="3">
        <f>'Menu item calculator'!F653</f>
        <v>1.9642361111111111</v>
      </c>
    </row>
    <row r="55" spans="1:2" ht="13" x14ac:dyDescent="0.15">
      <c r="A55" s="23" t="s">
        <v>59</v>
      </c>
    </row>
    <row r="56" spans="1:2" ht="13" x14ac:dyDescent="0.15">
      <c r="A56" s="21" t="s">
        <v>60</v>
      </c>
      <c r="B56">
        <v>6.4</v>
      </c>
    </row>
    <row r="57" spans="1:2" ht="13" x14ac:dyDescent="0.15">
      <c r="A57" s="21" t="s">
        <v>61</v>
      </c>
      <c r="B57">
        <v>12.8</v>
      </c>
    </row>
    <row r="58" spans="1:2" ht="13" x14ac:dyDescent="0.15">
      <c r="A58" s="21" t="s">
        <v>62</v>
      </c>
    </row>
    <row r="59" spans="1:2" ht="13" x14ac:dyDescent="0.15">
      <c r="A59" s="21" t="s">
        <v>63</v>
      </c>
    </row>
    <row r="60" spans="1:2" ht="13" x14ac:dyDescent="0.15">
      <c r="A60" s="21" t="s">
        <v>64</v>
      </c>
    </row>
    <row r="61" spans="1:2" ht="13" x14ac:dyDescent="0.15">
      <c r="A61" s="21" t="s">
        <v>65</v>
      </c>
    </row>
    <row r="62" spans="1:2" ht="13" x14ac:dyDescent="0.15">
      <c r="A62" s="21" t="s">
        <v>66</v>
      </c>
    </row>
    <row r="63" spans="1:2" ht="13" x14ac:dyDescent="0.15">
      <c r="A63" s="21" t="s">
        <v>67</v>
      </c>
    </row>
    <row r="64" spans="1:2" ht="13" x14ac:dyDescent="0.15">
      <c r="A64" s="21" t="s">
        <v>68</v>
      </c>
    </row>
    <row r="65" spans="1:2" ht="13" x14ac:dyDescent="0.15">
      <c r="A65" s="21" t="s">
        <v>69</v>
      </c>
    </row>
    <row r="66" spans="1:2" ht="13" x14ac:dyDescent="0.15">
      <c r="A66" s="21" t="s">
        <v>70</v>
      </c>
    </row>
    <row r="67" spans="1:2" ht="13" x14ac:dyDescent="0.15">
      <c r="A67" s="21" t="s">
        <v>71</v>
      </c>
    </row>
    <row r="68" spans="1:2" ht="13" x14ac:dyDescent="0.15">
      <c r="A68" s="21" t="s">
        <v>72</v>
      </c>
    </row>
    <row r="69" spans="1:2" ht="13" x14ac:dyDescent="0.15">
      <c r="A69" s="21" t="s">
        <v>73</v>
      </c>
    </row>
    <row r="70" spans="1:2" ht="13" x14ac:dyDescent="0.15">
      <c r="A70" s="21" t="s">
        <v>74</v>
      </c>
    </row>
    <row r="71" spans="1:2" ht="13" x14ac:dyDescent="0.15">
      <c r="A71" s="21" t="s">
        <v>75</v>
      </c>
    </row>
    <row r="72" spans="1:2" ht="13" x14ac:dyDescent="0.15">
      <c r="A72" s="21" t="s">
        <v>76</v>
      </c>
    </row>
    <row r="73" spans="1:2" ht="13" x14ac:dyDescent="0.15">
      <c r="A73" s="21" t="s">
        <v>77</v>
      </c>
    </row>
    <row r="74" spans="1:2" ht="13" x14ac:dyDescent="0.15">
      <c r="A74" s="21" t="s">
        <v>78</v>
      </c>
    </row>
    <row r="75" spans="1:2" ht="13" x14ac:dyDescent="0.15">
      <c r="A75" s="21" t="s">
        <v>79</v>
      </c>
      <c r="B75" s="3">
        <f>'Menu item calculator'!F670</f>
        <v>15.2365935230529</v>
      </c>
    </row>
    <row r="76" spans="1:2" ht="13" x14ac:dyDescent="0.15">
      <c r="A76" s="21" t="s">
        <v>80</v>
      </c>
      <c r="B76" s="3">
        <f>'Menu item calculator'!F687</f>
        <v>12.068348451649207</v>
      </c>
    </row>
    <row r="77" spans="1:2" ht="13" x14ac:dyDescent="0.15">
      <c r="A77" s="21" t="s">
        <v>81</v>
      </c>
    </row>
    <row r="78" spans="1:2" ht="13" x14ac:dyDescent="0.15">
      <c r="A78" s="21" t="s">
        <v>82</v>
      </c>
      <c r="B78" s="3">
        <f>'Menu item calculator'!F702</f>
        <v>10.536879820261438</v>
      </c>
    </row>
    <row r="79" spans="1:2" ht="13" x14ac:dyDescent="0.15">
      <c r="A79" s="21" t="s">
        <v>83</v>
      </c>
      <c r="B79" s="3">
        <f>'Menu item calculator'!F717</f>
        <v>6.6146117647058835</v>
      </c>
    </row>
    <row r="80" spans="1:2" ht="13" x14ac:dyDescent="0.15">
      <c r="A80" s="21" t="s">
        <v>84</v>
      </c>
      <c r="B80" s="3">
        <f>'Menu item calculator'!F732</f>
        <v>9.3146290060851928</v>
      </c>
    </row>
    <row r="81" spans="1:2" ht="13" x14ac:dyDescent="0.15">
      <c r="A81" s="21" t="s">
        <v>85</v>
      </c>
    </row>
    <row r="82" spans="1:2" ht="13" x14ac:dyDescent="0.15">
      <c r="A82" s="21" t="s">
        <v>86</v>
      </c>
      <c r="B82" s="3">
        <f>'Menu item calculator'!F747</f>
        <v>8.7762663674780246</v>
      </c>
    </row>
    <row r="83" spans="1:2" ht="13" x14ac:dyDescent="0.15">
      <c r="A83" s="21" t="s">
        <v>87</v>
      </c>
      <c r="B83" s="3">
        <f>'Menu item calculator'!F759</f>
        <v>8.4688572008113603</v>
      </c>
    </row>
    <row r="84" spans="1:2" ht="13" x14ac:dyDescent="0.15">
      <c r="A84" s="21" t="s">
        <v>88</v>
      </c>
      <c r="B84" s="3">
        <f>'Menu item calculator'!F771</f>
        <v>6.775223867478025</v>
      </c>
    </row>
    <row r="85" spans="1:2" ht="13" x14ac:dyDescent="0.15">
      <c r="A85" s="21" t="s">
        <v>89</v>
      </c>
      <c r="B85" s="3">
        <f>'Menu item calculator'!F785</f>
        <v>11.938032414486571</v>
      </c>
    </row>
    <row r="86" spans="1:2" ht="13" x14ac:dyDescent="0.15">
      <c r="A86" s="21" t="s">
        <v>90</v>
      </c>
      <c r="B86" s="3">
        <f>'Menu item calculator'!F796</f>
        <v>7.8541173990772783</v>
      </c>
    </row>
    <row r="87" spans="1:2" ht="13" x14ac:dyDescent="0.15">
      <c r="A87" s="21" t="s">
        <v>91</v>
      </c>
      <c r="B87" s="3">
        <f>'Menu item calculator'!F804</f>
        <v>3.2159121027721431</v>
      </c>
    </row>
    <row r="88" spans="1:2" ht="13" x14ac:dyDescent="0.15">
      <c r="A88" s="21" t="s">
        <v>92</v>
      </c>
    </row>
    <row r="89" spans="1:2" ht="13" x14ac:dyDescent="0.15">
      <c r="A89" s="21" t="s">
        <v>93</v>
      </c>
      <c r="B89" s="3">
        <f>'Menu item calculator'!F813</f>
        <v>1.5932233333333334</v>
      </c>
    </row>
    <row r="90" spans="1:2" ht="13" x14ac:dyDescent="0.15">
      <c r="A90" s="21" t="s">
        <v>94</v>
      </c>
      <c r="B90" s="3">
        <f>'Menu item calculator'!F823</f>
        <v>8.2742777777777778</v>
      </c>
    </row>
    <row r="91" spans="1:2" ht="13" x14ac:dyDescent="0.15">
      <c r="A91" s="21" t="s">
        <v>95</v>
      </c>
      <c r="B91" s="3">
        <f>'Menu item calculator'!F833</f>
        <v>8.6657777777777767</v>
      </c>
    </row>
    <row r="92" spans="1:2" ht="13" x14ac:dyDescent="0.15">
      <c r="A92" s="21" t="s">
        <v>96</v>
      </c>
      <c r="B92" s="3">
        <f>'Menu item calculator'!F843</f>
        <v>8.2742777777777778</v>
      </c>
    </row>
    <row r="93" spans="1:2" ht="13" x14ac:dyDescent="0.15">
      <c r="A93" s="21" t="s">
        <v>97</v>
      </c>
      <c r="B93" s="3">
        <f>'Menu item calculator'!F853</f>
        <v>8.2742777777777778</v>
      </c>
    </row>
    <row r="94" spans="1:2" ht="13" x14ac:dyDescent="0.15">
      <c r="A94" s="21" t="s">
        <v>98</v>
      </c>
    </row>
    <row r="95" spans="1:2" ht="13" x14ac:dyDescent="0.15">
      <c r="A95" s="21" t="s">
        <v>99</v>
      </c>
      <c r="B95" s="3">
        <f>'Menu item calculator'!F866</f>
        <v>2.0725221230158728</v>
      </c>
    </row>
    <row r="96" spans="1:2" ht="13" x14ac:dyDescent="0.15">
      <c r="A96" s="21" t="s">
        <v>100</v>
      </c>
      <c r="B96" s="3">
        <f>'Menu item calculator'!F875</f>
        <v>2.9904746527777775</v>
      </c>
    </row>
    <row r="97" spans="1:2" ht="13" x14ac:dyDescent="0.15">
      <c r="A97" s="21" t="s">
        <v>101</v>
      </c>
      <c r="B97" s="3">
        <f>'Menu item calculator'!F885</f>
        <v>4.2914642857142855</v>
      </c>
    </row>
    <row r="98" spans="1:2" ht="13" x14ac:dyDescent="0.15">
      <c r="A98" s="21" t="s">
        <v>102</v>
      </c>
      <c r="B98" s="3">
        <f>'Menu item calculator'!F902</f>
        <v>11.494404761904761</v>
      </c>
    </row>
    <row r="99" spans="1:2" ht="13" x14ac:dyDescent="0.15">
      <c r="A99" s="21" t="s">
        <v>103</v>
      </c>
      <c r="B99" s="3">
        <f>'Menu item calculator'!F914</f>
        <v>7.0877777777777773</v>
      </c>
    </row>
    <row r="100" spans="1:2" ht="13" x14ac:dyDescent="0.15">
      <c r="A100" s="21" t="s">
        <v>104</v>
      </c>
      <c r="B100" s="3">
        <f>'Item list'!B32</f>
        <v>3.5986875000000005</v>
      </c>
    </row>
    <row r="101" spans="1:2" ht="13" x14ac:dyDescent="0.15">
      <c r="A101" s="21" t="s">
        <v>106</v>
      </c>
      <c r="B101" s="3">
        <f>'Menu item calculator'!F928</f>
        <v>3.4122727272727271</v>
      </c>
    </row>
    <row r="102" spans="1:2" ht="13" x14ac:dyDescent="0.15">
      <c r="A102" s="21" t="s">
        <v>107</v>
      </c>
      <c r="B102" s="3">
        <f>'Menu item calculator'!F940</f>
        <v>17.072000000000003</v>
      </c>
    </row>
    <row r="103" spans="1:2" ht="13" x14ac:dyDescent="0.15">
      <c r="A103" s="21" t="s">
        <v>108</v>
      </c>
      <c r="B103" s="3">
        <f>'Menu item calculator'!F953</f>
        <v>10.669278761061946</v>
      </c>
    </row>
    <row r="104" spans="1:2" ht="13" x14ac:dyDescent="0.15">
      <c r="A104" s="21" t="s">
        <v>109</v>
      </c>
      <c r="B104" s="3">
        <f>'Menu item calculator'!F967</f>
        <v>6.6424999999999992</v>
      </c>
    </row>
    <row r="105" spans="1:2" ht="13" x14ac:dyDescent="0.15">
      <c r="A105" s="21" t="s">
        <v>110</v>
      </c>
      <c r="B105" s="3">
        <f>'Menu item calculator'!F981</f>
        <v>11.714</v>
      </c>
    </row>
    <row r="106" spans="1:2" ht="13" x14ac:dyDescent="0.15">
      <c r="A106" s="21" t="s">
        <v>111</v>
      </c>
    </row>
    <row r="107" spans="1:2" ht="13" x14ac:dyDescent="0.15">
      <c r="A107" s="21" t="s">
        <v>112</v>
      </c>
    </row>
    <row r="108" spans="1:2" ht="13" x14ac:dyDescent="0.15">
      <c r="A108" s="21" t="s">
        <v>113</v>
      </c>
    </row>
    <row r="109" spans="1:2" ht="13" x14ac:dyDescent="0.15">
      <c r="A109" s="21" t="s">
        <v>114</v>
      </c>
    </row>
    <row r="110" spans="1:2" ht="13" x14ac:dyDescent="0.15">
      <c r="A110" s="21" t="s">
        <v>115</v>
      </c>
    </row>
    <row r="111" spans="1:2" ht="13" x14ac:dyDescent="0.15">
      <c r="A111" s="21" t="s">
        <v>116</v>
      </c>
    </row>
    <row r="112" spans="1:2" ht="13" x14ac:dyDescent="0.15">
      <c r="A112" s="21" t="s">
        <v>117</v>
      </c>
    </row>
    <row r="113" spans="1:1" ht="13" x14ac:dyDescent="0.15">
      <c r="A113" s="21" t="s">
        <v>118</v>
      </c>
    </row>
    <row r="114" spans="1:1" ht="13" x14ac:dyDescent="0.15">
      <c r="A114" s="21" t="s">
        <v>119</v>
      </c>
    </row>
    <row r="115" spans="1:1" ht="13" x14ac:dyDescent="0.15">
      <c r="A115" s="21" t="s">
        <v>120</v>
      </c>
    </row>
    <row r="116" spans="1:1" ht="13" x14ac:dyDescent="0.15">
      <c r="A116" s="21" t="s">
        <v>121</v>
      </c>
    </row>
    <row r="117" spans="1:1" ht="13" x14ac:dyDescent="0.15">
      <c r="A117" s="21" t="s">
        <v>122</v>
      </c>
    </row>
    <row r="118" spans="1:1" ht="13" x14ac:dyDescent="0.15">
      <c r="A118" s="21" t="s">
        <v>123</v>
      </c>
    </row>
    <row r="119" spans="1:1" ht="13" x14ac:dyDescent="0.15">
      <c r="A119" s="21" t="s">
        <v>124</v>
      </c>
    </row>
    <row r="120" spans="1:1" ht="13" x14ac:dyDescent="0.15">
      <c r="A120" s="21" t="s">
        <v>125</v>
      </c>
    </row>
    <row r="121" spans="1:1" ht="13" x14ac:dyDescent="0.15">
      <c r="A121" s="21" t="s">
        <v>126</v>
      </c>
    </row>
    <row r="122" spans="1:1" ht="13" x14ac:dyDescent="0.15">
      <c r="A122" s="21" t="s">
        <v>127</v>
      </c>
    </row>
    <row r="123" spans="1:1" ht="13" x14ac:dyDescent="0.15">
      <c r="A123" s="21" t="s">
        <v>128</v>
      </c>
    </row>
    <row r="124" spans="1:1" ht="13" x14ac:dyDescent="0.15">
      <c r="A124" s="21" t="s">
        <v>129</v>
      </c>
    </row>
    <row r="125" spans="1:1" ht="13" x14ac:dyDescent="0.15">
      <c r="A125" s="21" t="s">
        <v>130</v>
      </c>
    </row>
    <row r="126" spans="1:1" ht="13" x14ac:dyDescent="0.15">
      <c r="A126" s="21" t="s">
        <v>131</v>
      </c>
    </row>
    <row r="127" spans="1:1" ht="13" x14ac:dyDescent="0.15">
      <c r="A127" s="21" t="s">
        <v>132</v>
      </c>
    </row>
    <row r="128" spans="1:1" ht="13" x14ac:dyDescent="0.15">
      <c r="A128" s="21" t="s">
        <v>133</v>
      </c>
    </row>
    <row r="129" spans="1:1" ht="13" x14ac:dyDescent="0.15">
      <c r="A129" s="21" t="s">
        <v>134</v>
      </c>
    </row>
    <row r="130" spans="1:1" ht="13" x14ac:dyDescent="0.15">
      <c r="A130" s="21" t="s">
        <v>135</v>
      </c>
    </row>
    <row r="131" spans="1:1" ht="13" x14ac:dyDescent="0.15">
      <c r="A131" s="21" t="s">
        <v>136</v>
      </c>
    </row>
    <row r="132" spans="1:1" ht="13" x14ac:dyDescent="0.15">
      <c r="A132" s="21" t="s">
        <v>137</v>
      </c>
    </row>
    <row r="133" spans="1:1" ht="13" x14ac:dyDescent="0.15">
      <c r="A133" s="21" t="s">
        <v>138</v>
      </c>
    </row>
    <row r="134" spans="1:1" ht="13" x14ac:dyDescent="0.15">
      <c r="A134" s="21" t="s">
        <v>139</v>
      </c>
    </row>
    <row r="135" spans="1:1" ht="13" x14ac:dyDescent="0.15">
      <c r="A135" s="21" t="s">
        <v>140</v>
      </c>
    </row>
    <row r="136" spans="1:1" ht="13" x14ac:dyDescent="0.15">
      <c r="A136" s="21" t="s">
        <v>141</v>
      </c>
    </row>
    <row r="137" spans="1:1" ht="13" x14ac:dyDescent="0.15">
      <c r="A137" s="21" t="s">
        <v>142</v>
      </c>
    </row>
    <row r="138" spans="1:1" ht="13" x14ac:dyDescent="0.15">
      <c r="A138" s="21" t="s">
        <v>143</v>
      </c>
    </row>
    <row r="139" spans="1:1" ht="13" x14ac:dyDescent="0.15">
      <c r="A139" s="21" t="s">
        <v>144</v>
      </c>
    </row>
    <row r="140" spans="1:1" ht="13" x14ac:dyDescent="0.15">
      <c r="A140" s="21" t="s">
        <v>145</v>
      </c>
    </row>
    <row r="141" spans="1:1" ht="13" x14ac:dyDescent="0.15">
      <c r="A141" s="21" t="s">
        <v>146</v>
      </c>
    </row>
    <row r="142" spans="1:1" ht="13" x14ac:dyDescent="0.15">
      <c r="A142" s="21" t="s">
        <v>147</v>
      </c>
    </row>
    <row r="143" spans="1:1" ht="13" x14ac:dyDescent="0.15">
      <c r="A143" s="21" t="s">
        <v>148</v>
      </c>
    </row>
    <row r="144" spans="1:1" ht="13" x14ac:dyDescent="0.15">
      <c r="A144" s="21" t="s">
        <v>149</v>
      </c>
    </row>
    <row r="145" spans="1:2" ht="13" x14ac:dyDescent="0.15">
      <c r="A145" s="21" t="s">
        <v>150</v>
      </c>
    </row>
    <row r="146" spans="1:2" ht="13" x14ac:dyDescent="0.15">
      <c r="A146" s="21" t="s">
        <v>151</v>
      </c>
    </row>
    <row r="147" spans="1:2" ht="13" x14ac:dyDescent="0.15">
      <c r="A147" s="21" t="s">
        <v>152</v>
      </c>
      <c r="B147" s="3">
        <f>'Menu item calculator'!F1081</f>
        <v>3.2119513002364064</v>
      </c>
    </row>
    <row r="148" spans="1:2" ht="13" x14ac:dyDescent="0.15">
      <c r="A148" s="21" t="s">
        <v>153</v>
      </c>
      <c r="B148" s="3">
        <f>'Menu item calculator'!F1093</f>
        <v>4.4562444444444438</v>
      </c>
    </row>
    <row r="149" spans="1:2" ht="13" x14ac:dyDescent="0.15">
      <c r="A149" s="21" t="s">
        <v>154</v>
      </c>
      <c r="B149" s="3">
        <f>'Menu item calculator'!F1104</f>
        <v>5.6696290598290604</v>
      </c>
    </row>
    <row r="150" spans="1:2" ht="13" x14ac:dyDescent="0.15">
      <c r="A150" s="21" t="s">
        <v>155</v>
      </c>
    </row>
    <row r="151" spans="1:2" ht="13" x14ac:dyDescent="0.15">
      <c r="A151" s="21" t="s">
        <v>156</v>
      </c>
      <c r="B151" s="3">
        <f>'Menu item calculator'!F994</f>
        <v>6.3463010461760465</v>
      </c>
    </row>
    <row r="152" spans="1:2" ht="13" x14ac:dyDescent="0.15">
      <c r="A152" s="21" t="s">
        <v>157</v>
      </c>
      <c r="B152" s="3">
        <f>'Menu item calculator'!F1009</f>
        <v>8.5898285461760455</v>
      </c>
    </row>
    <row r="153" spans="1:2" ht="13" x14ac:dyDescent="0.15">
      <c r="A153" s="21" t="s">
        <v>159</v>
      </c>
      <c r="B153" s="21" t="s">
        <v>911</v>
      </c>
    </row>
    <row r="154" spans="1:2" ht="13" x14ac:dyDescent="0.15">
      <c r="A154" s="21" t="s">
        <v>160</v>
      </c>
      <c r="B154" s="3">
        <f>'Menu item calculator'!F1022</f>
        <v>6.023301046176047</v>
      </c>
    </row>
    <row r="155" spans="1:2" ht="13" x14ac:dyDescent="0.15">
      <c r="A155" s="21" t="s">
        <v>161</v>
      </c>
      <c r="B155" s="3">
        <f>'Menu item calculator'!F1037</f>
        <v>12.591813866688867</v>
      </c>
    </row>
    <row r="156" spans="1:2" ht="13" x14ac:dyDescent="0.15">
      <c r="A156" s="21" t="s">
        <v>162</v>
      </c>
      <c r="B156" s="21" t="s">
        <v>911</v>
      </c>
    </row>
    <row r="157" spans="1:2" ht="13" x14ac:dyDescent="0.15">
      <c r="A157" s="21" t="s">
        <v>163</v>
      </c>
      <c r="B157" s="21" t="s">
        <v>911</v>
      </c>
    </row>
    <row r="158" spans="1:2" ht="13" x14ac:dyDescent="0.15">
      <c r="A158" s="21" t="s">
        <v>164</v>
      </c>
      <c r="B158" s="3">
        <f>'Menu item calculator'!F1056</f>
        <v>21.638328046953045</v>
      </c>
    </row>
    <row r="159" spans="1:2" ht="13" x14ac:dyDescent="0.15">
      <c r="A159" s="21" t="s">
        <v>165</v>
      </c>
      <c r="B159" s="21" t="s">
        <v>911</v>
      </c>
    </row>
    <row r="160" spans="1:2" ht="13" x14ac:dyDescent="0.15">
      <c r="A160" s="21" t="s">
        <v>166</v>
      </c>
    </row>
    <row r="161" spans="1:2" ht="13" x14ac:dyDescent="0.15">
      <c r="A161" s="21" t="s">
        <v>167</v>
      </c>
      <c r="B161" s="3">
        <f>'Menu item calculator'!F1120</f>
        <v>7.3999999999999995</v>
      </c>
    </row>
    <row r="162" spans="1:2" ht="13" x14ac:dyDescent="0.15">
      <c r="A162" s="21" t="s">
        <v>168</v>
      </c>
      <c r="B162" s="3">
        <f>'Menu item calculator'!F1135</f>
        <v>2.8844444444444441</v>
      </c>
    </row>
    <row r="163" spans="1:2" ht="13" x14ac:dyDescent="0.15">
      <c r="A163" s="21" t="s">
        <v>169</v>
      </c>
      <c r="B163" s="3">
        <f>'Menu item calculator'!F1149</f>
        <v>11.288980555555558</v>
      </c>
    </row>
    <row r="164" spans="1:2" ht="13" x14ac:dyDescent="0.15">
      <c r="A164" s="21" t="s">
        <v>170</v>
      </c>
      <c r="B164" s="3">
        <f>'Menu item calculator'!F1164</f>
        <v>5.6254669191919193</v>
      </c>
    </row>
    <row r="165" spans="1:2" ht="13" x14ac:dyDescent="0.15">
      <c r="A165" s="21" t="s">
        <v>171</v>
      </c>
      <c r="B165" s="3">
        <f>'Menu item calculator'!F1185</f>
        <v>9.2617659469696978</v>
      </c>
    </row>
    <row r="166" spans="1:2" ht="13" x14ac:dyDescent="0.15">
      <c r="A166" s="21" t="s">
        <v>172</v>
      </c>
      <c r="B166" s="3">
        <f>'Menu item calculator'!F1202</f>
        <v>2.5134444444444446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501"/>
  <sheetViews>
    <sheetView topLeftCell="F792" workbookViewId="0">
      <selection activeCell="H804" sqref="H804"/>
    </sheetView>
  </sheetViews>
  <sheetFormatPr baseColWidth="10" defaultColWidth="14.5" defaultRowHeight="15.75" customHeight="1" x14ac:dyDescent="0.15"/>
  <cols>
    <col min="1" max="1" width="12.6640625" customWidth="1"/>
    <col min="2" max="2" width="27.83203125" customWidth="1"/>
    <col min="3" max="3" width="13.5" customWidth="1"/>
    <col min="4" max="4" width="21.83203125" customWidth="1"/>
    <col min="5" max="5" width="16.6640625" customWidth="1"/>
    <col min="6" max="6" width="15.83203125" customWidth="1"/>
  </cols>
  <sheetData>
    <row r="1" spans="1:6" ht="13" x14ac:dyDescent="0.15">
      <c r="A1" s="172" t="s">
        <v>5</v>
      </c>
      <c r="B1" s="173"/>
      <c r="C1" s="171"/>
    </row>
    <row r="2" spans="1:6" ht="15.75" customHeight="1" x14ac:dyDescent="0.15">
      <c r="A2" s="168" t="s">
        <v>773</v>
      </c>
      <c r="B2" s="168" t="s">
        <v>774</v>
      </c>
      <c r="C2" s="168" t="s">
        <v>775</v>
      </c>
      <c r="D2" s="168" t="s">
        <v>719</v>
      </c>
      <c r="E2" s="168" t="s">
        <v>776</v>
      </c>
      <c r="F2" s="168" t="s">
        <v>777</v>
      </c>
    </row>
    <row r="3" spans="1:6" ht="15.75" customHeight="1" x14ac:dyDescent="0.15">
      <c r="A3" s="169"/>
      <c r="B3" s="169"/>
      <c r="C3" s="169"/>
      <c r="D3" s="169"/>
      <c r="E3" s="169"/>
      <c r="F3" s="169"/>
    </row>
    <row r="4" spans="1:6" ht="13" x14ac:dyDescent="0.15">
      <c r="A4" s="10">
        <v>1</v>
      </c>
      <c r="B4" s="25" t="s">
        <v>356</v>
      </c>
      <c r="C4" s="25">
        <v>1</v>
      </c>
      <c r="D4" s="5" t="s">
        <v>721</v>
      </c>
      <c r="E4" s="5">
        <f>'Master Price list'!G69/10</f>
        <v>6.6508333333333336E-2</v>
      </c>
      <c r="F4" s="5">
        <f t="shared" ref="F4:F11" si="0">E4*C4</f>
        <v>6.6508333333333336E-2</v>
      </c>
    </row>
    <row r="5" spans="1:6" ht="13" x14ac:dyDescent="0.15">
      <c r="A5" s="10">
        <v>2</v>
      </c>
      <c r="B5" s="25" t="s">
        <v>232</v>
      </c>
      <c r="C5" s="25">
        <v>0.01</v>
      </c>
      <c r="D5" s="5" t="s">
        <v>183</v>
      </c>
      <c r="E5" s="5">
        <f>'Master Price list'!G21</f>
        <v>39.200000000000003</v>
      </c>
      <c r="F5" s="5">
        <f t="shared" si="0"/>
        <v>0.39200000000000002</v>
      </c>
    </row>
    <row r="6" spans="1:6" ht="13" x14ac:dyDescent="0.15">
      <c r="A6" s="10">
        <v>3</v>
      </c>
      <c r="B6" s="25" t="s">
        <v>741</v>
      </c>
      <c r="C6" s="25">
        <v>1</v>
      </c>
      <c r="D6" s="5" t="s">
        <v>721</v>
      </c>
      <c r="E6" s="5">
        <f>'Item list'!B31</f>
        <v>1.7691117647058825</v>
      </c>
      <c r="F6" s="5">
        <f t="shared" si="0"/>
        <v>1.7691117647058825</v>
      </c>
    </row>
    <row r="7" spans="1:6" ht="13" x14ac:dyDescent="0.15">
      <c r="A7" s="10">
        <v>4</v>
      </c>
      <c r="B7" s="25" t="s">
        <v>611</v>
      </c>
      <c r="C7" s="25">
        <v>2E-3</v>
      </c>
      <c r="D7" s="5" t="s">
        <v>183</v>
      </c>
      <c r="E7" s="5">
        <f>'Master Price list'!G169</f>
        <v>11.5</v>
      </c>
      <c r="F7" s="5">
        <f t="shared" si="0"/>
        <v>2.3E-2</v>
      </c>
    </row>
    <row r="8" spans="1:6" ht="13" x14ac:dyDescent="0.15">
      <c r="A8" s="10">
        <v>5</v>
      </c>
      <c r="B8" s="25" t="s">
        <v>912</v>
      </c>
      <c r="C8" s="25">
        <v>1</v>
      </c>
      <c r="D8" s="5" t="s">
        <v>721</v>
      </c>
      <c r="E8" s="5">
        <f>'Item list calculator'!I23</f>
        <v>4.1504444444444442</v>
      </c>
      <c r="F8" s="5">
        <f t="shared" si="0"/>
        <v>4.1504444444444442</v>
      </c>
    </row>
    <row r="9" spans="1:6" ht="13" x14ac:dyDescent="0.15">
      <c r="A9" s="10">
        <v>6</v>
      </c>
      <c r="B9" s="25" t="s">
        <v>771</v>
      </c>
      <c r="C9" s="25">
        <v>1</v>
      </c>
      <c r="D9" s="5" t="s">
        <v>721</v>
      </c>
      <c r="E9" s="5">
        <f>'Item list'!B2</f>
        <v>3.6284444444444444</v>
      </c>
      <c r="F9" s="5">
        <f t="shared" si="0"/>
        <v>3.6284444444444444</v>
      </c>
    </row>
    <row r="10" spans="1:6" ht="13" x14ac:dyDescent="0.15">
      <c r="A10" s="10">
        <v>7</v>
      </c>
      <c r="B10" s="25" t="s">
        <v>64</v>
      </c>
      <c r="C10" s="25">
        <v>1</v>
      </c>
      <c r="D10" s="5" t="s">
        <v>721</v>
      </c>
      <c r="E10" s="5">
        <f>'Item list'!B30</f>
        <v>1.7707396825396826</v>
      </c>
      <c r="F10" s="5">
        <f t="shared" si="0"/>
        <v>1.7707396825396826</v>
      </c>
    </row>
    <row r="11" spans="1:6" ht="13" x14ac:dyDescent="0.15">
      <c r="A11" s="10">
        <v>8</v>
      </c>
      <c r="B11" s="25" t="s">
        <v>68</v>
      </c>
      <c r="C11" s="25">
        <v>7.4999999999999997E-2</v>
      </c>
      <c r="D11" s="5" t="s">
        <v>183</v>
      </c>
      <c r="E11" s="5">
        <f>'Master Price list'!G7</f>
        <v>45.7</v>
      </c>
      <c r="F11" s="5">
        <f t="shared" si="0"/>
        <v>3.4275000000000002</v>
      </c>
    </row>
    <row r="12" spans="1:6" ht="13" x14ac:dyDescent="0.15">
      <c r="D12" s="170" t="s">
        <v>777</v>
      </c>
      <c r="E12" s="171"/>
      <c r="F12" s="29">
        <f>SUM(F4:F11)</f>
        <v>15.227748669467786</v>
      </c>
    </row>
    <row r="13" spans="1:6" ht="13" x14ac:dyDescent="0.15">
      <c r="D13" s="30"/>
      <c r="E13" s="30"/>
      <c r="F13" s="30"/>
    </row>
    <row r="15" spans="1:6" ht="13" x14ac:dyDescent="0.15">
      <c r="A15" s="172" t="s">
        <v>6</v>
      </c>
      <c r="B15" s="173"/>
      <c r="C15" s="171"/>
    </row>
    <row r="16" spans="1:6" ht="15.75" customHeight="1" x14ac:dyDescent="0.15">
      <c r="A16" s="168" t="s">
        <v>773</v>
      </c>
      <c r="B16" s="168" t="s">
        <v>774</v>
      </c>
      <c r="C16" s="168" t="s">
        <v>775</v>
      </c>
      <c r="D16" s="168" t="s">
        <v>719</v>
      </c>
      <c r="E16" s="168" t="s">
        <v>776</v>
      </c>
      <c r="F16" s="168" t="s">
        <v>777</v>
      </c>
    </row>
    <row r="17" spans="1:6" ht="15.75" customHeight="1" x14ac:dyDescent="0.15">
      <c r="A17" s="169"/>
      <c r="B17" s="169"/>
      <c r="C17" s="169"/>
      <c r="D17" s="169"/>
      <c r="E17" s="169"/>
      <c r="F17" s="169"/>
    </row>
    <row r="18" spans="1:6" ht="13" x14ac:dyDescent="0.15">
      <c r="A18" s="10">
        <v>1</v>
      </c>
      <c r="B18" s="25" t="s">
        <v>356</v>
      </c>
      <c r="C18" s="25">
        <v>1</v>
      </c>
      <c r="D18" s="5" t="s">
        <v>721</v>
      </c>
      <c r="E18" s="5">
        <f>'Master Price list'!G69/10</f>
        <v>6.6508333333333336E-2</v>
      </c>
      <c r="F18" s="5">
        <f t="shared" ref="F18:F25" si="1">E18*C18</f>
        <v>6.6508333333333336E-2</v>
      </c>
    </row>
    <row r="19" spans="1:6" ht="13" x14ac:dyDescent="0.15">
      <c r="A19" s="10">
        <v>2</v>
      </c>
      <c r="B19" s="25" t="s">
        <v>232</v>
      </c>
      <c r="C19" s="25">
        <v>0.01</v>
      </c>
      <c r="D19" s="5" t="s">
        <v>183</v>
      </c>
      <c r="E19" s="5">
        <f>'Master Price list'!G21</f>
        <v>39.200000000000003</v>
      </c>
      <c r="F19" s="5">
        <f t="shared" si="1"/>
        <v>0.39200000000000002</v>
      </c>
    </row>
    <row r="20" spans="1:6" ht="13" x14ac:dyDescent="0.15">
      <c r="A20" s="10">
        <v>3</v>
      </c>
      <c r="B20" s="25" t="s">
        <v>741</v>
      </c>
      <c r="C20" s="25">
        <v>1</v>
      </c>
      <c r="D20" s="5" t="s">
        <v>721</v>
      </c>
      <c r="E20" s="5">
        <f>'Item list'!B31</f>
        <v>1.7691117647058825</v>
      </c>
      <c r="F20" s="5">
        <f t="shared" si="1"/>
        <v>1.7691117647058825</v>
      </c>
    </row>
    <row r="21" spans="1:6" ht="13" x14ac:dyDescent="0.15">
      <c r="A21" s="10">
        <v>4</v>
      </c>
      <c r="B21" s="25" t="s">
        <v>611</v>
      </c>
      <c r="C21" s="25">
        <v>2E-3</v>
      </c>
      <c r="D21" s="5" t="s">
        <v>183</v>
      </c>
      <c r="E21" s="5">
        <f t="shared" ref="E21:E24" si="2">E7</f>
        <v>11.5</v>
      </c>
      <c r="F21" s="5">
        <f t="shared" si="1"/>
        <v>2.3E-2</v>
      </c>
    </row>
    <row r="22" spans="1:6" ht="13" x14ac:dyDescent="0.15">
      <c r="A22" s="10">
        <v>5</v>
      </c>
      <c r="B22" s="25" t="s">
        <v>912</v>
      </c>
      <c r="C22" s="25">
        <v>1</v>
      </c>
      <c r="D22" s="5" t="s">
        <v>721</v>
      </c>
      <c r="E22" s="5">
        <f t="shared" si="2"/>
        <v>4.1504444444444442</v>
      </c>
      <c r="F22" s="5">
        <f t="shared" si="1"/>
        <v>4.1504444444444442</v>
      </c>
    </row>
    <row r="23" spans="1:6" ht="13" x14ac:dyDescent="0.15">
      <c r="A23" s="10">
        <v>6</v>
      </c>
      <c r="B23" s="25" t="s">
        <v>771</v>
      </c>
      <c r="C23" s="25">
        <v>1</v>
      </c>
      <c r="D23" s="5" t="s">
        <v>721</v>
      </c>
      <c r="E23" s="5">
        <f t="shared" si="2"/>
        <v>3.6284444444444444</v>
      </c>
      <c r="F23" s="5">
        <f t="shared" si="1"/>
        <v>3.6284444444444444</v>
      </c>
    </row>
    <row r="24" spans="1:6" ht="13" x14ac:dyDescent="0.15">
      <c r="A24" s="10">
        <v>7</v>
      </c>
      <c r="B24" s="25" t="s">
        <v>64</v>
      </c>
      <c r="C24" s="25">
        <v>1</v>
      </c>
      <c r="D24" s="5" t="s">
        <v>721</v>
      </c>
      <c r="E24" s="5">
        <f t="shared" si="2"/>
        <v>1.7707396825396826</v>
      </c>
      <c r="F24" s="5">
        <f t="shared" si="1"/>
        <v>1.7707396825396826</v>
      </c>
    </row>
    <row r="25" spans="1:6" ht="13" x14ac:dyDescent="0.15">
      <c r="A25" s="10">
        <v>8</v>
      </c>
      <c r="B25" s="25" t="s">
        <v>913</v>
      </c>
      <c r="C25" s="25">
        <v>7.4999999999999997E-2</v>
      </c>
      <c r="D25" s="5" t="s">
        <v>183</v>
      </c>
      <c r="E25" s="5">
        <f>'Master Price list'!G14</f>
        <v>45.7</v>
      </c>
      <c r="F25" s="5">
        <f t="shared" si="1"/>
        <v>3.4275000000000002</v>
      </c>
    </row>
    <row r="26" spans="1:6" ht="13" x14ac:dyDescent="0.15">
      <c r="D26" s="170" t="s">
        <v>777</v>
      </c>
      <c r="E26" s="171"/>
      <c r="F26" s="29">
        <f>SUM(F18:F25)</f>
        <v>15.227748669467786</v>
      </c>
    </row>
    <row r="29" spans="1:6" ht="13" x14ac:dyDescent="0.15">
      <c r="A29" s="172" t="s">
        <v>7</v>
      </c>
      <c r="B29" s="173"/>
      <c r="C29" s="171"/>
    </row>
    <row r="30" spans="1:6" ht="13" x14ac:dyDescent="0.15">
      <c r="A30" s="168" t="s">
        <v>773</v>
      </c>
      <c r="B30" s="168" t="s">
        <v>774</v>
      </c>
      <c r="C30" s="168" t="s">
        <v>775</v>
      </c>
      <c r="D30" s="168" t="s">
        <v>719</v>
      </c>
      <c r="E30" s="168" t="s">
        <v>776</v>
      </c>
      <c r="F30" s="168" t="s">
        <v>777</v>
      </c>
    </row>
    <row r="31" spans="1:6" ht="13" x14ac:dyDescent="0.15">
      <c r="A31" s="169"/>
      <c r="B31" s="169"/>
      <c r="C31" s="169"/>
      <c r="D31" s="169"/>
      <c r="E31" s="169"/>
      <c r="F31" s="169"/>
    </row>
    <row r="32" spans="1:6" ht="13" x14ac:dyDescent="0.15">
      <c r="A32" s="10">
        <v>1</v>
      </c>
      <c r="B32" s="25" t="s">
        <v>356</v>
      </c>
      <c r="C32" s="25">
        <v>1</v>
      </c>
      <c r="D32" s="5" t="s">
        <v>721</v>
      </c>
      <c r="E32" s="5">
        <f t="shared" ref="E32:E38" si="3">E18</f>
        <v>6.6508333333333336E-2</v>
      </c>
      <c r="F32" s="5">
        <f t="shared" ref="F32:F39" si="4">E32*C32</f>
        <v>6.6508333333333336E-2</v>
      </c>
    </row>
    <row r="33" spans="1:6" ht="13" x14ac:dyDescent="0.15">
      <c r="A33" s="10">
        <v>2</v>
      </c>
      <c r="B33" s="25" t="s">
        <v>232</v>
      </c>
      <c r="C33" s="25">
        <v>0.01</v>
      </c>
      <c r="D33" s="5" t="s">
        <v>183</v>
      </c>
      <c r="E33" s="5">
        <f t="shared" si="3"/>
        <v>39.200000000000003</v>
      </c>
      <c r="F33" s="5">
        <f t="shared" si="4"/>
        <v>0.39200000000000002</v>
      </c>
    </row>
    <row r="34" spans="1:6" ht="13" x14ac:dyDescent="0.15">
      <c r="A34" s="10">
        <v>3</v>
      </c>
      <c r="B34" s="25" t="s">
        <v>741</v>
      </c>
      <c r="C34" s="25">
        <v>1</v>
      </c>
      <c r="D34" s="5" t="s">
        <v>721</v>
      </c>
      <c r="E34" s="5">
        <f t="shared" si="3"/>
        <v>1.7691117647058825</v>
      </c>
      <c r="F34" s="5">
        <f t="shared" si="4"/>
        <v>1.7691117647058825</v>
      </c>
    </row>
    <row r="35" spans="1:6" ht="13" x14ac:dyDescent="0.15">
      <c r="A35" s="10">
        <v>4</v>
      </c>
      <c r="B35" s="25" t="s">
        <v>611</v>
      </c>
      <c r="C35" s="25">
        <v>2E-3</v>
      </c>
      <c r="D35" s="5" t="s">
        <v>183</v>
      </c>
      <c r="E35" s="5">
        <f t="shared" si="3"/>
        <v>11.5</v>
      </c>
      <c r="F35" s="5">
        <f t="shared" si="4"/>
        <v>2.3E-2</v>
      </c>
    </row>
    <row r="36" spans="1:6" ht="13" x14ac:dyDescent="0.15">
      <c r="A36" s="10">
        <v>5</v>
      </c>
      <c r="B36" s="25" t="s">
        <v>912</v>
      </c>
      <c r="C36" s="25">
        <v>1</v>
      </c>
      <c r="D36" s="5" t="s">
        <v>721</v>
      </c>
      <c r="E36" s="5">
        <f t="shared" si="3"/>
        <v>4.1504444444444442</v>
      </c>
      <c r="F36" s="5">
        <f t="shared" si="4"/>
        <v>4.1504444444444442</v>
      </c>
    </row>
    <row r="37" spans="1:6" ht="13" x14ac:dyDescent="0.15">
      <c r="A37" s="10">
        <v>6</v>
      </c>
      <c r="B37" s="25" t="s">
        <v>771</v>
      </c>
      <c r="C37" s="25">
        <v>1</v>
      </c>
      <c r="D37" s="5" t="s">
        <v>721</v>
      </c>
      <c r="E37" s="5">
        <f t="shared" si="3"/>
        <v>3.6284444444444444</v>
      </c>
      <c r="F37" s="5">
        <f t="shared" si="4"/>
        <v>3.6284444444444444</v>
      </c>
    </row>
    <row r="38" spans="1:6" ht="13" x14ac:dyDescent="0.15">
      <c r="A38" s="10">
        <v>7</v>
      </c>
      <c r="B38" s="25" t="s">
        <v>64</v>
      </c>
      <c r="C38" s="25">
        <v>1</v>
      </c>
      <c r="D38" s="5" t="s">
        <v>721</v>
      </c>
      <c r="E38" s="5">
        <f t="shared" si="3"/>
        <v>1.7707396825396826</v>
      </c>
      <c r="F38" s="5">
        <f t="shared" si="4"/>
        <v>1.7707396825396826</v>
      </c>
    </row>
    <row r="39" spans="1:6" ht="13" x14ac:dyDescent="0.15">
      <c r="A39" s="10">
        <v>8</v>
      </c>
      <c r="B39" s="25" t="s">
        <v>914</v>
      </c>
      <c r="C39" s="25">
        <v>7.4999999999999997E-2</v>
      </c>
      <c r="D39" s="5" t="s">
        <v>183</v>
      </c>
      <c r="E39" s="5">
        <f>'Master Price list'!G11</f>
        <v>45.7</v>
      </c>
      <c r="F39" s="5">
        <f t="shared" si="4"/>
        <v>3.4275000000000002</v>
      </c>
    </row>
    <row r="40" spans="1:6" ht="13" x14ac:dyDescent="0.15">
      <c r="D40" s="170" t="s">
        <v>777</v>
      </c>
      <c r="E40" s="171"/>
      <c r="F40" s="29">
        <f>SUM(F32:F39)</f>
        <v>15.227748669467786</v>
      </c>
    </row>
    <row r="43" spans="1:6" ht="13" x14ac:dyDescent="0.15">
      <c r="A43" s="172" t="s">
        <v>8</v>
      </c>
      <c r="B43" s="173"/>
      <c r="C43" s="171"/>
    </row>
    <row r="44" spans="1:6" ht="13" x14ac:dyDescent="0.15">
      <c r="A44" s="168" t="s">
        <v>773</v>
      </c>
      <c r="B44" s="168" t="s">
        <v>774</v>
      </c>
      <c r="C44" s="168" t="s">
        <v>775</v>
      </c>
      <c r="D44" s="168" t="s">
        <v>719</v>
      </c>
      <c r="E44" s="168" t="s">
        <v>776</v>
      </c>
      <c r="F44" s="168" t="s">
        <v>777</v>
      </c>
    </row>
    <row r="45" spans="1:6" ht="13" x14ac:dyDescent="0.15">
      <c r="A45" s="169"/>
      <c r="B45" s="169"/>
      <c r="C45" s="169"/>
      <c r="D45" s="169"/>
      <c r="E45" s="169"/>
      <c r="F45" s="169"/>
    </row>
    <row r="46" spans="1:6" ht="13" x14ac:dyDescent="0.15">
      <c r="A46" s="10">
        <v>1</v>
      </c>
      <c r="B46" s="25" t="s">
        <v>356</v>
      </c>
      <c r="C46" s="25">
        <v>1</v>
      </c>
      <c r="D46" s="5" t="s">
        <v>721</v>
      </c>
      <c r="E46" s="5">
        <f t="shared" ref="E46:E52" si="5">E32</f>
        <v>6.6508333333333336E-2</v>
      </c>
      <c r="F46" s="5">
        <f t="shared" ref="F46:F53" si="6">E46*C46</f>
        <v>6.6508333333333336E-2</v>
      </c>
    </row>
    <row r="47" spans="1:6" ht="13" x14ac:dyDescent="0.15">
      <c r="A47" s="10">
        <v>2</v>
      </c>
      <c r="B47" s="25" t="s">
        <v>232</v>
      </c>
      <c r="C47" s="25">
        <v>0.01</v>
      </c>
      <c r="D47" s="5" t="s">
        <v>183</v>
      </c>
      <c r="E47" s="5">
        <f t="shared" si="5"/>
        <v>39.200000000000003</v>
      </c>
      <c r="F47" s="5">
        <f t="shared" si="6"/>
        <v>0.39200000000000002</v>
      </c>
    </row>
    <row r="48" spans="1:6" ht="13" x14ac:dyDescent="0.15">
      <c r="A48" s="10">
        <v>3</v>
      </c>
      <c r="B48" s="25" t="s">
        <v>741</v>
      </c>
      <c r="C48" s="25">
        <v>1</v>
      </c>
      <c r="D48" s="5" t="s">
        <v>721</v>
      </c>
      <c r="E48" s="5">
        <f t="shared" si="5"/>
        <v>1.7691117647058825</v>
      </c>
      <c r="F48" s="5">
        <f t="shared" si="6"/>
        <v>1.7691117647058825</v>
      </c>
    </row>
    <row r="49" spans="1:6" ht="13" x14ac:dyDescent="0.15">
      <c r="A49" s="10">
        <v>4</v>
      </c>
      <c r="B49" s="25" t="s">
        <v>611</v>
      </c>
      <c r="C49" s="25">
        <v>2E-3</v>
      </c>
      <c r="D49" s="5" t="s">
        <v>183</v>
      </c>
      <c r="E49" s="5">
        <f t="shared" si="5"/>
        <v>11.5</v>
      </c>
      <c r="F49" s="5">
        <f t="shared" si="6"/>
        <v>2.3E-2</v>
      </c>
    </row>
    <row r="50" spans="1:6" ht="13" x14ac:dyDescent="0.15">
      <c r="A50" s="10">
        <v>5</v>
      </c>
      <c r="B50" s="25" t="s">
        <v>912</v>
      </c>
      <c r="C50" s="25">
        <v>1</v>
      </c>
      <c r="D50" s="5" t="s">
        <v>721</v>
      </c>
      <c r="E50" s="5">
        <f t="shared" si="5"/>
        <v>4.1504444444444442</v>
      </c>
      <c r="F50" s="5">
        <f t="shared" si="6"/>
        <v>4.1504444444444442</v>
      </c>
    </row>
    <row r="51" spans="1:6" ht="13" x14ac:dyDescent="0.15">
      <c r="A51" s="10">
        <v>6</v>
      </c>
      <c r="B51" s="25" t="s">
        <v>771</v>
      </c>
      <c r="C51" s="25">
        <v>1</v>
      </c>
      <c r="D51" s="5" t="s">
        <v>721</v>
      </c>
      <c r="E51" s="5">
        <f t="shared" si="5"/>
        <v>3.6284444444444444</v>
      </c>
      <c r="F51" s="5">
        <f t="shared" si="6"/>
        <v>3.6284444444444444</v>
      </c>
    </row>
    <row r="52" spans="1:6" ht="13" x14ac:dyDescent="0.15">
      <c r="A52" s="10">
        <v>7</v>
      </c>
      <c r="B52" s="25" t="s">
        <v>64</v>
      </c>
      <c r="C52" s="25">
        <v>1</v>
      </c>
      <c r="D52" s="5" t="s">
        <v>721</v>
      </c>
      <c r="E52" s="5">
        <f t="shared" si="5"/>
        <v>1.7707396825396826</v>
      </c>
      <c r="F52" s="5">
        <f t="shared" si="6"/>
        <v>1.7707396825396826</v>
      </c>
    </row>
    <row r="53" spans="1:6" ht="13" x14ac:dyDescent="0.15">
      <c r="A53" s="10">
        <v>8</v>
      </c>
      <c r="B53" s="25" t="s">
        <v>200</v>
      </c>
      <c r="C53" s="25">
        <v>7.4999999999999997E-2</v>
      </c>
      <c r="D53" s="5" t="s">
        <v>183</v>
      </c>
      <c r="E53" s="5">
        <f>'Master Price list'!G9</f>
        <v>50.92</v>
      </c>
      <c r="F53" s="5">
        <f t="shared" si="6"/>
        <v>3.819</v>
      </c>
    </row>
    <row r="54" spans="1:6" ht="13" x14ac:dyDescent="0.15">
      <c r="D54" s="170" t="s">
        <v>777</v>
      </c>
      <c r="E54" s="171"/>
      <c r="F54" s="29">
        <f>SUM(F46:F53)</f>
        <v>15.619248669467787</v>
      </c>
    </row>
    <row r="57" spans="1:6" ht="13" x14ac:dyDescent="0.15">
      <c r="A57" s="172" t="s">
        <v>9</v>
      </c>
      <c r="B57" s="173"/>
      <c r="C57" s="171"/>
    </row>
    <row r="58" spans="1:6" ht="13" x14ac:dyDescent="0.15">
      <c r="A58" s="168" t="s">
        <v>773</v>
      </c>
      <c r="B58" s="168" t="s">
        <v>774</v>
      </c>
      <c r="C58" s="168" t="s">
        <v>775</v>
      </c>
      <c r="D58" s="168" t="s">
        <v>719</v>
      </c>
      <c r="E58" s="168" t="s">
        <v>776</v>
      </c>
      <c r="F58" s="168" t="s">
        <v>777</v>
      </c>
    </row>
    <row r="59" spans="1:6" ht="13" x14ac:dyDescent="0.15">
      <c r="A59" s="169"/>
      <c r="B59" s="169"/>
      <c r="C59" s="169"/>
      <c r="D59" s="169"/>
      <c r="E59" s="169"/>
      <c r="F59" s="169"/>
    </row>
    <row r="60" spans="1:6" ht="13" x14ac:dyDescent="0.15">
      <c r="A60" s="10">
        <v>1</v>
      </c>
      <c r="B60" s="25" t="s">
        <v>356</v>
      </c>
      <c r="C60" s="25">
        <v>1</v>
      </c>
      <c r="D60" s="5" t="s">
        <v>721</v>
      </c>
      <c r="E60" s="5">
        <f t="shared" ref="E60:E63" si="7">E46</f>
        <v>6.6508333333333336E-2</v>
      </c>
      <c r="F60" s="5">
        <f t="shared" ref="F60:F67" si="8">E60*C60</f>
        <v>6.6508333333333336E-2</v>
      </c>
    </row>
    <row r="61" spans="1:6" ht="13" x14ac:dyDescent="0.15">
      <c r="A61" s="10">
        <v>2</v>
      </c>
      <c r="B61" s="25" t="s">
        <v>232</v>
      </c>
      <c r="C61" s="25">
        <v>0.01</v>
      </c>
      <c r="D61" s="5" t="s">
        <v>183</v>
      </c>
      <c r="E61" s="5">
        <f t="shared" si="7"/>
        <v>39.200000000000003</v>
      </c>
      <c r="F61" s="5">
        <f t="shared" si="8"/>
        <v>0.39200000000000002</v>
      </c>
    </row>
    <row r="62" spans="1:6" ht="13" x14ac:dyDescent="0.15">
      <c r="A62" s="10">
        <v>3</v>
      </c>
      <c r="B62" s="25" t="s">
        <v>741</v>
      </c>
      <c r="C62" s="25">
        <v>1</v>
      </c>
      <c r="D62" s="5" t="s">
        <v>721</v>
      </c>
      <c r="E62" s="5">
        <f t="shared" si="7"/>
        <v>1.7691117647058825</v>
      </c>
      <c r="F62" s="5">
        <f t="shared" si="8"/>
        <v>1.7691117647058825</v>
      </c>
    </row>
    <row r="63" spans="1:6" ht="13" x14ac:dyDescent="0.15">
      <c r="A63" s="10">
        <v>4</v>
      </c>
      <c r="B63" s="25" t="s">
        <v>611</v>
      </c>
      <c r="C63" s="25">
        <v>2E-3</v>
      </c>
      <c r="D63" s="5" t="s">
        <v>183</v>
      </c>
      <c r="E63" s="5">
        <f t="shared" si="7"/>
        <v>11.5</v>
      </c>
      <c r="F63" s="5">
        <f t="shared" si="8"/>
        <v>2.3E-2</v>
      </c>
    </row>
    <row r="64" spans="1:6" ht="13" x14ac:dyDescent="0.15">
      <c r="A64" s="10">
        <v>5</v>
      </c>
      <c r="B64" s="25" t="s">
        <v>611</v>
      </c>
      <c r="C64" s="25">
        <v>2E-3</v>
      </c>
      <c r="D64" s="5" t="s">
        <v>183</v>
      </c>
      <c r="E64" s="5">
        <f>E63</f>
        <v>11.5</v>
      </c>
      <c r="F64" s="5">
        <f t="shared" si="8"/>
        <v>2.3E-2</v>
      </c>
    </row>
    <row r="65" spans="1:6" ht="13" x14ac:dyDescent="0.15">
      <c r="A65" s="10">
        <v>6</v>
      </c>
      <c r="B65" s="25" t="s">
        <v>771</v>
      </c>
      <c r="C65" s="25">
        <v>1</v>
      </c>
      <c r="D65" s="5" t="s">
        <v>721</v>
      </c>
      <c r="E65" s="5">
        <f>E51</f>
        <v>3.6284444444444444</v>
      </c>
      <c r="F65" s="5">
        <f t="shared" si="8"/>
        <v>3.6284444444444444</v>
      </c>
    </row>
    <row r="66" spans="1:6" ht="13" x14ac:dyDescent="0.15">
      <c r="A66" s="10">
        <v>7</v>
      </c>
      <c r="B66" s="25" t="s">
        <v>65</v>
      </c>
      <c r="C66" s="25">
        <v>0.15</v>
      </c>
      <c r="D66" s="5" t="s">
        <v>721</v>
      </c>
      <c r="E66" s="5">
        <f>'Item list'!B56</f>
        <v>19.819270202020199</v>
      </c>
      <c r="F66" s="5">
        <f t="shared" si="8"/>
        <v>2.97289053030303</v>
      </c>
    </row>
    <row r="67" spans="1:6" ht="13" x14ac:dyDescent="0.15">
      <c r="A67" s="10">
        <v>8</v>
      </c>
      <c r="B67" s="25" t="s">
        <v>68</v>
      </c>
      <c r="C67" s="25">
        <v>7.4999999999999997E-2</v>
      </c>
      <c r="D67" s="5" t="s">
        <v>183</v>
      </c>
      <c r="E67" s="5">
        <f>E11</f>
        <v>45.7</v>
      </c>
      <c r="F67" s="5">
        <f t="shared" si="8"/>
        <v>3.4275000000000002</v>
      </c>
    </row>
    <row r="68" spans="1:6" ht="13" x14ac:dyDescent="0.15">
      <c r="D68" s="170" t="s">
        <v>777</v>
      </c>
      <c r="E68" s="171"/>
      <c r="F68" s="29">
        <f>SUM(F60:F67)</f>
        <v>12.302455072786691</v>
      </c>
    </row>
    <row r="71" spans="1:6" ht="13" x14ac:dyDescent="0.15">
      <c r="A71" s="172" t="s">
        <v>10</v>
      </c>
      <c r="B71" s="173"/>
      <c r="C71" s="171"/>
    </row>
    <row r="72" spans="1:6" ht="13" x14ac:dyDescent="0.15">
      <c r="A72" s="168" t="s">
        <v>773</v>
      </c>
      <c r="B72" s="168" t="s">
        <v>774</v>
      </c>
      <c r="C72" s="168" t="s">
        <v>775</v>
      </c>
      <c r="D72" s="168" t="s">
        <v>719</v>
      </c>
      <c r="E72" s="168" t="s">
        <v>776</v>
      </c>
      <c r="F72" s="168" t="s">
        <v>777</v>
      </c>
    </row>
    <row r="73" spans="1:6" ht="13" x14ac:dyDescent="0.15">
      <c r="A73" s="169"/>
      <c r="B73" s="169"/>
      <c r="C73" s="169"/>
      <c r="D73" s="169"/>
      <c r="E73" s="169"/>
      <c r="F73" s="169"/>
    </row>
    <row r="74" spans="1:6" ht="13" x14ac:dyDescent="0.15">
      <c r="A74" s="10">
        <v>1</v>
      </c>
      <c r="B74" s="25" t="s">
        <v>356</v>
      </c>
      <c r="C74" s="25">
        <v>1</v>
      </c>
      <c r="D74" s="5" t="s">
        <v>721</v>
      </c>
      <c r="E74" s="5">
        <f t="shared" ref="E74:E77" si="9">E60</f>
        <v>6.6508333333333336E-2</v>
      </c>
      <c r="F74" s="5">
        <f t="shared" ref="F74:F81" si="10">E74*C74</f>
        <v>6.6508333333333336E-2</v>
      </c>
    </row>
    <row r="75" spans="1:6" ht="13" x14ac:dyDescent="0.15">
      <c r="A75" s="10">
        <v>2</v>
      </c>
      <c r="B75" s="25" t="s">
        <v>232</v>
      </c>
      <c r="C75" s="25">
        <v>0.01</v>
      </c>
      <c r="D75" s="5" t="s">
        <v>183</v>
      </c>
      <c r="E75" s="5">
        <f t="shared" si="9"/>
        <v>39.200000000000003</v>
      </c>
      <c r="F75" s="5">
        <f t="shared" si="10"/>
        <v>0.39200000000000002</v>
      </c>
    </row>
    <row r="76" spans="1:6" ht="13" x14ac:dyDescent="0.15">
      <c r="A76" s="10">
        <v>3</v>
      </c>
      <c r="B76" s="25" t="s">
        <v>741</v>
      </c>
      <c r="C76" s="25">
        <v>1</v>
      </c>
      <c r="D76" s="5" t="s">
        <v>721</v>
      </c>
      <c r="E76" s="5">
        <f t="shared" si="9"/>
        <v>1.7691117647058825</v>
      </c>
      <c r="F76" s="5">
        <f t="shared" si="10"/>
        <v>1.7691117647058825</v>
      </c>
    </row>
    <row r="77" spans="1:6" ht="13" x14ac:dyDescent="0.15">
      <c r="A77" s="10">
        <v>4</v>
      </c>
      <c r="B77" s="25" t="s">
        <v>611</v>
      </c>
      <c r="C77" s="25">
        <v>2E-3</v>
      </c>
      <c r="D77" s="5" t="s">
        <v>183</v>
      </c>
      <c r="E77" s="5">
        <f t="shared" si="9"/>
        <v>11.5</v>
      </c>
      <c r="F77" s="5">
        <f t="shared" si="10"/>
        <v>2.3E-2</v>
      </c>
    </row>
    <row r="78" spans="1:6" ht="13" x14ac:dyDescent="0.15">
      <c r="A78" s="10">
        <v>5</v>
      </c>
      <c r="B78" s="25" t="s">
        <v>611</v>
      </c>
      <c r="C78" s="25">
        <v>2E-3</v>
      </c>
      <c r="D78" s="5" t="s">
        <v>183</v>
      </c>
      <c r="E78" s="5">
        <f>E77</f>
        <v>11.5</v>
      </c>
      <c r="F78" s="5">
        <f t="shared" si="10"/>
        <v>2.3E-2</v>
      </c>
    </row>
    <row r="79" spans="1:6" ht="13" x14ac:dyDescent="0.15">
      <c r="A79" s="10">
        <v>6</v>
      </c>
      <c r="B79" s="25" t="s">
        <v>771</v>
      </c>
      <c r="C79" s="25">
        <v>1</v>
      </c>
      <c r="D79" s="5" t="s">
        <v>721</v>
      </c>
      <c r="E79" s="5">
        <f>E65</f>
        <v>3.6284444444444444</v>
      </c>
      <c r="F79" s="5">
        <f t="shared" si="10"/>
        <v>3.6284444444444444</v>
      </c>
    </row>
    <row r="80" spans="1:6" ht="13" x14ac:dyDescent="0.15">
      <c r="A80" s="10">
        <v>7</v>
      </c>
      <c r="B80" s="25" t="s">
        <v>65</v>
      </c>
      <c r="C80" s="25">
        <v>0.15</v>
      </c>
      <c r="D80" s="5" t="s">
        <v>721</v>
      </c>
      <c r="E80" s="5">
        <f>'Item list'!B56</f>
        <v>19.819270202020199</v>
      </c>
      <c r="F80" s="5">
        <f t="shared" si="10"/>
        <v>2.97289053030303</v>
      </c>
    </row>
    <row r="81" spans="1:6" ht="13" x14ac:dyDescent="0.15">
      <c r="A81" s="10">
        <v>8</v>
      </c>
      <c r="B81" s="25" t="s">
        <v>913</v>
      </c>
      <c r="C81" s="25">
        <v>7.4999999999999997E-2</v>
      </c>
      <c r="D81" s="5" t="s">
        <v>183</v>
      </c>
      <c r="E81" s="5">
        <f>E25</f>
        <v>45.7</v>
      </c>
      <c r="F81" s="5">
        <f t="shared" si="10"/>
        <v>3.4275000000000002</v>
      </c>
    </row>
    <row r="82" spans="1:6" ht="13" x14ac:dyDescent="0.15">
      <c r="D82" s="170" t="s">
        <v>777</v>
      </c>
      <c r="E82" s="171"/>
      <c r="F82" s="29">
        <f>SUM(F74:F81)</f>
        <v>12.302455072786691</v>
      </c>
    </row>
    <row r="85" spans="1:6" ht="13" x14ac:dyDescent="0.15">
      <c r="A85" s="172" t="s">
        <v>11</v>
      </c>
      <c r="B85" s="173"/>
      <c r="C85" s="171"/>
    </row>
    <row r="86" spans="1:6" ht="13" x14ac:dyDescent="0.15">
      <c r="A86" s="168" t="s">
        <v>773</v>
      </c>
      <c r="B86" s="168" t="s">
        <v>774</v>
      </c>
      <c r="C86" s="168" t="s">
        <v>775</v>
      </c>
      <c r="D86" s="168" t="s">
        <v>719</v>
      </c>
      <c r="E86" s="168" t="s">
        <v>776</v>
      </c>
      <c r="F86" s="168" t="s">
        <v>777</v>
      </c>
    </row>
    <row r="87" spans="1:6" ht="13" x14ac:dyDescent="0.15">
      <c r="A87" s="169"/>
      <c r="B87" s="169"/>
      <c r="C87" s="169"/>
      <c r="D87" s="169"/>
      <c r="E87" s="169"/>
      <c r="F87" s="169"/>
    </row>
    <row r="88" spans="1:6" ht="13" x14ac:dyDescent="0.15">
      <c r="A88" s="10">
        <v>1</v>
      </c>
      <c r="B88" s="25" t="s">
        <v>356</v>
      </c>
      <c r="C88" s="25">
        <v>1</v>
      </c>
      <c r="D88" s="5" t="s">
        <v>721</v>
      </c>
      <c r="E88" s="5">
        <f t="shared" ref="E88:E91" si="11">E74</f>
        <v>6.6508333333333336E-2</v>
      </c>
      <c r="F88" s="5">
        <f t="shared" ref="F88:F95" si="12">E88*C88</f>
        <v>6.6508333333333336E-2</v>
      </c>
    </row>
    <row r="89" spans="1:6" ht="13" x14ac:dyDescent="0.15">
      <c r="A89" s="10">
        <v>2</v>
      </c>
      <c r="B89" s="25" t="s">
        <v>232</v>
      </c>
      <c r="C89" s="25">
        <v>0.01</v>
      </c>
      <c r="D89" s="5" t="s">
        <v>183</v>
      </c>
      <c r="E89" s="5">
        <f t="shared" si="11"/>
        <v>39.200000000000003</v>
      </c>
      <c r="F89" s="5">
        <f t="shared" si="12"/>
        <v>0.39200000000000002</v>
      </c>
    </row>
    <row r="90" spans="1:6" ht="13" x14ac:dyDescent="0.15">
      <c r="A90" s="10">
        <v>3</v>
      </c>
      <c r="B90" s="25" t="s">
        <v>741</v>
      </c>
      <c r="C90" s="25">
        <v>1</v>
      </c>
      <c r="D90" s="5" t="s">
        <v>721</v>
      </c>
      <c r="E90" s="5">
        <f t="shared" si="11"/>
        <v>1.7691117647058825</v>
      </c>
      <c r="F90" s="5">
        <f t="shared" si="12"/>
        <v>1.7691117647058825</v>
      </c>
    </row>
    <row r="91" spans="1:6" ht="13" x14ac:dyDescent="0.15">
      <c r="A91" s="10">
        <v>4</v>
      </c>
      <c r="B91" s="25" t="s">
        <v>611</v>
      </c>
      <c r="C91" s="25">
        <v>2E-3</v>
      </c>
      <c r="D91" s="5" t="s">
        <v>183</v>
      </c>
      <c r="E91" s="5">
        <f t="shared" si="11"/>
        <v>11.5</v>
      </c>
      <c r="F91" s="5">
        <f t="shared" si="12"/>
        <v>2.3E-2</v>
      </c>
    </row>
    <row r="92" spans="1:6" ht="13" x14ac:dyDescent="0.15">
      <c r="A92" s="10">
        <v>5</v>
      </c>
      <c r="B92" s="25" t="s">
        <v>611</v>
      </c>
      <c r="C92" s="25">
        <v>2E-3</v>
      </c>
      <c r="D92" s="5" t="s">
        <v>183</v>
      </c>
      <c r="E92" s="5">
        <f>E91</f>
        <v>11.5</v>
      </c>
      <c r="F92" s="5">
        <f t="shared" si="12"/>
        <v>2.3E-2</v>
      </c>
    </row>
    <row r="93" spans="1:6" ht="13" x14ac:dyDescent="0.15">
      <c r="A93" s="10">
        <v>6</v>
      </c>
      <c r="B93" s="25" t="s">
        <v>771</v>
      </c>
      <c r="C93" s="25">
        <v>1</v>
      </c>
      <c r="D93" s="5" t="s">
        <v>721</v>
      </c>
      <c r="E93" s="5">
        <f t="shared" ref="E93:E94" si="13">E79</f>
        <v>3.6284444444444444</v>
      </c>
      <c r="F93" s="5">
        <f t="shared" si="12"/>
        <v>3.6284444444444444</v>
      </c>
    </row>
    <row r="94" spans="1:6" ht="13" x14ac:dyDescent="0.15">
      <c r="A94" s="10">
        <v>7</v>
      </c>
      <c r="B94" s="25" t="s">
        <v>65</v>
      </c>
      <c r="C94" s="25">
        <v>0.15</v>
      </c>
      <c r="D94" s="5" t="s">
        <v>721</v>
      </c>
      <c r="E94" s="5">
        <f t="shared" si="13"/>
        <v>19.819270202020199</v>
      </c>
      <c r="F94" s="5">
        <f t="shared" si="12"/>
        <v>2.97289053030303</v>
      </c>
    </row>
    <row r="95" spans="1:6" ht="13" x14ac:dyDescent="0.15">
      <c r="A95" s="10">
        <v>8</v>
      </c>
      <c r="B95" s="25" t="s">
        <v>914</v>
      </c>
      <c r="C95" s="25">
        <v>7.4999999999999997E-2</v>
      </c>
      <c r="D95" s="5" t="s">
        <v>183</v>
      </c>
      <c r="E95" s="5">
        <f>E39</f>
        <v>45.7</v>
      </c>
      <c r="F95" s="5">
        <f t="shared" si="12"/>
        <v>3.4275000000000002</v>
      </c>
    </row>
    <row r="96" spans="1:6" ht="13" x14ac:dyDescent="0.15">
      <c r="D96" s="170" t="s">
        <v>777</v>
      </c>
      <c r="E96" s="171"/>
      <c r="F96" s="29">
        <f>SUM(F88:F95)</f>
        <v>12.302455072786691</v>
      </c>
    </row>
    <row r="99" spans="1:6" ht="13" x14ac:dyDescent="0.15">
      <c r="A99" s="172" t="s">
        <v>12</v>
      </c>
      <c r="B99" s="173"/>
      <c r="C99" s="171"/>
    </row>
    <row r="100" spans="1:6" ht="13" x14ac:dyDescent="0.15">
      <c r="A100" s="168" t="s">
        <v>773</v>
      </c>
      <c r="B100" s="168" t="s">
        <v>774</v>
      </c>
      <c r="C100" s="168" t="s">
        <v>775</v>
      </c>
      <c r="D100" s="168" t="s">
        <v>719</v>
      </c>
      <c r="E100" s="168" t="s">
        <v>776</v>
      </c>
      <c r="F100" s="168" t="s">
        <v>777</v>
      </c>
    </row>
    <row r="101" spans="1:6" ht="13" x14ac:dyDescent="0.15">
      <c r="A101" s="169"/>
      <c r="B101" s="169"/>
      <c r="C101" s="169"/>
      <c r="D101" s="169"/>
      <c r="E101" s="169"/>
      <c r="F101" s="169"/>
    </row>
    <row r="102" spans="1:6" ht="13" x14ac:dyDescent="0.15">
      <c r="A102" s="10">
        <v>1</v>
      </c>
      <c r="B102" s="25" t="s">
        <v>356</v>
      </c>
      <c r="C102" s="25">
        <v>1</v>
      </c>
      <c r="D102" s="5" t="s">
        <v>721</v>
      </c>
      <c r="E102" s="5">
        <f t="shared" ref="E102:E105" si="14">E88</f>
        <v>6.6508333333333336E-2</v>
      </c>
      <c r="F102" s="5">
        <f t="shared" ref="F102:F109" si="15">E102*C102</f>
        <v>6.6508333333333336E-2</v>
      </c>
    </row>
    <row r="103" spans="1:6" ht="13" x14ac:dyDescent="0.15">
      <c r="A103" s="10">
        <v>2</v>
      </c>
      <c r="B103" s="25" t="s">
        <v>232</v>
      </c>
      <c r="C103" s="25">
        <v>0.01</v>
      </c>
      <c r="D103" s="5" t="s">
        <v>183</v>
      </c>
      <c r="E103" s="5">
        <f t="shared" si="14"/>
        <v>39.200000000000003</v>
      </c>
      <c r="F103" s="5">
        <f t="shared" si="15"/>
        <v>0.39200000000000002</v>
      </c>
    </row>
    <row r="104" spans="1:6" ht="13" x14ac:dyDescent="0.15">
      <c r="A104" s="10">
        <v>3</v>
      </c>
      <c r="B104" s="25" t="s">
        <v>741</v>
      </c>
      <c r="C104" s="25">
        <v>1</v>
      </c>
      <c r="D104" s="5" t="s">
        <v>721</v>
      </c>
      <c r="E104" s="5">
        <f t="shared" si="14"/>
        <v>1.7691117647058825</v>
      </c>
      <c r="F104" s="5">
        <f t="shared" si="15"/>
        <v>1.7691117647058825</v>
      </c>
    </row>
    <row r="105" spans="1:6" ht="13" x14ac:dyDescent="0.15">
      <c r="A105" s="10">
        <v>4</v>
      </c>
      <c r="B105" s="25" t="s">
        <v>611</v>
      </c>
      <c r="C105" s="25">
        <v>2E-3</v>
      </c>
      <c r="D105" s="5" t="s">
        <v>183</v>
      </c>
      <c r="E105" s="5">
        <f t="shared" si="14"/>
        <v>11.5</v>
      </c>
      <c r="F105" s="5">
        <f t="shared" si="15"/>
        <v>2.3E-2</v>
      </c>
    </row>
    <row r="106" spans="1:6" ht="13" x14ac:dyDescent="0.15">
      <c r="A106" s="10">
        <v>5</v>
      </c>
      <c r="B106" s="25" t="s">
        <v>611</v>
      </c>
      <c r="C106" s="25">
        <v>2E-3</v>
      </c>
      <c r="D106" s="5" t="s">
        <v>183</v>
      </c>
      <c r="E106" s="5">
        <f>E105</f>
        <v>11.5</v>
      </c>
      <c r="F106" s="5">
        <f t="shared" si="15"/>
        <v>2.3E-2</v>
      </c>
    </row>
    <row r="107" spans="1:6" ht="13" x14ac:dyDescent="0.15">
      <c r="A107" s="10">
        <v>6</v>
      </c>
      <c r="B107" s="25" t="s">
        <v>771</v>
      </c>
      <c r="C107" s="25">
        <v>1</v>
      </c>
      <c r="D107" s="5" t="s">
        <v>721</v>
      </c>
      <c r="E107" s="5">
        <f t="shared" ref="E107:E108" si="16">E93</f>
        <v>3.6284444444444444</v>
      </c>
      <c r="F107" s="5">
        <f t="shared" si="15"/>
        <v>3.6284444444444444</v>
      </c>
    </row>
    <row r="108" spans="1:6" ht="13" x14ac:dyDescent="0.15">
      <c r="A108" s="10">
        <v>7</v>
      </c>
      <c r="B108" s="25" t="s">
        <v>65</v>
      </c>
      <c r="C108" s="25">
        <v>0.15</v>
      </c>
      <c r="D108" s="5" t="s">
        <v>721</v>
      </c>
      <c r="E108" s="5">
        <f t="shared" si="16"/>
        <v>19.819270202020199</v>
      </c>
      <c r="F108" s="5">
        <f t="shared" si="15"/>
        <v>2.97289053030303</v>
      </c>
    </row>
    <row r="109" spans="1:6" ht="13" x14ac:dyDescent="0.15">
      <c r="A109" s="10">
        <v>8</v>
      </c>
      <c r="B109" s="25" t="s">
        <v>200</v>
      </c>
      <c r="C109" s="25">
        <v>7.4999999999999997E-2</v>
      </c>
      <c r="D109" s="5" t="s">
        <v>183</v>
      </c>
      <c r="E109" s="5">
        <f>E53</f>
        <v>50.92</v>
      </c>
      <c r="F109" s="5">
        <f t="shared" si="15"/>
        <v>3.819</v>
      </c>
    </row>
    <row r="110" spans="1:6" ht="13" x14ac:dyDescent="0.15">
      <c r="D110" s="170" t="s">
        <v>777</v>
      </c>
      <c r="E110" s="171"/>
      <c r="F110" s="29">
        <f>SUM(F102:F109)</f>
        <v>12.693955072786689</v>
      </c>
    </row>
    <row r="113" spans="1:6" ht="13" x14ac:dyDescent="0.15">
      <c r="A113" s="172" t="s">
        <v>13</v>
      </c>
      <c r="B113" s="173"/>
      <c r="C113" s="171"/>
    </row>
    <row r="114" spans="1:6" ht="13" x14ac:dyDescent="0.15">
      <c r="A114" s="168" t="s">
        <v>773</v>
      </c>
      <c r="B114" s="168" t="s">
        <v>774</v>
      </c>
      <c r="C114" s="168" t="s">
        <v>775</v>
      </c>
      <c r="D114" s="168" t="s">
        <v>719</v>
      </c>
      <c r="E114" s="168" t="s">
        <v>776</v>
      </c>
      <c r="F114" s="168" t="s">
        <v>777</v>
      </c>
    </row>
    <row r="115" spans="1:6" ht="13" x14ac:dyDescent="0.15">
      <c r="A115" s="169"/>
      <c r="B115" s="169"/>
      <c r="C115" s="169"/>
      <c r="D115" s="169"/>
      <c r="E115" s="169"/>
      <c r="F115" s="169"/>
    </row>
    <row r="116" spans="1:6" ht="13" x14ac:dyDescent="0.15">
      <c r="A116" s="10">
        <v>1</v>
      </c>
      <c r="B116" s="25" t="s">
        <v>727</v>
      </c>
      <c r="C116" s="25">
        <v>1</v>
      </c>
      <c r="D116" s="5" t="s">
        <v>721</v>
      </c>
      <c r="E116" s="5">
        <f>'Item list'!B8</f>
        <v>2.1545599128540309</v>
      </c>
      <c r="F116" s="5">
        <f t="shared" ref="F116:F120" si="17">E116*C116</f>
        <v>2.1545599128540309</v>
      </c>
    </row>
    <row r="117" spans="1:6" ht="13" x14ac:dyDescent="0.15">
      <c r="A117" s="10">
        <v>2</v>
      </c>
      <c r="B117" s="25" t="s">
        <v>915</v>
      </c>
      <c r="C117" s="25">
        <v>1.4999999999999999E-2</v>
      </c>
      <c r="D117" s="5" t="s">
        <v>183</v>
      </c>
      <c r="E117" s="5">
        <f>E103</f>
        <v>39.200000000000003</v>
      </c>
      <c r="F117" s="5">
        <f t="shared" si="17"/>
        <v>0.58799999999999997</v>
      </c>
    </row>
    <row r="118" spans="1:6" ht="13" x14ac:dyDescent="0.15">
      <c r="A118" s="10">
        <v>3</v>
      </c>
      <c r="B118" s="25" t="s">
        <v>766</v>
      </c>
      <c r="C118" s="25">
        <v>1</v>
      </c>
      <c r="D118" s="5" t="s">
        <v>721</v>
      </c>
      <c r="E118" s="5">
        <f>'Item list'!B57</f>
        <v>0.90550000000000019</v>
      </c>
      <c r="F118" s="5">
        <f t="shared" si="17"/>
        <v>0.90550000000000019</v>
      </c>
    </row>
    <row r="119" spans="1:6" ht="13" x14ac:dyDescent="0.15">
      <c r="A119" s="10">
        <v>4</v>
      </c>
      <c r="B119" s="25" t="s">
        <v>916</v>
      </c>
      <c r="C119" s="25">
        <v>1E-3</v>
      </c>
      <c r="D119" s="5" t="s">
        <v>183</v>
      </c>
      <c r="E119" s="5">
        <f>'Master Price list'!G37</f>
        <v>55</v>
      </c>
      <c r="F119" s="5">
        <f t="shared" si="17"/>
        <v>5.5E-2</v>
      </c>
    </row>
    <row r="120" spans="1:6" ht="13" x14ac:dyDescent="0.15">
      <c r="A120" s="10">
        <v>5</v>
      </c>
      <c r="B120" s="25" t="s">
        <v>792</v>
      </c>
      <c r="C120" s="25">
        <v>1E-4</v>
      </c>
      <c r="D120" s="5" t="s">
        <v>183</v>
      </c>
      <c r="E120" s="5">
        <f>'Master Price list'!G187</f>
        <v>8.8000000000000007</v>
      </c>
      <c r="F120" s="5">
        <f t="shared" si="17"/>
        <v>8.8000000000000014E-4</v>
      </c>
    </row>
    <row r="121" spans="1:6" ht="13" x14ac:dyDescent="0.15">
      <c r="D121" s="170" t="s">
        <v>777</v>
      </c>
      <c r="E121" s="171"/>
      <c r="F121" s="29">
        <f>SUM(F116:F120)</f>
        <v>3.7039399128540316</v>
      </c>
    </row>
    <row r="124" spans="1:6" ht="13" x14ac:dyDescent="0.15">
      <c r="A124" s="172" t="s">
        <v>14</v>
      </c>
      <c r="B124" s="173"/>
      <c r="C124" s="171"/>
    </row>
    <row r="125" spans="1:6" ht="13" x14ac:dyDescent="0.15">
      <c r="A125" s="168" t="s">
        <v>773</v>
      </c>
      <c r="B125" s="168" t="s">
        <v>774</v>
      </c>
      <c r="C125" s="168" t="s">
        <v>775</v>
      </c>
      <c r="D125" s="168" t="s">
        <v>719</v>
      </c>
      <c r="E125" s="168" t="s">
        <v>776</v>
      </c>
      <c r="F125" s="168" t="s">
        <v>777</v>
      </c>
    </row>
    <row r="126" spans="1:6" ht="13" x14ac:dyDescent="0.15">
      <c r="A126" s="169"/>
      <c r="B126" s="169"/>
      <c r="C126" s="169"/>
      <c r="D126" s="169"/>
      <c r="E126" s="169"/>
      <c r="F126" s="169"/>
    </row>
    <row r="127" spans="1:6" ht="13" x14ac:dyDescent="0.15">
      <c r="A127" s="10">
        <v>1</v>
      </c>
      <c r="B127" s="25" t="s">
        <v>727</v>
      </c>
      <c r="C127" s="25">
        <v>1</v>
      </c>
      <c r="D127" s="5" t="s">
        <v>721</v>
      </c>
      <c r="E127" s="5">
        <f t="shared" ref="E127:E128" si="18">E116</f>
        <v>2.1545599128540309</v>
      </c>
      <c r="F127" s="5">
        <f t="shared" ref="F127:F132" si="19">E127*C127</f>
        <v>2.1545599128540309</v>
      </c>
    </row>
    <row r="128" spans="1:6" ht="13" x14ac:dyDescent="0.15">
      <c r="A128" s="10">
        <v>2</v>
      </c>
      <c r="B128" s="25" t="s">
        <v>915</v>
      </c>
      <c r="C128" s="25">
        <v>1.4999999999999999E-2</v>
      </c>
      <c r="D128" s="5" t="s">
        <v>183</v>
      </c>
      <c r="E128" s="5">
        <f t="shared" si="18"/>
        <v>39.200000000000003</v>
      </c>
      <c r="F128" s="5">
        <f t="shared" si="19"/>
        <v>0.58799999999999997</v>
      </c>
    </row>
    <row r="129" spans="1:6" ht="13" x14ac:dyDescent="0.15">
      <c r="A129" s="10">
        <v>3</v>
      </c>
      <c r="B129" s="25" t="s">
        <v>639</v>
      </c>
      <c r="C129" s="25">
        <v>3.0000000000000001E-3</v>
      </c>
      <c r="D129" s="5" t="s">
        <v>183</v>
      </c>
      <c r="E129" s="5">
        <f>'Master Price list'!G183</f>
        <v>10</v>
      </c>
      <c r="F129" s="5">
        <f t="shared" si="19"/>
        <v>0.03</v>
      </c>
    </row>
    <row r="130" spans="1:6" ht="13" x14ac:dyDescent="0.15">
      <c r="A130" s="10">
        <v>4</v>
      </c>
      <c r="B130" s="25" t="s">
        <v>916</v>
      </c>
      <c r="C130" s="25">
        <v>1E-3</v>
      </c>
      <c r="D130" s="5" t="s">
        <v>183</v>
      </c>
      <c r="E130" s="5">
        <f>E119</f>
        <v>55</v>
      </c>
      <c r="F130" s="5">
        <f t="shared" si="19"/>
        <v>5.5E-2</v>
      </c>
    </row>
    <row r="131" spans="1:6" ht="13" x14ac:dyDescent="0.15">
      <c r="A131" s="10">
        <v>5</v>
      </c>
      <c r="B131" s="25" t="s">
        <v>917</v>
      </c>
      <c r="C131" s="25">
        <v>5.0000000000000001E-3</v>
      </c>
      <c r="D131" s="5" t="s">
        <v>183</v>
      </c>
      <c r="E131" s="5">
        <f>'Master Price list'!G120</f>
        <v>4.5999999999999996</v>
      </c>
      <c r="F131" s="5">
        <f t="shared" si="19"/>
        <v>2.3E-2</v>
      </c>
    </row>
    <row r="132" spans="1:6" ht="13" x14ac:dyDescent="0.15">
      <c r="A132" s="10">
        <v>6</v>
      </c>
      <c r="B132" s="25" t="s">
        <v>792</v>
      </c>
      <c r="C132" s="25">
        <v>1E-4</v>
      </c>
      <c r="D132" s="5" t="s">
        <v>183</v>
      </c>
      <c r="E132" s="5">
        <f>E120</f>
        <v>8.8000000000000007</v>
      </c>
      <c r="F132" s="5">
        <f t="shared" si="19"/>
        <v>8.8000000000000014E-4</v>
      </c>
    </row>
    <row r="133" spans="1:6" ht="13" x14ac:dyDescent="0.15">
      <c r="D133" s="170" t="s">
        <v>777</v>
      </c>
      <c r="E133" s="171"/>
      <c r="F133" s="29">
        <f>SUM(F127:F132)</f>
        <v>2.8514399128540311</v>
      </c>
    </row>
    <row r="136" spans="1:6" ht="13" x14ac:dyDescent="0.15">
      <c r="A136" s="172" t="s">
        <v>15</v>
      </c>
      <c r="B136" s="173"/>
      <c r="C136" s="171"/>
    </row>
    <row r="137" spans="1:6" ht="13" x14ac:dyDescent="0.15">
      <c r="A137" s="168" t="s">
        <v>773</v>
      </c>
      <c r="B137" s="168" t="s">
        <v>774</v>
      </c>
      <c r="C137" s="168" t="s">
        <v>775</v>
      </c>
      <c r="D137" s="168" t="s">
        <v>719</v>
      </c>
      <c r="E137" s="168" t="s">
        <v>776</v>
      </c>
      <c r="F137" s="168" t="s">
        <v>777</v>
      </c>
    </row>
    <row r="138" spans="1:6" ht="13" x14ac:dyDescent="0.15">
      <c r="A138" s="169"/>
      <c r="B138" s="169"/>
      <c r="C138" s="169"/>
      <c r="D138" s="169"/>
      <c r="E138" s="169"/>
      <c r="F138" s="169"/>
    </row>
    <row r="139" spans="1:6" ht="13" x14ac:dyDescent="0.15">
      <c r="A139" s="10">
        <v>1</v>
      </c>
      <c r="B139" s="25" t="s">
        <v>727</v>
      </c>
      <c r="C139" s="25">
        <v>1</v>
      </c>
      <c r="D139" s="5" t="s">
        <v>721</v>
      </c>
      <c r="E139" s="5">
        <f t="shared" ref="E139:E140" si="20">E127</f>
        <v>2.1545599128540309</v>
      </c>
      <c r="F139" s="5">
        <f t="shared" ref="F139:F143" si="21">E139*C139</f>
        <v>2.1545599128540309</v>
      </c>
    </row>
    <row r="140" spans="1:6" ht="13" x14ac:dyDescent="0.15">
      <c r="A140" s="10">
        <v>2</v>
      </c>
      <c r="B140" s="25" t="s">
        <v>915</v>
      </c>
      <c r="C140" s="25">
        <v>1.4999999999999999E-2</v>
      </c>
      <c r="D140" s="5" t="s">
        <v>183</v>
      </c>
      <c r="E140" s="5">
        <f t="shared" si="20"/>
        <v>39.200000000000003</v>
      </c>
      <c r="F140" s="5">
        <f t="shared" si="21"/>
        <v>0.58799999999999997</v>
      </c>
    </row>
    <row r="141" spans="1:6" ht="13" x14ac:dyDescent="0.15">
      <c r="A141" s="10">
        <v>3</v>
      </c>
      <c r="B141" s="25" t="s">
        <v>562</v>
      </c>
      <c r="C141" s="25">
        <v>0.03</v>
      </c>
      <c r="D141" s="5" t="s">
        <v>721</v>
      </c>
      <c r="E141" s="5">
        <f>'Master Price list'!G148</f>
        <v>47.058823529411761</v>
      </c>
      <c r="F141" s="5">
        <f t="shared" si="21"/>
        <v>1.4117647058823528</v>
      </c>
    </row>
    <row r="142" spans="1:6" ht="13" x14ac:dyDescent="0.15">
      <c r="A142" s="10">
        <v>4</v>
      </c>
      <c r="B142" s="25" t="s">
        <v>916</v>
      </c>
      <c r="C142" s="25">
        <v>1E-3</v>
      </c>
      <c r="D142" s="5" t="s">
        <v>183</v>
      </c>
      <c r="E142" s="5">
        <f>E130</f>
        <v>55</v>
      </c>
      <c r="F142" s="5">
        <f t="shared" si="21"/>
        <v>5.5E-2</v>
      </c>
    </row>
    <row r="143" spans="1:6" ht="13" x14ac:dyDescent="0.15">
      <c r="A143" s="10">
        <v>5</v>
      </c>
      <c r="B143" s="25" t="s">
        <v>792</v>
      </c>
      <c r="C143" s="25">
        <v>1E-4</v>
      </c>
      <c r="D143" s="5" t="s">
        <v>183</v>
      </c>
      <c r="E143" s="5">
        <f>E132</f>
        <v>8.8000000000000007</v>
      </c>
      <c r="F143" s="5">
        <f t="shared" si="21"/>
        <v>8.8000000000000014E-4</v>
      </c>
    </row>
    <row r="144" spans="1:6" ht="13" x14ac:dyDescent="0.15">
      <c r="D144" s="170" t="s">
        <v>777</v>
      </c>
      <c r="E144" s="171"/>
      <c r="F144" s="29">
        <f>SUM(F139:F143)</f>
        <v>4.210204618736384</v>
      </c>
    </row>
    <row r="147" spans="1:6" ht="13" x14ac:dyDescent="0.15">
      <c r="A147" s="172" t="s">
        <v>918</v>
      </c>
      <c r="B147" s="173"/>
      <c r="C147" s="171"/>
    </row>
    <row r="148" spans="1:6" ht="13" x14ac:dyDescent="0.15">
      <c r="A148" s="168" t="s">
        <v>773</v>
      </c>
      <c r="B148" s="168" t="s">
        <v>774</v>
      </c>
      <c r="C148" s="168" t="s">
        <v>775</v>
      </c>
      <c r="D148" s="168" t="s">
        <v>719</v>
      </c>
      <c r="E148" s="168" t="s">
        <v>776</v>
      </c>
      <c r="F148" s="168" t="s">
        <v>777</v>
      </c>
    </row>
    <row r="149" spans="1:6" ht="13" x14ac:dyDescent="0.15">
      <c r="A149" s="169"/>
      <c r="B149" s="169"/>
      <c r="C149" s="169"/>
      <c r="D149" s="169"/>
      <c r="E149" s="169"/>
      <c r="F149" s="169"/>
    </row>
    <row r="150" spans="1:6" ht="13" x14ac:dyDescent="0.15">
      <c r="A150" s="10">
        <v>1</v>
      </c>
      <c r="B150" s="25" t="s">
        <v>356</v>
      </c>
      <c r="C150" s="25">
        <v>1</v>
      </c>
      <c r="D150" s="5" t="s">
        <v>721</v>
      </c>
      <c r="E150" s="5">
        <f>E102</f>
        <v>6.6508333333333336E-2</v>
      </c>
      <c r="F150" s="5">
        <f t="shared" ref="F150:F155" si="22">E150*C150</f>
        <v>6.6508333333333336E-2</v>
      </c>
    </row>
    <row r="151" spans="1:6" ht="13" x14ac:dyDescent="0.15">
      <c r="A151" s="10">
        <v>2</v>
      </c>
      <c r="B151" s="25" t="s">
        <v>741</v>
      </c>
      <c r="C151" s="25">
        <v>0.01</v>
      </c>
      <c r="D151" s="5" t="s">
        <v>183</v>
      </c>
      <c r="E151" s="5">
        <f>E104</f>
        <v>1.7691117647058825</v>
      </c>
      <c r="F151" s="5">
        <f t="shared" si="22"/>
        <v>1.7691117647058826E-2</v>
      </c>
    </row>
    <row r="152" spans="1:6" ht="13" x14ac:dyDescent="0.15">
      <c r="A152" s="10">
        <v>3</v>
      </c>
      <c r="B152" s="25" t="s">
        <v>611</v>
      </c>
      <c r="C152" s="25">
        <v>2E-3</v>
      </c>
      <c r="D152" s="5" t="s">
        <v>183</v>
      </c>
      <c r="E152" s="5">
        <f>E106</f>
        <v>11.5</v>
      </c>
      <c r="F152" s="5">
        <f t="shared" si="22"/>
        <v>2.3E-2</v>
      </c>
    </row>
    <row r="153" spans="1:6" ht="13" x14ac:dyDescent="0.15">
      <c r="A153" s="10">
        <v>4</v>
      </c>
      <c r="B153" s="25" t="s">
        <v>232</v>
      </c>
      <c r="C153" s="25">
        <v>2E-3</v>
      </c>
      <c r="D153" s="5" t="s">
        <v>183</v>
      </c>
      <c r="E153" s="5">
        <f>E103</f>
        <v>39.200000000000003</v>
      </c>
      <c r="F153" s="5">
        <f t="shared" si="22"/>
        <v>7.8400000000000011E-2</v>
      </c>
    </row>
    <row r="154" spans="1:6" ht="13" x14ac:dyDescent="0.15">
      <c r="A154" s="10">
        <v>5</v>
      </c>
      <c r="B154" s="25" t="s">
        <v>771</v>
      </c>
      <c r="C154" s="25">
        <v>1.5</v>
      </c>
      <c r="D154" s="5" t="s">
        <v>721</v>
      </c>
      <c r="E154" s="5">
        <f>E107</f>
        <v>3.6284444444444444</v>
      </c>
      <c r="F154" s="5">
        <f t="shared" si="22"/>
        <v>5.4426666666666668</v>
      </c>
    </row>
    <row r="155" spans="1:6" ht="13" x14ac:dyDescent="0.15">
      <c r="A155" s="10">
        <v>6</v>
      </c>
      <c r="B155" s="25" t="s">
        <v>433</v>
      </c>
      <c r="C155" s="25">
        <v>0.03</v>
      </c>
      <c r="D155" s="5" t="s">
        <v>183</v>
      </c>
      <c r="E155" s="5">
        <f>'Master Price list'!G97</f>
        <v>13.5</v>
      </c>
      <c r="F155" s="5">
        <f t="shared" si="22"/>
        <v>0.40499999999999997</v>
      </c>
    </row>
    <row r="156" spans="1:6" ht="13" x14ac:dyDescent="0.15">
      <c r="D156" s="170" t="s">
        <v>777</v>
      </c>
      <c r="E156" s="171"/>
      <c r="F156" s="29">
        <f>SUM(F150:F155)</f>
        <v>6.0332661176470594</v>
      </c>
    </row>
    <row r="159" spans="1:6" ht="13" x14ac:dyDescent="0.15">
      <c r="A159" s="172" t="s">
        <v>17</v>
      </c>
      <c r="B159" s="173"/>
      <c r="C159" s="171"/>
    </row>
    <row r="160" spans="1:6" ht="13" x14ac:dyDescent="0.15">
      <c r="A160" s="168" t="s">
        <v>773</v>
      </c>
      <c r="B160" s="168" t="s">
        <v>774</v>
      </c>
      <c r="C160" s="168" t="s">
        <v>775</v>
      </c>
      <c r="D160" s="168" t="s">
        <v>719</v>
      </c>
      <c r="E160" s="168" t="s">
        <v>776</v>
      </c>
      <c r="F160" s="168" t="s">
        <v>777</v>
      </c>
    </row>
    <row r="161" spans="1:6" ht="13" x14ac:dyDescent="0.15">
      <c r="A161" s="169"/>
      <c r="B161" s="169"/>
      <c r="C161" s="169"/>
      <c r="D161" s="169"/>
      <c r="E161" s="169"/>
      <c r="F161" s="169"/>
    </row>
    <row r="162" spans="1:6" ht="13" x14ac:dyDescent="0.15">
      <c r="A162" s="10">
        <v>1</v>
      </c>
      <c r="B162" s="25" t="s">
        <v>356</v>
      </c>
      <c r="C162" s="25">
        <v>1</v>
      </c>
      <c r="D162" s="5" t="s">
        <v>721</v>
      </c>
      <c r="E162" s="5">
        <f t="shared" ref="E162:E166" si="23">E150</f>
        <v>6.6508333333333336E-2</v>
      </c>
      <c r="F162" s="5">
        <f t="shared" ref="F162:F168" si="24">E162*C162</f>
        <v>6.6508333333333336E-2</v>
      </c>
    </row>
    <row r="163" spans="1:6" ht="13" x14ac:dyDescent="0.15">
      <c r="A163" s="10">
        <v>2</v>
      </c>
      <c r="B163" s="25" t="s">
        <v>741</v>
      </c>
      <c r="C163" s="25">
        <v>0.01</v>
      </c>
      <c r="D163" s="5" t="s">
        <v>183</v>
      </c>
      <c r="E163" s="5">
        <f t="shared" si="23"/>
        <v>1.7691117647058825</v>
      </c>
      <c r="F163" s="5">
        <f t="shared" si="24"/>
        <v>1.7691117647058826E-2</v>
      </c>
    </row>
    <row r="164" spans="1:6" ht="13" x14ac:dyDescent="0.15">
      <c r="A164" s="10">
        <v>3</v>
      </c>
      <c r="B164" s="25" t="s">
        <v>611</v>
      </c>
      <c r="C164" s="25">
        <v>2E-3</v>
      </c>
      <c r="D164" s="5" t="s">
        <v>183</v>
      </c>
      <c r="E164" s="5">
        <f t="shared" si="23"/>
        <v>11.5</v>
      </c>
      <c r="F164" s="5">
        <f t="shared" si="24"/>
        <v>2.3E-2</v>
      </c>
    </row>
    <row r="165" spans="1:6" ht="13" x14ac:dyDescent="0.15">
      <c r="A165" s="10">
        <v>4</v>
      </c>
      <c r="B165" s="25" t="s">
        <v>232</v>
      </c>
      <c r="C165" s="25">
        <v>2E-3</v>
      </c>
      <c r="D165" s="5" t="s">
        <v>183</v>
      </c>
      <c r="E165" s="5">
        <f t="shared" si="23"/>
        <v>39.200000000000003</v>
      </c>
      <c r="F165" s="5">
        <f t="shared" si="24"/>
        <v>7.8400000000000011E-2</v>
      </c>
    </row>
    <row r="166" spans="1:6" ht="13" x14ac:dyDescent="0.15">
      <c r="A166" s="10">
        <v>5</v>
      </c>
      <c r="B166" s="25" t="s">
        <v>771</v>
      </c>
      <c r="C166" s="25">
        <v>1.5</v>
      </c>
      <c r="D166" s="5" t="s">
        <v>721</v>
      </c>
      <c r="E166" s="5">
        <f t="shared" si="23"/>
        <v>3.6284444444444444</v>
      </c>
      <c r="F166" s="5">
        <f t="shared" si="24"/>
        <v>5.4426666666666668</v>
      </c>
    </row>
    <row r="167" spans="1:6" ht="13" x14ac:dyDescent="0.15">
      <c r="A167" s="10">
        <v>6</v>
      </c>
      <c r="B167" s="25" t="s">
        <v>842</v>
      </c>
      <c r="C167" s="25">
        <v>0.05</v>
      </c>
      <c r="D167" s="5" t="s">
        <v>183</v>
      </c>
      <c r="E167" s="5">
        <f>'Master Price list'!G17</f>
        <v>128</v>
      </c>
      <c r="F167" s="5">
        <f t="shared" si="24"/>
        <v>6.4</v>
      </c>
    </row>
    <row r="168" spans="1:6" ht="13" x14ac:dyDescent="0.15">
      <c r="A168" s="10">
        <v>7</v>
      </c>
      <c r="B168" s="25" t="s">
        <v>433</v>
      </c>
      <c r="C168" s="25">
        <v>0.03</v>
      </c>
      <c r="D168" s="5" t="s">
        <v>183</v>
      </c>
      <c r="E168" s="5">
        <f>E155</f>
        <v>13.5</v>
      </c>
      <c r="F168" s="5">
        <f t="shared" si="24"/>
        <v>0.40499999999999997</v>
      </c>
    </row>
    <row r="169" spans="1:6" ht="13" x14ac:dyDescent="0.15">
      <c r="D169" s="170" t="s">
        <v>777</v>
      </c>
      <c r="E169" s="171"/>
      <c r="F169" s="29">
        <f>SUM(F162:F168)</f>
        <v>12.43326611764706</v>
      </c>
    </row>
    <row r="172" spans="1:6" ht="13" x14ac:dyDescent="0.15">
      <c r="A172" s="172" t="s">
        <v>18</v>
      </c>
      <c r="B172" s="173"/>
      <c r="C172" s="171"/>
    </row>
    <row r="173" spans="1:6" ht="13" x14ac:dyDescent="0.15">
      <c r="A173" s="168" t="s">
        <v>773</v>
      </c>
      <c r="B173" s="168" t="s">
        <v>774</v>
      </c>
      <c r="C173" s="168" t="s">
        <v>775</v>
      </c>
      <c r="D173" s="168" t="s">
        <v>719</v>
      </c>
      <c r="E173" s="168" t="s">
        <v>776</v>
      </c>
      <c r="F173" s="168" t="s">
        <v>777</v>
      </c>
    </row>
    <row r="174" spans="1:6" ht="13" x14ac:dyDescent="0.15">
      <c r="A174" s="169"/>
      <c r="B174" s="169"/>
      <c r="C174" s="169"/>
      <c r="D174" s="169"/>
      <c r="E174" s="169"/>
      <c r="F174" s="169"/>
    </row>
    <row r="175" spans="1:6" ht="13" x14ac:dyDescent="0.15">
      <c r="A175" s="10">
        <v>1</v>
      </c>
      <c r="B175" s="25" t="s">
        <v>356</v>
      </c>
      <c r="C175" s="25">
        <v>1</v>
      </c>
      <c r="D175" s="5" t="s">
        <v>721</v>
      </c>
      <c r="E175" s="5">
        <f t="shared" ref="E175:E179" si="25">E162</f>
        <v>6.6508333333333336E-2</v>
      </c>
      <c r="F175" s="5">
        <f t="shared" ref="F175:F182" si="26">E175*C175</f>
        <v>6.6508333333333336E-2</v>
      </c>
    </row>
    <row r="176" spans="1:6" ht="13" x14ac:dyDescent="0.15">
      <c r="A176" s="10">
        <v>2</v>
      </c>
      <c r="B176" s="25" t="s">
        <v>741</v>
      </c>
      <c r="C176" s="25">
        <v>0.01</v>
      </c>
      <c r="D176" s="5" t="s">
        <v>183</v>
      </c>
      <c r="E176" s="5">
        <f t="shared" si="25"/>
        <v>1.7691117647058825</v>
      </c>
      <c r="F176" s="5">
        <f t="shared" si="26"/>
        <v>1.7691117647058826E-2</v>
      </c>
    </row>
    <row r="177" spans="1:6" ht="13" x14ac:dyDescent="0.15">
      <c r="A177" s="10">
        <v>3</v>
      </c>
      <c r="B177" s="25" t="s">
        <v>611</v>
      </c>
      <c r="C177" s="25">
        <v>2E-3</v>
      </c>
      <c r="D177" s="5" t="s">
        <v>183</v>
      </c>
      <c r="E177" s="5">
        <f t="shared" si="25"/>
        <v>11.5</v>
      </c>
      <c r="F177" s="5">
        <f t="shared" si="26"/>
        <v>2.3E-2</v>
      </c>
    </row>
    <row r="178" spans="1:6" ht="13" x14ac:dyDescent="0.15">
      <c r="A178" s="10">
        <v>4</v>
      </c>
      <c r="B178" s="25" t="s">
        <v>232</v>
      </c>
      <c r="C178" s="25">
        <v>2E-3</v>
      </c>
      <c r="D178" s="5" t="s">
        <v>183</v>
      </c>
      <c r="E178" s="5">
        <f t="shared" si="25"/>
        <v>39.200000000000003</v>
      </c>
      <c r="F178" s="5">
        <f t="shared" si="26"/>
        <v>7.8400000000000011E-2</v>
      </c>
    </row>
    <row r="179" spans="1:6" ht="13" x14ac:dyDescent="0.15">
      <c r="A179" s="10">
        <v>5</v>
      </c>
      <c r="B179" s="25" t="s">
        <v>771</v>
      </c>
      <c r="C179" s="25">
        <v>1.5</v>
      </c>
      <c r="D179" s="5" t="s">
        <v>721</v>
      </c>
      <c r="E179" s="5">
        <f t="shared" si="25"/>
        <v>3.6284444444444444</v>
      </c>
      <c r="F179" s="5">
        <f t="shared" si="26"/>
        <v>5.4426666666666668</v>
      </c>
    </row>
    <row r="180" spans="1:6" ht="13" x14ac:dyDescent="0.15">
      <c r="A180" s="10">
        <v>6</v>
      </c>
      <c r="B180" s="25" t="s">
        <v>919</v>
      </c>
      <c r="C180" s="25">
        <v>0.05</v>
      </c>
      <c r="D180" s="5" t="s">
        <v>183</v>
      </c>
      <c r="E180" s="5">
        <f>'Master Price list'!G182</f>
        <v>23.8</v>
      </c>
      <c r="F180" s="5">
        <f t="shared" si="26"/>
        <v>1.1900000000000002</v>
      </c>
    </row>
    <row r="181" spans="1:6" ht="13" x14ac:dyDescent="0.15">
      <c r="A181" s="10">
        <v>7</v>
      </c>
      <c r="B181" s="25" t="s">
        <v>810</v>
      </c>
      <c r="C181" s="25">
        <v>0.03</v>
      </c>
      <c r="D181" s="5" t="s">
        <v>183</v>
      </c>
      <c r="E181" s="5">
        <f>'Master Price list'!G24</f>
        <v>50</v>
      </c>
      <c r="F181" s="5">
        <f t="shared" si="26"/>
        <v>1.5</v>
      </c>
    </row>
    <row r="182" spans="1:6" ht="13" x14ac:dyDescent="0.15">
      <c r="A182" s="10">
        <v>8</v>
      </c>
      <c r="B182" s="25" t="s">
        <v>433</v>
      </c>
      <c r="C182" s="25">
        <v>0.03</v>
      </c>
      <c r="D182" s="5" t="s">
        <v>183</v>
      </c>
      <c r="E182" s="5">
        <f>E168</f>
        <v>13.5</v>
      </c>
      <c r="F182" s="5">
        <f t="shared" si="26"/>
        <v>0.40499999999999997</v>
      </c>
    </row>
    <row r="183" spans="1:6" ht="13" x14ac:dyDescent="0.15">
      <c r="D183" s="170" t="s">
        <v>777</v>
      </c>
      <c r="E183" s="171"/>
      <c r="F183" s="29">
        <f>SUM(F175:F182)</f>
        <v>8.7232661176470589</v>
      </c>
    </row>
    <row r="186" spans="1:6" ht="13" x14ac:dyDescent="0.15">
      <c r="A186" s="172" t="s">
        <v>19</v>
      </c>
      <c r="B186" s="173"/>
      <c r="C186" s="171"/>
    </row>
    <row r="187" spans="1:6" ht="13" x14ac:dyDescent="0.15">
      <c r="A187" s="168" t="s">
        <v>773</v>
      </c>
      <c r="B187" s="168" t="s">
        <v>774</v>
      </c>
      <c r="C187" s="168" t="s">
        <v>775</v>
      </c>
      <c r="D187" s="168" t="s">
        <v>719</v>
      </c>
      <c r="E187" s="168" t="s">
        <v>776</v>
      </c>
      <c r="F187" s="168" t="s">
        <v>777</v>
      </c>
    </row>
    <row r="188" spans="1:6" ht="13" x14ac:dyDescent="0.15">
      <c r="A188" s="169"/>
      <c r="B188" s="169"/>
      <c r="C188" s="169"/>
      <c r="D188" s="169"/>
      <c r="E188" s="169"/>
      <c r="F188" s="169"/>
    </row>
    <row r="189" spans="1:6" ht="13" x14ac:dyDescent="0.15">
      <c r="A189" s="10">
        <v>1</v>
      </c>
      <c r="B189" s="25" t="s">
        <v>356</v>
      </c>
      <c r="C189" s="25">
        <v>2</v>
      </c>
      <c r="D189" s="5" t="s">
        <v>721</v>
      </c>
      <c r="E189" s="5">
        <f>E175</f>
        <v>6.6508333333333336E-2</v>
      </c>
      <c r="F189" s="5">
        <f t="shared" ref="F189:F196" si="27">E189*C189</f>
        <v>0.13301666666666667</v>
      </c>
    </row>
    <row r="190" spans="1:6" ht="13" x14ac:dyDescent="0.15">
      <c r="A190" s="10">
        <v>2</v>
      </c>
      <c r="B190" s="25" t="s">
        <v>586</v>
      </c>
      <c r="C190" s="25">
        <v>0.05</v>
      </c>
      <c r="D190" s="5" t="s">
        <v>183</v>
      </c>
      <c r="E190" s="5">
        <f>'Master Price list'!G157</f>
        <v>55</v>
      </c>
      <c r="F190" s="5">
        <f t="shared" si="27"/>
        <v>2.75</v>
      </c>
    </row>
    <row r="191" spans="1:6" ht="13" x14ac:dyDescent="0.15">
      <c r="A191" s="10">
        <v>3</v>
      </c>
      <c r="B191" s="25" t="s">
        <v>611</v>
      </c>
      <c r="C191" s="25">
        <v>2E-3</v>
      </c>
      <c r="D191" s="5" t="s">
        <v>183</v>
      </c>
      <c r="E191" s="5">
        <f>E164</f>
        <v>11.5</v>
      </c>
      <c r="F191" s="5">
        <f t="shared" si="27"/>
        <v>2.3E-2</v>
      </c>
    </row>
    <row r="192" spans="1:6" ht="13" x14ac:dyDescent="0.15">
      <c r="A192" s="10">
        <v>4</v>
      </c>
      <c r="B192" s="25" t="s">
        <v>232</v>
      </c>
      <c r="C192" s="25">
        <v>2E-3</v>
      </c>
      <c r="D192" s="5" t="s">
        <v>183</v>
      </c>
      <c r="E192" s="5">
        <f>E178</f>
        <v>39.200000000000003</v>
      </c>
      <c r="F192" s="5">
        <f t="shared" si="27"/>
        <v>7.8400000000000011E-2</v>
      </c>
    </row>
    <row r="193" spans="1:6" ht="13" x14ac:dyDescent="0.15">
      <c r="A193" s="10">
        <v>5</v>
      </c>
      <c r="B193" s="25" t="s">
        <v>741</v>
      </c>
      <c r="C193" s="25">
        <v>1</v>
      </c>
      <c r="D193" s="5" t="s">
        <v>721</v>
      </c>
      <c r="E193" s="5">
        <f>E176</f>
        <v>1.7691117647058825</v>
      </c>
      <c r="F193" s="5">
        <f t="shared" si="27"/>
        <v>1.7691117647058825</v>
      </c>
    </row>
    <row r="194" spans="1:6" ht="13" x14ac:dyDescent="0.15">
      <c r="A194" s="10">
        <v>6</v>
      </c>
      <c r="B194" s="25" t="s">
        <v>747</v>
      </c>
      <c r="C194" s="25">
        <v>0.03</v>
      </c>
      <c r="D194" s="5" t="s">
        <v>183</v>
      </c>
      <c r="E194" s="5">
        <f>'Item list'!B37</f>
        <v>48.182253968253974</v>
      </c>
      <c r="F194" s="5">
        <f t="shared" si="27"/>
        <v>1.4454676190476192</v>
      </c>
    </row>
    <row r="195" spans="1:6" ht="13" x14ac:dyDescent="0.15">
      <c r="A195" s="10">
        <v>7</v>
      </c>
      <c r="B195" s="25" t="s">
        <v>920</v>
      </c>
      <c r="C195" s="25">
        <v>2</v>
      </c>
      <c r="D195" s="5" t="s">
        <v>350</v>
      </c>
      <c r="E195" s="5">
        <f>'Master Price list'!G207</f>
        <v>0.5</v>
      </c>
      <c r="F195" s="5">
        <f t="shared" si="27"/>
        <v>1</v>
      </c>
    </row>
    <row r="196" spans="1:6" ht="13" x14ac:dyDescent="0.15">
      <c r="A196" s="10">
        <v>8</v>
      </c>
      <c r="B196" s="25" t="s">
        <v>68</v>
      </c>
      <c r="C196" s="25">
        <v>7.4999999999999997E-2</v>
      </c>
      <c r="D196" s="5" t="s">
        <v>183</v>
      </c>
      <c r="E196" s="5">
        <f>'Master Price list'!G7</f>
        <v>45.7</v>
      </c>
      <c r="F196" s="5">
        <f t="shared" si="27"/>
        <v>3.4275000000000002</v>
      </c>
    </row>
    <row r="197" spans="1:6" ht="13" x14ac:dyDescent="0.15">
      <c r="D197" s="170" t="s">
        <v>777</v>
      </c>
      <c r="E197" s="171"/>
      <c r="F197" s="29">
        <f>SUM(F189:F196)</f>
        <v>10.626496050420169</v>
      </c>
    </row>
    <row r="200" spans="1:6" ht="13" x14ac:dyDescent="0.15">
      <c r="A200" s="172" t="s">
        <v>20</v>
      </c>
      <c r="B200" s="173"/>
      <c r="C200" s="171"/>
    </row>
    <row r="201" spans="1:6" ht="13" x14ac:dyDescent="0.15">
      <c r="A201" s="168" t="s">
        <v>773</v>
      </c>
      <c r="B201" s="168" t="s">
        <v>774</v>
      </c>
      <c r="C201" s="168" t="s">
        <v>775</v>
      </c>
      <c r="D201" s="168" t="s">
        <v>719</v>
      </c>
      <c r="E201" s="168" t="s">
        <v>776</v>
      </c>
      <c r="F201" s="168" t="s">
        <v>777</v>
      </c>
    </row>
    <row r="202" spans="1:6" ht="13" x14ac:dyDescent="0.15">
      <c r="A202" s="169"/>
      <c r="B202" s="169"/>
      <c r="C202" s="169"/>
      <c r="D202" s="169"/>
      <c r="E202" s="169"/>
      <c r="F202" s="169"/>
    </row>
    <row r="203" spans="1:6" ht="13" x14ac:dyDescent="0.15">
      <c r="A203" s="10">
        <v>1</v>
      </c>
      <c r="B203" s="25" t="s">
        <v>356</v>
      </c>
      <c r="C203" s="25">
        <v>2</v>
      </c>
      <c r="D203" s="5" t="s">
        <v>721</v>
      </c>
      <c r="E203" s="5">
        <f t="shared" ref="E203:E209" si="28">E189</f>
        <v>6.6508333333333336E-2</v>
      </c>
      <c r="F203" s="5">
        <f t="shared" ref="F203:F210" si="29">E203*C203</f>
        <v>0.13301666666666667</v>
      </c>
    </row>
    <row r="204" spans="1:6" ht="13" x14ac:dyDescent="0.15">
      <c r="A204" s="10">
        <v>2</v>
      </c>
      <c r="B204" s="25" t="s">
        <v>586</v>
      </c>
      <c r="C204" s="25">
        <v>0.05</v>
      </c>
      <c r="D204" s="5" t="s">
        <v>183</v>
      </c>
      <c r="E204" s="5">
        <f t="shared" si="28"/>
        <v>55</v>
      </c>
      <c r="F204" s="5">
        <f t="shared" si="29"/>
        <v>2.75</v>
      </c>
    </row>
    <row r="205" spans="1:6" ht="13" x14ac:dyDescent="0.15">
      <c r="A205" s="10">
        <v>3</v>
      </c>
      <c r="B205" s="25" t="s">
        <v>611</v>
      </c>
      <c r="C205" s="25">
        <v>2E-3</v>
      </c>
      <c r="D205" s="5" t="s">
        <v>183</v>
      </c>
      <c r="E205" s="5">
        <f t="shared" si="28"/>
        <v>11.5</v>
      </c>
      <c r="F205" s="5">
        <f t="shared" si="29"/>
        <v>2.3E-2</v>
      </c>
    </row>
    <row r="206" spans="1:6" ht="13" x14ac:dyDescent="0.15">
      <c r="A206" s="10">
        <v>4</v>
      </c>
      <c r="B206" s="25" t="s">
        <v>232</v>
      </c>
      <c r="C206" s="25">
        <v>2E-3</v>
      </c>
      <c r="D206" s="5" t="s">
        <v>183</v>
      </c>
      <c r="E206" s="5">
        <f t="shared" si="28"/>
        <v>39.200000000000003</v>
      </c>
      <c r="F206" s="5">
        <f t="shared" si="29"/>
        <v>7.8400000000000011E-2</v>
      </c>
    </row>
    <row r="207" spans="1:6" ht="13" x14ac:dyDescent="0.15">
      <c r="A207" s="10">
        <v>5</v>
      </c>
      <c r="B207" s="25" t="s">
        <v>741</v>
      </c>
      <c r="C207" s="25">
        <v>1</v>
      </c>
      <c r="D207" s="5" t="s">
        <v>721</v>
      </c>
      <c r="E207" s="5">
        <f t="shared" si="28"/>
        <v>1.7691117647058825</v>
      </c>
      <c r="F207" s="5">
        <f t="shared" si="29"/>
        <v>1.7691117647058825</v>
      </c>
    </row>
    <row r="208" spans="1:6" ht="13" x14ac:dyDescent="0.15">
      <c r="A208" s="10">
        <v>6</v>
      </c>
      <c r="B208" s="25" t="s">
        <v>747</v>
      </c>
      <c r="C208" s="25">
        <v>0.03</v>
      </c>
      <c r="D208" s="5" t="s">
        <v>183</v>
      </c>
      <c r="E208" s="5">
        <f t="shared" si="28"/>
        <v>48.182253968253974</v>
      </c>
      <c r="F208" s="5">
        <f t="shared" si="29"/>
        <v>1.4454676190476192</v>
      </c>
    </row>
    <row r="209" spans="1:6" ht="13" x14ac:dyDescent="0.15">
      <c r="A209" s="10">
        <v>7</v>
      </c>
      <c r="B209" s="25" t="s">
        <v>920</v>
      </c>
      <c r="C209" s="25">
        <v>2</v>
      </c>
      <c r="D209" s="5" t="s">
        <v>350</v>
      </c>
      <c r="E209" s="5">
        <f t="shared" si="28"/>
        <v>0.5</v>
      </c>
      <c r="F209" s="5">
        <f t="shared" si="29"/>
        <v>1</v>
      </c>
    </row>
    <row r="210" spans="1:6" ht="13" x14ac:dyDescent="0.15">
      <c r="A210" s="10">
        <v>8</v>
      </c>
      <c r="B210" s="25" t="s">
        <v>842</v>
      </c>
      <c r="C210" s="25">
        <v>0.05</v>
      </c>
      <c r="D210" s="5" t="s">
        <v>183</v>
      </c>
      <c r="E210" s="5">
        <f>E167</f>
        <v>128</v>
      </c>
      <c r="F210" s="5">
        <f t="shared" si="29"/>
        <v>6.4</v>
      </c>
    </row>
    <row r="211" spans="1:6" ht="13" x14ac:dyDescent="0.15">
      <c r="D211" s="170" t="s">
        <v>777</v>
      </c>
      <c r="E211" s="171"/>
      <c r="F211" s="29">
        <f>SUM(F203:F210)</f>
        <v>13.598996050420169</v>
      </c>
    </row>
    <row r="214" spans="1:6" ht="13" x14ac:dyDescent="0.15">
      <c r="A214" s="172" t="s">
        <v>21</v>
      </c>
      <c r="B214" s="173"/>
      <c r="C214" s="171"/>
    </row>
    <row r="215" spans="1:6" ht="13" x14ac:dyDescent="0.15">
      <c r="A215" s="168" t="s">
        <v>773</v>
      </c>
      <c r="B215" s="168" t="s">
        <v>774</v>
      </c>
      <c r="C215" s="168" t="s">
        <v>775</v>
      </c>
      <c r="D215" s="168" t="s">
        <v>719</v>
      </c>
      <c r="E215" s="168" t="s">
        <v>776</v>
      </c>
      <c r="F215" s="168" t="s">
        <v>777</v>
      </c>
    </row>
    <row r="216" spans="1:6" ht="13" x14ac:dyDescent="0.15">
      <c r="A216" s="169"/>
      <c r="B216" s="169"/>
      <c r="C216" s="169"/>
      <c r="D216" s="169"/>
      <c r="E216" s="169"/>
      <c r="F216" s="169"/>
    </row>
    <row r="217" spans="1:6" ht="13" x14ac:dyDescent="0.15">
      <c r="A217" s="10">
        <v>1</v>
      </c>
      <c r="B217" s="25" t="s">
        <v>356</v>
      </c>
      <c r="C217" s="25">
        <v>2</v>
      </c>
      <c r="D217" s="5" t="s">
        <v>721</v>
      </c>
      <c r="E217" s="5">
        <f>E203</f>
        <v>6.6508333333333336E-2</v>
      </c>
      <c r="F217" s="5">
        <f t="shared" ref="F217:F219" si="30">E217*C217</f>
        <v>0.13301666666666667</v>
      </c>
    </row>
    <row r="218" spans="1:6" ht="13" x14ac:dyDescent="0.15">
      <c r="A218" s="10">
        <v>2</v>
      </c>
      <c r="B218" s="25" t="s">
        <v>232</v>
      </c>
      <c r="C218" s="25">
        <v>2E-3</v>
      </c>
      <c r="D218" s="5" t="s">
        <v>183</v>
      </c>
      <c r="E218" s="5">
        <f>E206</f>
        <v>39.200000000000003</v>
      </c>
      <c r="F218" s="5">
        <f t="shared" si="30"/>
        <v>7.8400000000000011E-2</v>
      </c>
    </row>
    <row r="219" spans="1:6" ht="13" x14ac:dyDescent="0.15">
      <c r="A219" s="10">
        <v>3</v>
      </c>
      <c r="B219" s="25" t="s">
        <v>765</v>
      </c>
      <c r="C219" s="25">
        <v>2E-3</v>
      </c>
      <c r="D219" s="5" t="s">
        <v>183</v>
      </c>
      <c r="E219" s="5">
        <f>'Item list'!B55</f>
        <v>35.526000000000003</v>
      </c>
      <c r="F219" s="5">
        <f t="shared" si="30"/>
        <v>7.1052000000000004E-2</v>
      </c>
    </row>
    <row r="220" spans="1:6" ht="13" x14ac:dyDescent="0.15">
      <c r="D220" s="170" t="s">
        <v>777</v>
      </c>
      <c r="E220" s="171"/>
      <c r="F220" s="29">
        <f>SUM(F217:F219)</f>
        <v>0.2824686666666667</v>
      </c>
    </row>
    <row r="223" spans="1:6" ht="13" x14ac:dyDescent="0.15">
      <c r="A223" s="172" t="s">
        <v>22</v>
      </c>
      <c r="B223" s="173"/>
      <c r="C223" s="171"/>
    </row>
    <row r="224" spans="1:6" ht="13" x14ac:dyDescent="0.15">
      <c r="A224" s="168" t="s">
        <v>773</v>
      </c>
      <c r="B224" s="168" t="s">
        <v>774</v>
      </c>
      <c r="C224" s="168" t="s">
        <v>775</v>
      </c>
      <c r="D224" s="168" t="s">
        <v>719</v>
      </c>
      <c r="E224" s="168" t="s">
        <v>776</v>
      </c>
      <c r="F224" s="168" t="s">
        <v>777</v>
      </c>
    </row>
    <row r="225" spans="1:6" ht="13" x14ac:dyDescent="0.15">
      <c r="A225" s="169"/>
      <c r="B225" s="169"/>
      <c r="C225" s="169"/>
      <c r="D225" s="169"/>
      <c r="E225" s="169"/>
      <c r="F225" s="169"/>
    </row>
    <row r="226" spans="1:6" ht="13" x14ac:dyDescent="0.15">
      <c r="A226" s="10">
        <v>1</v>
      </c>
      <c r="B226" s="25" t="s">
        <v>356</v>
      </c>
      <c r="C226" s="25">
        <v>1</v>
      </c>
      <c r="D226" s="5" t="s">
        <v>721</v>
      </c>
      <c r="E226" s="5">
        <f t="shared" ref="E226:E232" si="31">E212</f>
        <v>0</v>
      </c>
      <c r="F226" s="5">
        <f t="shared" ref="F226:F233" si="32">E226*C226</f>
        <v>0</v>
      </c>
    </row>
    <row r="227" spans="1:6" ht="13" x14ac:dyDescent="0.15">
      <c r="A227" s="10">
        <v>2</v>
      </c>
      <c r="B227" s="25" t="s">
        <v>586</v>
      </c>
      <c r="C227" s="25">
        <v>0.05</v>
      </c>
      <c r="D227" s="5" t="s">
        <v>183</v>
      </c>
      <c r="E227" s="5">
        <f t="shared" si="31"/>
        <v>0</v>
      </c>
      <c r="F227" s="5">
        <f t="shared" si="32"/>
        <v>0</v>
      </c>
    </row>
    <row r="228" spans="1:6" ht="13" x14ac:dyDescent="0.15">
      <c r="A228" s="10">
        <v>3</v>
      </c>
      <c r="B228" s="25" t="s">
        <v>611</v>
      </c>
      <c r="C228" s="25">
        <v>2E-3</v>
      </c>
      <c r="D228" s="5" t="s">
        <v>183</v>
      </c>
      <c r="E228" s="5">
        <f t="shared" si="31"/>
        <v>0</v>
      </c>
      <c r="F228" s="5">
        <f t="shared" si="32"/>
        <v>0</v>
      </c>
    </row>
    <row r="229" spans="1:6" ht="13" x14ac:dyDescent="0.15">
      <c r="A229" s="10">
        <v>4</v>
      </c>
      <c r="B229" s="25" t="s">
        <v>232</v>
      </c>
      <c r="C229" s="25">
        <v>2E-3</v>
      </c>
      <c r="D229" s="5" t="s">
        <v>183</v>
      </c>
      <c r="E229" s="5" t="str">
        <f t="shared" si="31"/>
        <v>UNIT PRICE</v>
      </c>
      <c r="F229" s="5" t="e">
        <f t="shared" si="32"/>
        <v>#VALUE!</v>
      </c>
    </row>
    <row r="230" spans="1:6" ht="13" x14ac:dyDescent="0.15">
      <c r="A230" s="10">
        <v>5</v>
      </c>
      <c r="B230" s="25" t="s">
        <v>741</v>
      </c>
      <c r="C230" s="25">
        <v>1</v>
      </c>
      <c r="D230" s="5" t="s">
        <v>721</v>
      </c>
      <c r="E230" s="5">
        <f t="shared" si="31"/>
        <v>0</v>
      </c>
      <c r="F230" s="5">
        <f t="shared" si="32"/>
        <v>0</v>
      </c>
    </row>
    <row r="231" spans="1:6" ht="13" x14ac:dyDescent="0.15">
      <c r="A231" s="10">
        <v>6</v>
      </c>
      <c r="B231" s="25" t="s">
        <v>747</v>
      </c>
      <c r="C231" s="25">
        <v>0.03</v>
      </c>
      <c r="D231" s="5" t="s">
        <v>183</v>
      </c>
      <c r="E231" s="5">
        <f t="shared" si="31"/>
        <v>6.6508333333333336E-2</v>
      </c>
      <c r="F231" s="5">
        <f t="shared" si="32"/>
        <v>1.9952500000000001E-3</v>
      </c>
    </row>
    <row r="232" spans="1:6" ht="13" x14ac:dyDescent="0.15">
      <c r="A232" s="10">
        <v>7</v>
      </c>
      <c r="B232" s="25" t="s">
        <v>920</v>
      </c>
      <c r="C232" s="25">
        <v>2</v>
      </c>
      <c r="D232" s="5" t="s">
        <v>350</v>
      </c>
      <c r="E232" s="5">
        <f t="shared" si="31"/>
        <v>39.200000000000003</v>
      </c>
      <c r="F232" s="5">
        <f t="shared" si="32"/>
        <v>78.400000000000006</v>
      </c>
    </row>
    <row r="233" spans="1:6" ht="13" x14ac:dyDescent="0.15">
      <c r="A233" s="10">
        <v>8</v>
      </c>
      <c r="B233" s="25" t="s">
        <v>842</v>
      </c>
      <c r="C233" s="25">
        <v>0.05</v>
      </c>
      <c r="D233" s="5" t="s">
        <v>183</v>
      </c>
      <c r="E233" s="5">
        <f>E190</f>
        <v>55</v>
      </c>
      <c r="F233" s="5">
        <f t="shared" si="32"/>
        <v>2.75</v>
      </c>
    </row>
    <row r="234" spans="1:6" ht="13" x14ac:dyDescent="0.15">
      <c r="D234" s="170" t="s">
        <v>777</v>
      </c>
      <c r="E234" s="171"/>
      <c r="F234" s="19" t="e">
        <f>SUM(F226:F233)</f>
        <v>#VALUE!</v>
      </c>
    </row>
    <row r="237" spans="1:6" ht="13" x14ac:dyDescent="0.15">
      <c r="A237" s="172" t="s">
        <v>24</v>
      </c>
      <c r="B237" s="173"/>
      <c r="C237" s="171"/>
    </row>
    <row r="238" spans="1:6" ht="13" x14ac:dyDescent="0.15">
      <c r="A238" s="168" t="s">
        <v>773</v>
      </c>
      <c r="B238" s="168" t="s">
        <v>774</v>
      </c>
      <c r="C238" s="168" t="s">
        <v>775</v>
      </c>
      <c r="D238" s="168" t="s">
        <v>719</v>
      </c>
      <c r="E238" s="168" t="s">
        <v>776</v>
      </c>
      <c r="F238" s="168" t="s">
        <v>777</v>
      </c>
    </row>
    <row r="239" spans="1:6" ht="13" x14ac:dyDescent="0.15">
      <c r="A239" s="169"/>
      <c r="B239" s="169"/>
      <c r="C239" s="169"/>
      <c r="D239" s="169"/>
      <c r="E239" s="169"/>
      <c r="F239" s="169"/>
    </row>
    <row r="240" spans="1:6" ht="13" x14ac:dyDescent="0.15">
      <c r="A240" s="10">
        <v>1</v>
      </c>
      <c r="B240" s="25" t="s">
        <v>723</v>
      </c>
      <c r="C240" s="25">
        <v>1</v>
      </c>
      <c r="D240" s="5" t="s">
        <v>721</v>
      </c>
      <c r="E240" s="5">
        <f>'Item list'!B4</f>
        <v>2.9466999999999999</v>
      </c>
      <c r="F240" s="5">
        <f t="shared" ref="F240:F244" si="33">E240*C240</f>
        <v>2.9466999999999999</v>
      </c>
    </row>
    <row r="241" spans="1:6" ht="13" x14ac:dyDescent="0.15">
      <c r="A241" s="10">
        <v>2</v>
      </c>
      <c r="B241" s="25" t="s">
        <v>270</v>
      </c>
      <c r="C241" s="25">
        <v>0.03</v>
      </c>
      <c r="D241" s="5" t="s">
        <v>183</v>
      </c>
      <c r="E241" s="5">
        <f>'Master Price list'!G35</f>
        <v>29</v>
      </c>
      <c r="F241" s="5">
        <f t="shared" si="33"/>
        <v>0.87</v>
      </c>
    </row>
    <row r="242" spans="1:6" ht="13" x14ac:dyDescent="0.15">
      <c r="A242" s="10">
        <v>3</v>
      </c>
      <c r="B242" s="25" t="s">
        <v>556</v>
      </c>
      <c r="C242" s="25">
        <v>0.01</v>
      </c>
      <c r="D242" s="5" t="s">
        <v>183</v>
      </c>
      <c r="E242" s="5">
        <f>'Master Price list'!G146</f>
        <v>15.8</v>
      </c>
      <c r="F242" s="5">
        <f t="shared" si="33"/>
        <v>0.158</v>
      </c>
    </row>
    <row r="243" spans="1:6" ht="13" x14ac:dyDescent="0.15">
      <c r="A243" s="10">
        <v>4</v>
      </c>
      <c r="B243" s="25" t="s">
        <v>738</v>
      </c>
      <c r="C243" s="25">
        <v>0.01</v>
      </c>
      <c r="D243" s="5" t="s">
        <v>183</v>
      </c>
      <c r="E243" s="5">
        <f>'Item list'!B27</f>
        <v>28.882249999999999</v>
      </c>
      <c r="F243" s="5">
        <f t="shared" si="33"/>
        <v>0.28882249999999998</v>
      </c>
    </row>
    <row r="244" spans="1:6" ht="13" x14ac:dyDescent="0.15">
      <c r="A244" s="10">
        <v>5</v>
      </c>
      <c r="B244" s="25" t="s">
        <v>794</v>
      </c>
      <c r="C244" s="25">
        <v>0.05</v>
      </c>
      <c r="D244" s="5" t="s">
        <v>183</v>
      </c>
      <c r="E244" s="5">
        <f>'Master Price list'!G27</f>
        <v>9</v>
      </c>
      <c r="F244" s="5">
        <f t="shared" si="33"/>
        <v>0.45</v>
      </c>
    </row>
    <row r="245" spans="1:6" ht="13" x14ac:dyDescent="0.15">
      <c r="D245" s="170" t="s">
        <v>777</v>
      </c>
      <c r="E245" s="171"/>
      <c r="F245" s="29">
        <f>SUM(F240:F244)</f>
        <v>4.7135224999999998</v>
      </c>
    </row>
    <row r="248" spans="1:6" ht="13" x14ac:dyDescent="0.15">
      <c r="A248" s="172" t="s">
        <v>25</v>
      </c>
      <c r="B248" s="173"/>
      <c r="C248" s="171"/>
    </row>
    <row r="249" spans="1:6" ht="13" x14ac:dyDescent="0.15">
      <c r="A249" s="168" t="s">
        <v>773</v>
      </c>
      <c r="B249" s="168" t="s">
        <v>774</v>
      </c>
      <c r="C249" s="168" t="s">
        <v>775</v>
      </c>
      <c r="D249" s="168" t="s">
        <v>719</v>
      </c>
      <c r="E249" s="168" t="s">
        <v>776</v>
      </c>
      <c r="F249" s="168" t="s">
        <v>777</v>
      </c>
    </row>
    <row r="250" spans="1:6" ht="13" x14ac:dyDescent="0.15">
      <c r="A250" s="169"/>
      <c r="B250" s="169"/>
      <c r="C250" s="169"/>
      <c r="D250" s="169"/>
      <c r="E250" s="169"/>
      <c r="F250" s="169"/>
    </row>
    <row r="251" spans="1:6" ht="13" x14ac:dyDescent="0.15">
      <c r="A251" s="10">
        <v>1</v>
      </c>
      <c r="B251" s="25" t="s">
        <v>921</v>
      </c>
      <c r="C251" s="25">
        <v>1</v>
      </c>
      <c r="D251" s="5" t="s">
        <v>721</v>
      </c>
      <c r="E251" s="5">
        <f>'Item list'!B5</f>
        <v>5.4060666666666668</v>
      </c>
      <c r="F251" s="5">
        <f t="shared" ref="F251:F254" si="34">E251*C251</f>
        <v>5.4060666666666668</v>
      </c>
    </row>
    <row r="252" spans="1:6" ht="13" x14ac:dyDescent="0.15">
      <c r="A252" s="10">
        <v>2</v>
      </c>
      <c r="B252" s="25" t="s">
        <v>588</v>
      </c>
      <c r="C252" s="25">
        <v>0.1</v>
      </c>
      <c r="D252" s="5" t="s">
        <v>183</v>
      </c>
      <c r="E252" s="5">
        <f>'Master Price list'!G158</f>
        <v>5.3</v>
      </c>
      <c r="F252" s="5">
        <f t="shared" si="34"/>
        <v>0.53</v>
      </c>
    </row>
    <row r="253" spans="1:6" ht="13" x14ac:dyDescent="0.15">
      <c r="A253" s="10">
        <v>3</v>
      </c>
      <c r="B253" s="25" t="s">
        <v>916</v>
      </c>
      <c r="C253" s="25">
        <v>0.01</v>
      </c>
      <c r="D253" s="5" t="s">
        <v>183</v>
      </c>
      <c r="E253" s="5">
        <f>'Master Price list'!G37</f>
        <v>55</v>
      </c>
      <c r="F253" s="5">
        <f t="shared" si="34"/>
        <v>0.55000000000000004</v>
      </c>
    </row>
    <row r="254" spans="1:6" ht="13" x14ac:dyDescent="0.15">
      <c r="A254" s="10">
        <v>4</v>
      </c>
      <c r="B254" s="25" t="s">
        <v>922</v>
      </c>
      <c r="C254" s="25">
        <v>0.03</v>
      </c>
      <c r="D254" s="5" t="s">
        <v>183</v>
      </c>
      <c r="E254" s="5">
        <f>'Item list'!B45</f>
        <v>13.585342789598108</v>
      </c>
      <c r="F254" s="5">
        <f t="shared" si="34"/>
        <v>0.40756028368794323</v>
      </c>
    </row>
    <row r="255" spans="1:6" ht="13" x14ac:dyDescent="0.15">
      <c r="D255" s="170" t="s">
        <v>777</v>
      </c>
      <c r="E255" s="171"/>
      <c r="F255" s="29">
        <f>SUM(F251:F254)</f>
        <v>6.8936269503546104</v>
      </c>
    </row>
    <row r="258" spans="1:6" ht="13" x14ac:dyDescent="0.15">
      <c r="A258" s="172" t="s">
        <v>26</v>
      </c>
      <c r="B258" s="173"/>
      <c r="C258" s="171"/>
    </row>
    <row r="259" spans="1:6" ht="13" x14ac:dyDescent="0.15">
      <c r="A259" s="168" t="s">
        <v>773</v>
      </c>
      <c r="B259" s="168" t="s">
        <v>774</v>
      </c>
      <c r="C259" s="168" t="s">
        <v>775</v>
      </c>
      <c r="D259" s="168" t="s">
        <v>719</v>
      </c>
      <c r="E259" s="168" t="s">
        <v>776</v>
      </c>
      <c r="F259" s="168" t="s">
        <v>777</v>
      </c>
    </row>
    <row r="260" spans="1:6" ht="13" x14ac:dyDescent="0.15">
      <c r="A260" s="169"/>
      <c r="B260" s="169"/>
      <c r="C260" s="169"/>
      <c r="D260" s="169"/>
      <c r="E260" s="169"/>
      <c r="F260" s="169"/>
    </row>
    <row r="261" spans="1:6" ht="13" x14ac:dyDescent="0.15">
      <c r="A261" s="10">
        <v>1</v>
      </c>
      <c r="B261" s="25" t="s">
        <v>923</v>
      </c>
      <c r="C261" s="25">
        <v>0.08</v>
      </c>
      <c r="D261" s="5" t="s">
        <v>183</v>
      </c>
      <c r="E261" s="5">
        <f>'Master Price list'!G90</f>
        <v>10.3</v>
      </c>
      <c r="F261" s="5">
        <f t="shared" ref="F261:F267" si="35">E261*C261</f>
        <v>0.82400000000000007</v>
      </c>
    </row>
    <row r="262" spans="1:6" ht="13" x14ac:dyDescent="0.15">
      <c r="A262" s="10">
        <v>2</v>
      </c>
      <c r="B262" s="25" t="s">
        <v>794</v>
      </c>
      <c r="C262" s="25">
        <v>0.12</v>
      </c>
      <c r="D262" s="5" t="s">
        <v>183</v>
      </c>
      <c r="E262" s="5">
        <f>E244</f>
        <v>9</v>
      </c>
      <c r="F262" s="5">
        <f t="shared" si="35"/>
        <v>1.08</v>
      </c>
    </row>
    <row r="263" spans="1:6" ht="13" x14ac:dyDescent="0.15">
      <c r="A263" s="10">
        <v>3</v>
      </c>
      <c r="B263" s="25" t="s">
        <v>556</v>
      </c>
      <c r="C263" s="25">
        <v>0.01</v>
      </c>
      <c r="D263" s="5" t="s">
        <v>183</v>
      </c>
      <c r="E263" s="5">
        <f>E242</f>
        <v>15.8</v>
      </c>
      <c r="F263" s="5">
        <f t="shared" si="35"/>
        <v>0.158</v>
      </c>
    </row>
    <row r="264" spans="1:6" ht="13" x14ac:dyDescent="0.15">
      <c r="A264" s="10">
        <v>4</v>
      </c>
      <c r="B264" s="25" t="s">
        <v>924</v>
      </c>
      <c r="C264" s="25">
        <v>5.0000000000000001E-3</v>
      </c>
      <c r="D264" s="5" t="s">
        <v>183</v>
      </c>
      <c r="E264" s="5">
        <v>40.26</v>
      </c>
      <c r="F264" s="5">
        <f t="shared" si="35"/>
        <v>0.20130000000000001</v>
      </c>
    </row>
    <row r="265" spans="1:6" ht="13" x14ac:dyDescent="0.15">
      <c r="A265" s="10">
        <v>5</v>
      </c>
      <c r="B265" s="25" t="s">
        <v>588</v>
      </c>
      <c r="C265" s="25">
        <v>0.05</v>
      </c>
      <c r="D265" s="5" t="s">
        <v>183</v>
      </c>
      <c r="E265" s="5">
        <f>E252</f>
        <v>5.3</v>
      </c>
      <c r="F265" s="5">
        <f t="shared" si="35"/>
        <v>0.26500000000000001</v>
      </c>
    </row>
    <row r="266" spans="1:6" ht="13" x14ac:dyDescent="0.15">
      <c r="A266" s="10">
        <v>6</v>
      </c>
      <c r="B266" s="25" t="s">
        <v>754</v>
      </c>
      <c r="C266" s="25">
        <v>5.0000000000000001E-3</v>
      </c>
      <c r="D266" s="5" t="s">
        <v>183</v>
      </c>
      <c r="E266" s="5">
        <f>'Item list'!B44</f>
        <v>113.1349705882353</v>
      </c>
      <c r="F266" s="5">
        <f t="shared" si="35"/>
        <v>0.56567485294117659</v>
      </c>
    </row>
    <row r="267" spans="1:6" ht="13" x14ac:dyDescent="0.15">
      <c r="A267" s="10">
        <v>8</v>
      </c>
      <c r="B267" s="25" t="s">
        <v>794</v>
      </c>
      <c r="C267" s="25">
        <v>0.05</v>
      </c>
      <c r="D267" s="5" t="s">
        <v>183</v>
      </c>
      <c r="E267" s="5">
        <f>E244</f>
        <v>9</v>
      </c>
      <c r="F267" s="5">
        <f t="shared" si="35"/>
        <v>0.45</v>
      </c>
    </row>
    <row r="268" spans="1:6" ht="13" x14ac:dyDescent="0.15">
      <c r="D268" s="170" t="s">
        <v>777</v>
      </c>
      <c r="E268" s="171"/>
      <c r="F268" s="29">
        <f>SUM(F261:F267)</f>
        <v>3.5439748529411768</v>
      </c>
    </row>
    <row r="271" spans="1:6" ht="13" x14ac:dyDescent="0.15">
      <c r="A271" s="172" t="s">
        <v>27</v>
      </c>
      <c r="B271" s="173"/>
      <c r="C271" s="171"/>
    </row>
    <row r="272" spans="1:6" ht="13" x14ac:dyDescent="0.15">
      <c r="A272" s="168" t="s">
        <v>773</v>
      </c>
      <c r="B272" s="168" t="s">
        <v>774</v>
      </c>
      <c r="C272" s="168" t="s">
        <v>775</v>
      </c>
      <c r="D272" s="168" t="s">
        <v>719</v>
      </c>
      <c r="E272" s="168" t="s">
        <v>776</v>
      </c>
      <c r="F272" s="168" t="s">
        <v>777</v>
      </c>
    </row>
    <row r="273" spans="1:6" ht="13" x14ac:dyDescent="0.15">
      <c r="A273" s="169"/>
      <c r="B273" s="169"/>
      <c r="C273" s="169"/>
      <c r="D273" s="169"/>
      <c r="E273" s="169"/>
      <c r="F273" s="169"/>
    </row>
    <row r="274" spans="1:6" ht="13" x14ac:dyDescent="0.15">
      <c r="A274" s="10">
        <v>1</v>
      </c>
      <c r="B274" s="25" t="s">
        <v>356</v>
      </c>
      <c r="C274" s="25">
        <v>1</v>
      </c>
      <c r="D274" s="5" t="s">
        <v>721</v>
      </c>
      <c r="E274" s="5">
        <f>E203</f>
        <v>6.6508333333333336E-2</v>
      </c>
      <c r="F274" s="5">
        <f t="shared" ref="F274:F278" si="36">E274*C274</f>
        <v>6.6508333333333336E-2</v>
      </c>
    </row>
    <row r="275" spans="1:6" ht="13" x14ac:dyDescent="0.15">
      <c r="A275" s="10">
        <v>2</v>
      </c>
      <c r="B275" s="25" t="s">
        <v>925</v>
      </c>
      <c r="C275" s="25">
        <v>1</v>
      </c>
      <c r="D275" s="5" t="s">
        <v>721</v>
      </c>
      <c r="E275" s="5">
        <f>E179</f>
        <v>3.6284444444444444</v>
      </c>
      <c r="F275" s="5">
        <f t="shared" si="36"/>
        <v>3.6284444444444444</v>
      </c>
    </row>
    <row r="276" spans="1:6" ht="13" x14ac:dyDescent="0.15">
      <c r="A276" s="10">
        <v>3</v>
      </c>
      <c r="B276" s="25" t="s">
        <v>767</v>
      </c>
      <c r="C276" s="25">
        <v>1</v>
      </c>
      <c r="D276" s="5" t="s">
        <v>721</v>
      </c>
      <c r="E276" s="5">
        <f>'Item list'!B58</f>
        <v>7.7880000000000003</v>
      </c>
      <c r="F276" s="5">
        <f t="shared" si="36"/>
        <v>7.7880000000000003</v>
      </c>
    </row>
    <row r="277" spans="1:6" ht="13" x14ac:dyDescent="0.15">
      <c r="A277" s="10">
        <v>4</v>
      </c>
      <c r="B277" s="25" t="s">
        <v>232</v>
      </c>
      <c r="C277" s="25">
        <v>1E-3</v>
      </c>
      <c r="D277" s="5" t="s">
        <v>183</v>
      </c>
      <c r="E277" s="5">
        <f>E218</f>
        <v>39.200000000000003</v>
      </c>
      <c r="F277" s="5">
        <f t="shared" si="36"/>
        <v>3.9200000000000006E-2</v>
      </c>
    </row>
    <row r="278" spans="1:6" ht="13" x14ac:dyDescent="0.15">
      <c r="A278" s="10">
        <v>5</v>
      </c>
      <c r="B278" s="25" t="s">
        <v>926</v>
      </c>
      <c r="C278" s="25">
        <v>1.4999999999999999E-2</v>
      </c>
      <c r="D278" s="5" t="s">
        <v>183</v>
      </c>
      <c r="E278" s="5">
        <f>E155</f>
        <v>13.5</v>
      </c>
      <c r="F278" s="5">
        <f t="shared" si="36"/>
        <v>0.20249999999999999</v>
      </c>
    </row>
    <row r="279" spans="1:6" ht="13" x14ac:dyDescent="0.15">
      <c r="D279" s="170" t="s">
        <v>777</v>
      </c>
      <c r="E279" s="171"/>
      <c r="F279" s="29">
        <f>SUM(F274:F278)</f>
        <v>11.724652777777777</v>
      </c>
    </row>
    <row r="282" spans="1:6" ht="13" x14ac:dyDescent="0.15">
      <c r="A282" s="172" t="s">
        <v>28</v>
      </c>
      <c r="B282" s="173"/>
      <c r="C282" s="171"/>
    </row>
    <row r="283" spans="1:6" ht="13" x14ac:dyDescent="0.15">
      <c r="A283" s="168" t="s">
        <v>773</v>
      </c>
      <c r="B283" s="168" t="s">
        <v>774</v>
      </c>
      <c r="C283" s="168" t="s">
        <v>775</v>
      </c>
      <c r="D283" s="168" t="s">
        <v>719</v>
      </c>
      <c r="E283" s="168" t="s">
        <v>776</v>
      </c>
      <c r="F283" s="168" t="s">
        <v>777</v>
      </c>
    </row>
    <row r="284" spans="1:6" ht="13" x14ac:dyDescent="0.15">
      <c r="A284" s="169"/>
      <c r="B284" s="169"/>
      <c r="C284" s="169"/>
      <c r="D284" s="169"/>
      <c r="E284" s="169"/>
      <c r="F284" s="169"/>
    </row>
    <row r="285" spans="1:6" ht="13" x14ac:dyDescent="0.15">
      <c r="A285" s="10">
        <v>1</v>
      </c>
      <c r="B285" s="25" t="s">
        <v>356</v>
      </c>
      <c r="C285" s="25">
        <v>2</v>
      </c>
      <c r="D285" s="5" t="s">
        <v>721</v>
      </c>
      <c r="E285" s="5">
        <f>E274</f>
        <v>6.6508333333333336E-2</v>
      </c>
      <c r="F285" s="5">
        <f t="shared" ref="F285:F290" si="37">E285*C285</f>
        <v>0.13301666666666667</v>
      </c>
    </row>
    <row r="286" spans="1:6" ht="13" x14ac:dyDescent="0.15">
      <c r="A286" s="10">
        <v>2</v>
      </c>
      <c r="B286" s="25" t="s">
        <v>232</v>
      </c>
      <c r="C286" s="25">
        <v>0.01</v>
      </c>
      <c r="D286" s="5" t="s">
        <v>721</v>
      </c>
      <c r="E286" s="5">
        <f>E277</f>
        <v>39.200000000000003</v>
      </c>
      <c r="F286" s="5">
        <f t="shared" si="37"/>
        <v>0.39200000000000002</v>
      </c>
    </row>
    <row r="287" spans="1:6" ht="13" x14ac:dyDescent="0.15">
      <c r="A287" s="10">
        <v>3</v>
      </c>
      <c r="B287" s="25" t="s">
        <v>771</v>
      </c>
      <c r="C287" s="25">
        <v>1</v>
      </c>
      <c r="D287" s="5" t="s">
        <v>721</v>
      </c>
      <c r="E287" s="5">
        <f>E275</f>
        <v>3.6284444444444444</v>
      </c>
      <c r="F287" s="5">
        <f t="shared" si="37"/>
        <v>3.6284444444444444</v>
      </c>
    </row>
    <row r="288" spans="1:6" ht="13" x14ac:dyDescent="0.15">
      <c r="A288" s="10">
        <v>4</v>
      </c>
      <c r="B288" s="25" t="s">
        <v>842</v>
      </c>
      <c r="C288" s="25">
        <v>0.05</v>
      </c>
      <c r="D288" s="5" t="s">
        <v>183</v>
      </c>
      <c r="E288" s="5">
        <f>'Master Price list'!G17</f>
        <v>128</v>
      </c>
      <c r="F288" s="5">
        <f t="shared" si="37"/>
        <v>6.4</v>
      </c>
    </row>
    <row r="289" spans="1:6" ht="13" x14ac:dyDescent="0.15">
      <c r="A289" s="10">
        <v>5</v>
      </c>
      <c r="B289" s="25" t="s">
        <v>611</v>
      </c>
      <c r="C289" s="25">
        <v>2E-3</v>
      </c>
      <c r="D289" s="5" t="s">
        <v>183</v>
      </c>
      <c r="E289" s="5">
        <f>'Master Price list'!G169</f>
        <v>11.5</v>
      </c>
      <c r="F289" s="5">
        <f t="shared" si="37"/>
        <v>2.3E-2</v>
      </c>
    </row>
    <row r="290" spans="1:6" ht="13" x14ac:dyDescent="0.15">
      <c r="A290" s="10">
        <v>6</v>
      </c>
      <c r="B290" s="25" t="s">
        <v>741</v>
      </c>
      <c r="C290" s="25">
        <v>1</v>
      </c>
      <c r="D290" s="5" t="s">
        <v>721</v>
      </c>
      <c r="E290" s="5">
        <f>'Item list'!B31</f>
        <v>1.7691117647058825</v>
      </c>
      <c r="F290" s="5">
        <f t="shared" si="37"/>
        <v>1.7691117647058825</v>
      </c>
    </row>
    <row r="291" spans="1:6" ht="13" x14ac:dyDescent="0.15">
      <c r="D291" s="170" t="s">
        <v>777</v>
      </c>
      <c r="E291" s="171"/>
      <c r="F291" s="29">
        <f>SUM(F285:F290)</f>
        <v>12.345572875816995</v>
      </c>
    </row>
    <row r="294" spans="1:6" ht="13" x14ac:dyDescent="0.15">
      <c r="A294" s="172" t="s">
        <v>29</v>
      </c>
      <c r="B294" s="173"/>
      <c r="C294" s="171"/>
    </row>
    <row r="295" spans="1:6" ht="13" x14ac:dyDescent="0.15">
      <c r="A295" s="168" t="s">
        <v>773</v>
      </c>
      <c r="B295" s="168" t="s">
        <v>774</v>
      </c>
      <c r="C295" s="168" t="s">
        <v>775</v>
      </c>
      <c r="D295" s="168" t="s">
        <v>719</v>
      </c>
      <c r="E295" s="168" t="s">
        <v>776</v>
      </c>
      <c r="F295" s="168" t="s">
        <v>777</v>
      </c>
    </row>
    <row r="296" spans="1:6" ht="13" x14ac:dyDescent="0.15">
      <c r="A296" s="169"/>
      <c r="B296" s="169"/>
      <c r="C296" s="169"/>
      <c r="D296" s="169"/>
      <c r="E296" s="169"/>
      <c r="F296" s="169"/>
    </row>
    <row r="297" spans="1:6" ht="13" x14ac:dyDescent="0.15">
      <c r="A297" s="10">
        <v>1</v>
      </c>
      <c r="B297" s="25" t="s">
        <v>723</v>
      </c>
      <c r="C297" s="25">
        <v>1</v>
      </c>
      <c r="D297" s="5" t="s">
        <v>721</v>
      </c>
      <c r="E297" s="5">
        <f>'Item list'!B4</f>
        <v>2.9466999999999999</v>
      </c>
      <c r="F297" s="5">
        <f>E297*C297</f>
        <v>2.9466999999999999</v>
      </c>
    </row>
    <row r="298" spans="1:6" ht="13" x14ac:dyDescent="0.15">
      <c r="D298" s="170" t="s">
        <v>777</v>
      </c>
      <c r="E298" s="171"/>
      <c r="F298" s="29">
        <f>SUM(F297)</f>
        <v>2.9466999999999999</v>
      </c>
    </row>
    <row r="301" spans="1:6" ht="13" x14ac:dyDescent="0.15">
      <c r="A301" s="172" t="s">
        <v>30</v>
      </c>
      <c r="B301" s="173"/>
      <c r="C301" s="171"/>
    </row>
    <row r="302" spans="1:6" ht="13" x14ac:dyDescent="0.15">
      <c r="A302" s="168" t="s">
        <v>773</v>
      </c>
      <c r="B302" s="168" t="s">
        <v>774</v>
      </c>
      <c r="C302" s="168" t="s">
        <v>775</v>
      </c>
      <c r="D302" s="168" t="s">
        <v>719</v>
      </c>
      <c r="E302" s="168" t="s">
        <v>776</v>
      </c>
      <c r="F302" s="168" t="s">
        <v>777</v>
      </c>
    </row>
    <row r="303" spans="1:6" ht="13" x14ac:dyDescent="0.15">
      <c r="A303" s="169"/>
      <c r="B303" s="169"/>
      <c r="C303" s="169"/>
      <c r="D303" s="169"/>
      <c r="E303" s="169"/>
      <c r="F303" s="169"/>
    </row>
    <row r="304" spans="1:6" ht="13" x14ac:dyDescent="0.15">
      <c r="A304" s="10">
        <v>1</v>
      </c>
      <c r="B304" s="25" t="s">
        <v>927</v>
      </c>
      <c r="C304" s="25">
        <v>1.5</v>
      </c>
      <c r="D304" s="5" t="s">
        <v>721</v>
      </c>
      <c r="E304" s="5">
        <f t="shared" ref="E304:E305" si="38">E315</f>
        <v>0.85</v>
      </c>
      <c r="F304" s="5">
        <f t="shared" ref="F304:F308" si="39">E304*C304</f>
        <v>1.2749999999999999</v>
      </c>
    </row>
    <row r="305" spans="1:6" ht="13" x14ac:dyDescent="0.15">
      <c r="A305" s="10">
        <v>2</v>
      </c>
      <c r="B305" s="25" t="s">
        <v>725</v>
      </c>
      <c r="C305" s="25">
        <v>1</v>
      </c>
      <c r="D305" s="5" t="s">
        <v>721</v>
      </c>
      <c r="E305" s="5">
        <f t="shared" si="38"/>
        <v>0.67908888888888885</v>
      </c>
      <c r="F305" s="5">
        <f t="shared" si="39"/>
        <v>0.67908888888888885</v>
      </c>
    </row>
    <row r="306" spans="1:6" ht="13" x14ac:dyDescent="0.15">
      <c r="A306" s="10">
        <v>3</v>
      </c>
      <c r="B306" s="25" t="s">
        <v>754</v>
      </c>
      <c r="C306" s="25">
        <v>1.4999999999999999E-2</v>
      </c>
      <c r="D306" s="5" t="s">
        <v>183</v>
      </c>
      <c r="E306" s="5">
        <f>'Item list'!B44</f>
        <v>113.1349705882353</v>
      </c>
      <c r="F306" s="5">
        <f t="shared" si="39"/>
        <v>1.6970245588235295</v>
      </c>
    </row>
    <row r="307" spans="1:6" ht="13" x14ac:dyDescent="0.15">
      <c r="A307" s="10">
        <v>4</v>
      </c>
      <c r="B307" s="25" t="s">
        <v>903</v>
      </c>
      <c r="C307" s="25">
        <v>5.0000000000000001E-3</v>
      </c>
      <c r="D307" s="5" t="s">
        <v>183</v>
      </c>
      <c r="E307" s="5">
        <f>E319</f>
        <v>10.33</v>
      </c>
      <c r="F307" s="5">
        <f t="shared" si="39"/>
        <v>5.1650000000000001E-2</v>
      </c>
    </row>
    <row r="308" spans="1:6" ht="13" x14ac:dyDescent="0.15">
      <c r="A308" s="10">
        <v>5</v>
      </c>
      <c r="B308" s="25" t="s">
        <v>907</v>
      </c>
      <c r="C308" s="25">
        <v>0.03</v>
      </c>
      <c r="D308" s="5" t="s">
        <v>183</v>
      </c>
      <c r="E308" s="5">
        <f>'Master Price list'!G163</f>
        <v>55</v>
      </c>
      <c r="F308" s="5">
        <f t="shared" si="39"/>
        <v>1.65</v>
      </c>
    </row>
    <row r="309" spans="1:6" ht="13" x14ac:dyDescent="0.15">
      <c r="D309" s="170" t="s">
        <v>777</v>
      </c>
      <c r="E309" s="171"/>
      <c r="F309" s="29">
        <f>SUM(F304:F308)</f>
        <v>5.3527634477124177</v>
      </c>
    </row>
    <row r="312" spans="1:6" ht="13" x14ac:dyDescent="0.15">
      <c r="A312" s="172" t="s">
        <v>31</v>
      </c>
      <c r="B312" s="173"/>
      <c r="C312" s="171"/>
    </row>
    <row r="313" spans="1:6" ht="13" x14ac:dyDescent="0.15">
      <c r="A313" s="168" t="s">
        <v>773</v>
      </c>
      <c r="B313" s="168" t="s">
        <v>774</v>
      </c>
      <c r="C313" s="168" t="s">
        <v>775</v>
      </c>
      <c r="D313" s="168" t="s">
        <v>719</v>
      </c>
      <c r="E313" s="168" t="s">
        <v>776</v>
      </c>
      <c r="F313" s="168" t="s">
        <v>777</v>
      </c>
    </row>
    <row r="314" spans="1:6" ht="13" x14ac:dyDescent="0.15">
      <c r="A314" s="169"/>
      <c r="B314" s="169"/>
      <c r="C314" s="169"/>
      <c r="D314" s="169"/>
      <c r="E314" s="169"/>
      <c r="F314" s="169"/>
    </row>
    <row r="315" spans="1:6" ht="13" x14ac:dyDescent="0.15">
      <c r="A315" s="10">
        <v>1</v>
      </c>
      <c r="B315" s="25" t="s">
        <v>927</v>
      </c>
      <c r="C315" s="25">
        <v>1.5</v>
      </c>
      <c r="D315" s="5" t="s">
        <v>721</v>
      </c>
      <c r="E315" s="5">
        <f>'Master Price list'!G70</f>
        <v>0.85</v>
      </c>
      <c r="F315" s="5">
        <f t="shared" ref="F315:F319" si="40">E315*C315</f>
        <v>1.2749999999999999</v>
      </c>
    </row>
    <row r="316" spans="1:6" ht="13" x14ac:dyDescent="0.15">
      <c r="A316" s="10">
        <v>2</v>
      </c>
      <c r="B316" s="25" t="s">
        <v>725</v>
      </c>
      <c r="C316" s="25">
        <v>1</v>
      </c>
      <c r="D316" s="5" t="s">
        <v>721</v>
      </c>
      <c r="E316" s="5">
        <f>'Item list'!B6</f>
        <v>0.67908888888888885</v>
      </c>
      <c r="F316" s="5">
        <f t="shared" si="40"/>
        <v>0.67908888888888885</v>
      </c>
    </row>
    <row r="317" spans="1:6" ht="13" x14ac:dyDescent="0.15">
      <c r="A317" s="10">
        <v>3</v>
      </c>
      <c r="B317" s="25" t="s">
        <v>928</v>
      </c>
      <c r="C317" s="25">
        <v>1</v>
      </c>
      <c r="D317" s="5" t="s">
        <v>721</v>
      </c>
      <c r="E317" s="5">
        <f>'Item list'!B57</f>
        <v>0.90550000000000019</v>
      </c>
      <c r="F317" s="5">
        <f t="shared" si="40"/>
        <v>0.90550000000000019</v>
      </c>
    </row>
    <row r="318" spans="1:6" ht="13" x14ac:dyDescent="0.15">
      <c r="A318" s="10">
        <v>4</v>
      </c>
      <c r="B318" s="25" t="s">
        <v>69</v>
      </c>
      <c r="C318" s="25">
        <v>7.4999999999999997E-2</v>
      </c>
      <c r="D318" s="5" t="s">
        <v>183</v>
      </c>
      <c r="E318" s="5">
        <f>E328</f>
        <v>39.380000000000003</v>
      </c>
      <c r="F318" s="5">
        <f t="shared" si="40"/>
        <v>2.9535</v>
      </c>
    </row>
    <row r="319" spans="1:6" ht="13" x14ac:dyDescent="0.15">
      <c r="A319" s="10">
        <v>5</v>
      </c>
      <c r="B319" s="25" t="s">
        <v>903</v>
      </c>
      <c r="C319" s="25">
        <v>5.0000000000000001E-3</v>
      </c>
      <c r="D319" s="5" t="s">
        <v>183</v>
      </c>
      <c r="E319" s="5">
        <f>'Item list'!B59</f>
        <v>10.33</v>
      </c>
      <c r="F319" s="5">
        <f t="shared" si="40"/>
        <v>5.1650000000000001E-2</v>
      </c>
    </row>
    <row r="320" spans="1:6" ht="13" x14ac:dyDescent="0.15">
      <c r="D320" s="170" t="s">
        <v>777</v>
      </c>
      <c r="E320" s="171"/>
      <c r="F320" s="29">
        <f>SUM(F315:F319)</f>
        <v>5.8647388888888896</v>
      </c>
    </row>
    <row r="323" spans="1:6" ht="13" x14ac:dyDescent="0.15">
      <c r="A323" s="172" t="s">
        <v>32</v>
      </c>
      <c r="B323" s="173"/>
      <c r="C323" s="171"/>
    </row>
    <row r="324" spans="1:6" ht="13" x14ac:dyDescent="0.15">
      <c r="A324" s="168" t="s">
        <v>773</v>
      </c>
      <c r="B324" s="168" t="s">
        <v>774</v>
      </c>
      <c r="C324" s="168" t="s">
        <v>775</v>
      </c>
      <c r="D324" s="168" t="s">
        <v>719</v>
      </c>
      <c r="E324" s="168" t="s">
        <v>776</v>
      </c>
      <c r="F324" s="168" t="s">
        <v>777</v>
      </c>
    </row>
    <row r="325" spans="1:6" ht="13" x14ac:dyDescent="0.15">
      <c r="A325" s="169"/>
      <c r="B325" s="169"/>
      <c r="C325" s="169"/>
      <c r="D325" s="169"/>
      <c r="E325" s="169"/>
      <c r="F325" s="169"/>
    </row>
    <row r="326" spans="1:6" ht="13" x14ac:dyDescent="0.15">
      <c r="A326" s="10">
        <v>1</v>
      </c>
      <c r="B326" s="25" t="s">
        <v>927</v>
      </c>
      <c r="C326" s="25">
        <v>1.5</v>
      </c>
      <c r="D326" s="5" t="s">
        <v>721</v>
      </c>
      <c r="E326" s="5">
        <f t="shared" ref="E326:E327" si="41">E315</f>
        <v>0.85</v>
      </c>
      <c r="F326" s="5">
        <f t="shared" ref="F326:F330" si="42">E326*C326</f>
        <v>1.2749999999999999</v>
      </c>
    </row>
    <row r="327" spans="1:6" ht="13" x14ac:dyDescent="0.15">
      <c r="A327" s="10">
        <v>2</v>
      </c>
      <c r="B327" s="25" t="s">
        <v>725</v>
      </c>
      <c r="C327" s="25">
        <v>1</v>
      </c>
      <c r="D327" s="5" t="s">
        <v>721</v>
      </c>
      <c r="E327" s="5">
        <f t="shared" si="41"/>
        <v>0.67908888888888885</v>
      </c>
      <c r="F327" s="5">
        <f t="shared" si="42"/>
        <v>0.67908888888888885</v>
      </c>
    </row>
    <row r="328" spans="1:6" ht="13" x14ac:dyDescent="0.15">
      <c r="A328" s="10">
        <v>3</v>
      </c>
      <c r="B328" s="25" t="s">
        <v>69</v>
      </c>
      <c r="C328" s="25">
        <v>7.4999999999999997E-2</v>
      </c>
      <c r="D328" s="5" t="s">
        <v>183</v>
      </c>
      <c r="E328" s="5">
        <f>'Master Price list'!G8</f>
        <v>39.380000000000003</v>
      </c>
      <c r="F328" s="5">
        <f t="shared" si="42"/>
        <v>2.9535</v>
      </c>
    </row>
    <row r="329" spans="1:6" ht="13" x14ac:dyDescent="0.15">
      <c r="A329" s="10">
        <v>4</v>
      </c>
      <c r="B329" s="25" t="s">
        <v>565</v>
      </c>
      <c r="C329" s="25">
        <v>0.03</v>
      </c>
      <c r="D329" s="5" t="s">
        <v>183</v>
      </c>
      <c r="E329" s="5">
        <f>'Master Price list'!G149</f>
        <v>25</v>
      </c>
      <c r="F329" s="5">
        <f t="shared" si="42"/>
        <v>0.75</v>
      </c>
    </row>
    <row r="330" spans="1:6" ht="13" x14ac:dyDescent="0.15">
      <c r="A330" s="10">
        <v>5</v>
      </c>
      <c r="B330" s="25" t="s">
        <v>903</v>
      </c>
      <c r="C330" s="25">
        <v>5.0000000000000001E-3</v>
      </c>
      <c r="D330" s="5" t="s">
        <v>183</v>
      </c>
      <c r="E330" s="5">
        <f>E319</f>
        <v>10.33</v>
      </c>
      <c r="F330" s="5">
        <f t="shared" si="42"/>
        <v>5.1650000000000001E-2</v>
      </c>
    </row>
    <row r="331" spans="1:6" ht="13" x14ac:dyDescent="0.15">
      <c r="D331" s="170" t="s">
        <v>777</v>
      </c>
      <c r="E331" s="171"/>
      <c r="F331" s="29">
        <f>SUM(F326:F330)</f>
        <v>5.7092388888888888</v>
      </c>
    </row>
    <row r="334" spans="1:6" ht="13" x14ac:dyDescent="0.15">
      <c r="A334" s="172" t="s">
        <v>33</v>
      </c>
      <c r="B334" s="173"/>
      <c r="C334" s="171"/>
    </row>
    <row r="335" spans="1:6" ht="13" x14ac:dyDescent="0.15">
      <c r="A335" s="168" t="s">
        <v>773</v>
      </c>
      <c r="B335" s="168" t="s">
        <v>774</v>
      </c>
      <c r="C335" s="168" t="s">
        <v>775</v>
      </c>
      <c r="D335" s="168" t="s">
        <v>719</v>
      </c>
      <c r="E335" s="168" t="s">
        <v>776</v>
      </c>
      <c r="F335" s="168" t="s">
        <v>777</v>
      </c>
    </row>
    <row r="336" spans="1:6" ht="13" x14ac:dyDescent="0.15">
      <c r="A336" s="169"/>
      <c r="B336" s="169"/>
      <c r="C336" s="169"/>
      <c r="D336" s="169"/>
      <c r="E336" s="169"/>
      <c r="F336" s="169"/>
    </row>
    <row r="337" spans="1:6" ht="13" x14ac:dyDescent="0.15">
      <c r="A337" s="10">
        <v>1</v>
      </c>
      <c r="B337" s="25" t="s">
        <v>927</v>
      </c>
      <c r="C337" s="25">
        <v>1.5</v>
      </c>
      <c r="D337" s="5" t="s">
        <v>721</v>
      </c>
      <c r="E337" s="5">
        <f t="shared" ref="E337:E339" si="43">E326</f>
        <v>0.85</v>
      </c>
      <c r="F337" s="5">
        <f t="shared" ref="F337:F344" si="44">E337*C337</f>
        <v>1.2749999999999999</v>
      </c>
    </row>
    <row r="338" spans="1:6" ht="13" x14ac:dyDescent="0.15">
      <c r="A338" s="10">
        <v>2</v>
      </c>
      <c r="B338" s="25" t="s">
        <v>725</v>
      </c>
      <c r="C338" s="25">
        <v>1</v>
      </c>
      <c r="D338" s="5" t="s">
        <v>721</v>
      </c>
      <c r="E338" s="5">
        <f t="shared" si="43"/>
        <v>0.67908888888888885</v>
      </c>
      <c r="F338" s="5">
        <f t="shared" si="44"/>
        <v>0.67908888888888885</v>
      </c>
    </row>
    <row r="339" spans="1:6" ht="13" x14ac:dyDescent="0.15">
      <c r="A339" s="10">
        <v>3</v>
      </c>
      <c r="B339" s="25" t="s">
        <v>69</v>
      </c>
      <c r="C339" s="25">
        <v>7.4999999999999997E-2</v>
      </c>
      <c r="D339" s="5" t="s">
        <v>183</v>
      </c>
      <c r="E339" s="5">
        <f t="shared" si="43"/>
        <v>39.380000000000003</v>
      </c>
      <c r="F339" s="5">
        <f t="shared" si="44"/>
        <v>2.9535</v>
      </c>
    </row>
    <row r="340" spans="1:6" ht="13" x14ac:dyDescent="0.15">
      <c r="A340" s="10">
        <v>4</v>
      </c>
      <c r="B340" s="25" t="s">
        <v>929</v>
      </c>
      <c r="C340" s="25">
        <v>0.3</v>
      </c>
      <c r="D340" s="5" t="s">
        <v>372</v>
      </c>
      <c r="E340" s="5">
        <f>'Master Price list'!G89</f>
        <v>9.5500000000000007</v>
      </c>
      <c r="F340" s="5">
        <f t="shared" si="44"/>
        <v>2.8650000000000002</v>
      </c>
    </row>
    <row r="341" spans="1:6" ht="13" x14ac:dyDescent="0.15">
      <c r="A341" s="10">
        <v>5</v>
      </c>
      <c r="B341" s="25" t="s">
        <v>883</v>
      </c>
      <c r="C341" s="25">
        <v>5.0000000000000001E-3</v>
      </c>
      <c r="D341" s="5" t="s">
        <v>183</v>
      </c>
      <c r="E341" s="5">
        <f>E330</f>
        <v>10.33</v>
      </c>
      <c r="F341" s="5">
        <f t="shared" si="44"/>
        <v>5.1650000000000001E-2</v>
      </c>
    </row>
    <row r="342" spans="1:6" ht="13" x14ac:dyDescent="0.15">
      <c r="A342" s="10">
        <v>6</v>
      </c>
      <c r="B342" s="25" t="s">
        <v>462</v>
      </c>
      <c r="C342" s="25">
        <v>2.5000000000000001E-3</v>
      </c>
      <c r="D342" s="5" t="s">
        <v>183</v>
      </c>
      <c r="E342" s="5">
        <f>'Master Price list'!G107</f>
        <v>6.4</v>
      </c>
      <c r="F342" s="5">
        <f t="shared" si="44"/>
        <v>1.6E-2</v>
      </c>
    </row>
    <row r="343" spans="1:6" ht="13" x14ac:dyDescent="0.15">
      <c r="A343" s="10">
        <v>7</v>
      </c>
      <c r="B343" s="25" t="s">
        <v>903</v>
      </c>
      <c r="C343" s="25">
        <v>5.0000000000000001E-3</v>
      </c>
      <c r="D343" s="5" t="s">
        <v>183</v>
      </c>
      <c r="E343" s="5">
        <f>E330</f>
        <v>10.33</v>
      </c>
      <c r="F343" s="5">
        <f t="shared" si="44"/>
        <v>5.1650000000000001E-2</v>
      </c>
    </row>
    <row r="344" spans="1:6" ht="13" x14ac:dyDescent="0.15">
      <c r="A344" s="10">
        <v>8</v>
      </c>
      <c r="B344" s="25" t="s">
        <v>718</v>
      </c>
      <c r="C344" s="25">
        <v>2.5000000000000001E-3</v>
      </c>
      <c r="D344" s="5" t="s">
        <v>183</v>
      </c>
      <c r="E344" s="5">
        <f>'Master Price list'!G222</f>
        <v>37.799999999999997</v>
      </c>
      <c r="F344" s="5">
        <f t="shared" si="44"/>
        <v>9.4500000000000001E-2</v>
      </c>
    </row>
    <row r="345" spans="1:6" ht="13" x14ac:dyDescent="0.15">
      <c r="D345" s="170" t="s">
        <v>777</v>
      </c>
      <c r="E345" s="171"/>
      <c r="F345" s="29">
        <f>SUM(F337:F344)</f>
        <v>7.9863888888888894</v>
      </c>
    </row>
    <row r="348" spans="1:6" ht="13" x14ac:dyDescent="0.15">
      <c r="A348" s="172" t="s">
        <v>34</v>
      </c>
      <c r="B348" s="173"/>
      <c r="C348" s="171"/>
    </row>
    <row r="349" spans="1:6" ht="13" x14ac:dyDescent="0.15">
      <c r="A349" s="168" t="s">
        <v>773</v>
      </c>
      <c r="B349" s="168" t="s">
        <v>774</v>
      </c>
      <c r="C349" s="168" t="s">
        <v>775</v>
      </c>
      <c r="D349" s="168" t="s">
        <v>719</v>
      </c>
      <c r="E349" s="168" t="s">
        <v>776</v>
      </c>
      <c r="F349" s="168" t="s">
        <v>777</v>
      </c>
    </row>
    <row r="350" spans="1:6" ht="13" x14ac:dyDescent="0.15">
      <c r="A350" s="169"/>
      <c r="B350" s="169"/>
      <c r="C350" s="169"/>
      <c r="D350" s="169"/>
      <c r="E350" s="169"/>
      <c r="F350" s="169"/>
    </row>
    <row r="351" spans="1:6" ht="13" x14ac:dyDescent="0.15">
      <c r="A351" s="10">
        <v>1</v>
      </c>
      <c r="B351" s="25" t="s">
        <v>356</v>
      </c>
      <c r="C351" s="25">
        <v>2</v>
      </c>
      <c r="D351" s="5" t="s">
        <v>721</v>
      </c>
      <c r="E351" s="5">
        <f>E217</f>
        <v>6.6508333333333336E-2</v>
      </c>
      <c r="F351" s="5">
        <f t="shared" ref="F351:F359" si="45">E351*C351</f>
        <v>0.13301666666666667</v>
      </c>
    </row>
    <row r="352" spans="1:6" ht="13" x14ac:dyDescent="0.15">
      <c r="A352" s="10">
        <v>2</v>
      </c>
      <c r="B352" s="25" t="s">
        <v>883</v>
      </c>
      <c r="C352" s="25">
        <v>2E-3</v>
      </c>
      <c r="D352" s="5" t="s">
        <v>183</v>
      </c>
      <c r="E352" s="5">
        <f>'Master Price list'!G21</f>
        <v>39.200000000000003</v>
      </c>
      <c r="F352" s="5">
        <f t="shared" si="45"/>
        <v>7.8400000000000011E-2</v>
      </c>
    </row>
    <row r="353" spans="1:6" ht="13" x14ac:dyDescent="0.15">
      <c r="A353" s="10">
        <v>3</v>
      </c>
      <c r="B353" s="25" t="s">
        <v>611</v>
      </c>
      <c r="C353" s="25">
        <v>7.4999999999999997E-2</v>
      </c>
      <c r="D353" s="5" t="s">
        <v>183</v>
      </c>
      <c r="E353" s="5">
        <f>'Master Price list'!G169</f>
        <v>11.5</v>
      </c>
      <c r="F353" s="5">
        <f t="shared" si="45"/>
        <v>0.86249999999999993</v>
      </c>
    </row>
    <row r="354" spans="1:6" ht="13" x14ac:dyDescent="0.15">
      <c r="A354" s="10">
        <v>4</v>
      </c>
      <c r="B354" s="25" t="s">
        <v>919</v>
      </c>
      <c r="C354" s="25">
        <v>0.08</v>
      </c>
      <c r="D354" s="5" t="s">
        <v>372</v>
      </c>
      <c r="E354" s="5">
        <f>'Master Price list'!G182</f>
        <v>23.8</v>
      </c>
      <c r="F354" s="5">
        <f t="shared" si="45"/>
        <v>1.9040000000000001</v>
      </c>
    </row>
    <row r="355" spans="1:6" ht="13" x14ac:dyDescent="0.15">
      <c r="A355" s="10">
        <v>5</v>
      </c>
      <c r="B355" s="25" t="s">
        <v>930</v>
      </c>
      <c r="C355" s="25">
        <v>7.4999999999999997E-3</v>
      </c>
      <c r="D355" s="5" t="s">
        <v>183</v>
      </c>
      <c r="E355" s="5">
        <f>'Master Price list'!G134</f>
        <v>168.25</v>
      </c>
      <c r="F355" s="5">
        <f t="shared" si="45"/>
        <v>1.2618749999999999</v>
      </c>
    </row>
    <row r="356" spans="1:6" ht="13" x14ac:dyDescent="0.15">
      <c r="A356" s="10">
        <v>6</v>
      </c>
      <c r="B356" s="25" t="s">
        <v>256</v>
      </c>
      <c r="C356" s="25">
        <v>0.02</v>
      </c>
      <c r="D356" s="5" t="s">
        <v>183</v>
      </c>
      <c r="E356" s="5">
        <f>'Master Price list'!G29</f>
        <v>85</v>
      </c>
      <c r="F356" s="5">
        <f t="shared" si="45"/>
        <v>1.7</v>
      </c>
    </row>
    <row r="357" spans="1:6" ht="13" x14ac:dyDescent="0.15">
      <c r="A357" s="10">
        <v>7</v>
      </c>
      <c r="B357" s="25" t="s">
        <v>787</v>
      </c>
      <c r="C357" s="25">
        <v>7.4999999999999997E-3</v>
      </c>
      <c r="D357" s="5" t="s">
        <v>183</v>
      </c>
      <c r="E357" s="5">
        <f>'Master Price list'!G80</f>
        <v>42</v>
      </c>
      <c r="F357" s="5">
        <f t="shared" si="45"/>
        <v>0.315</v>
      </c>
    </row>
    <row r="358" spans="1:6" ht="13" x14ac:dyDescent="0.15">
      <c r="A358" s="10">
        <v>8</v>
      </c>
      <c r="B358" s="25" t="s">
        <v>931</v>
      </c>
      <c r="C358" s="25">
        <v>7.4999999999999997E-3</v>
      </c>
      <c r="D358" s="5" t="s">
        <v>183</v>
      </c>
      <c r="E358" s="5">
        <f>'Master Price list'!G140</f>
        <v>60</v>
      </c>
      <c r="F358" s="5">
        <f t="shared" si="45"/>
        <v>0.44999999999999996</v>
      </c>
    </row>
    <row r="359" spans="1:6" ht="13" x14ac:dyDescent="0.15">
      <c r="A359" s="10">
        <v>9</v>
      </c>
      <c r="B359" s="25" t="s">
        <v>786</v>
      </c>
      <c r="C359" s="25">
        <v>2.5000000000000001E-3</v>
      </c>
      <c r="D359" s="5" t="s">
        <v>183</v>
      </c>
      <c r="E359" s="5">
        <f>'Master Price list'!G191</f>
        <v>15</v>
      </c>
      <c r="F359" s="5">
        <f t="shared" si="45"/>
        <v>3.7499999999999999E-2</v>
      </c>
    </row>
    <row r="360" spans="1:6" ht="13" x14ac:dyDescent="0.15">
      <c r="D360" s="170" t="s">
        <v>777</v>
      </c>
      <c r="E360" s="171"/>
      <c r="F360" s="29">
        <f>SUM(F351:F359)</f>
        <v>6.7422916666666675</v>
      </c>
    </row>
    <row r="363" spans="1:6" ht="13" x14ac:dyDescent="0.15">
      <c r="A363" s="172" t="s">
        <v>35</v>
      </c>
      <c r="B363" s="173"/>
      <c r="C363" s="171"/>
    </row>
    <row r="364" spans="1:6" ht="13" x14ac:dyDescent="0.15">
      <c r="A364" s="168" t="s">
        <v>773</v>
      </c>
      <c r="B364" s="168" t="s">
        <v>774</v>
      </c>
      <c r="C364" s="168" t="s">
        <v>775</v>
      </c>
      <c r="D364" s="168" t="s">
        <v>719</v>
      </c>
      <c r="E364" s="168" t="s">
        <v>776</v>
      </c>
      <c r="F364" s="168" t="s">
        <v>777</v>
      </c>
    </row>
    <row r="365" spans="1:6" ht="13" x14ac:dyDescent="0.15">
      <c r="A365" s="169"/>
      <c r="B365" s="169"/>
      <c r="C365" s="169"/>
      <c r="D365" s="169"/>
      <c r="E365" s="169"/>
      <c r="F365" s="169"/>
    </row>
    <row r="366" spans="1:6" ht="13" x14ac:dyDescent="0.15">
      <c r="A366" s="10">
        <v>1</v>
      </c>
      <c r="B366" s="25" t="s">
        <v>68</v>
      </c>
      <c r="C366" s="25">
        <v>0.25</v>
      </c>
      <c r="D366" s="5" t="s">
        <v>183</v>
      </c>
      <c r="E366" s="5">
        <f>'Master Price list'!G7</f>
        <v>45.7</v>
      </c>
      <c r="F366" s="5">
        <f t="shared" ref="F366:F377" si="46">E366*C366</f>
        <v>11.425000000000001</v>
      </c>
    </row>
    <row r="367" spans="1:6" ht="13" x14ac:dyDescent="0.15">
      <c r="A367" s="10">
        <v>2</v>
      </c>
      <c r="B367" s="25" t="s">
        <v>69</v>
      </c>
      <c r="C367" s="25">
        <v>0.25</v>
      </c>
      <c r="D367" s="5" t="s">
        <v>183</v>
      </c>
      <c r="E367" s="5">
        <f>'Master Price list'!G8</f>
        <v>39.380000000000003</v>
      </c>
      <c r="F367" s="5">
        <f t="shared" si="46"/>
        <v>9.8450000000000006</v>
      </c>
    </row>
    <row r="368" spans="1:6" ht="13" x14ac:dyDescent="0.15">
      <c r="A368" s="10">
        <v>3</v>
      </c>
      <c r="B368" s="25" t="s">
        <v>67</v>
      </c>
      <c r="C368" s="25">
        <v>1.2</v>
      </c>
      <c r="D368" s="5" t="s">
        <v>183</v>
      </c>
      <c r="E368" s="5">
        <f>'Master Price list'!G202</f>
        <v>4.8</v>
      </c>
      <c r="F368" s="5">
        <f t="shared" si="46"/>
        <v>5.76</v>
      </c>
    </row>
    <row r="369" spans="1:6" ht="13" x14ac:dyDescent="0.15">
      <c r="A369" s="10">
        <v>4</v>
      </c>
      <c r="B369" s="25" t="s">
        <v>815</v>
      </c>
      <c r="C369" s="25">
        <v>0.4</v>
      </c>
      <c r="D369" s="5" t="s">
        <v>183</v>
      </c>
      <c r="E369" s="5">
        <f>'Master Price list'!G190</f>
        <v>3.5</v>
      </c>
      <c r="F369" s="5">
        <f t="shared" si="46"/>
        <v>1.4000000000000001</v>
      </c>
    </row>
    <row r="370" spans="1:6" ht="13" x14ac:dyDescent="0.15">
      <c r="A370" s="10">
        <v>5</v>
      </c>
      <c r="B370" s="25" t="s">
        <v>810</v>
      </c>
      <c r="C370" s="25">
        <v>0.2</v>
      </c>
      <c r="D370" s="5" t="s">
        <v>183</v>
      </c>
      <c r="E370" s="5">
        <f>'Master Price list'!G24</f>
        <v>50</v>
      </c>
      <c r="F370" s="5">
        <f t="shared" si="46"/>
        <v>10</v>
      </c>
    </row>
    <row r="371" spans="1:6" ht="13" x14ac:dyDescent="0.15">
      <c r="A371" s="10">
        <v>6</v>
      </c>
      <c r="B371" s="25" t="s">
        <v>932</v>
      </c>
      <c r="C371" s="25">
        <v>1</v>
      </c>
      <c r="D371" s="5" t="s">
        <v>183</v>
      </c>
      <c r="E371" s="5">
        <f>'Master Price list'!G128</f>
        <v>21.31</v>
      </c>
      <c r="F371" s="5">
        <f t="shared" si="46"/>
        <v>21.31</v>
      </c>
    </row>
    <row r="372" spans="1:6" ht="13" x14ac:dyDescent="0.15">
      <c r="A372" s="10">
        <v>7</v>
      </c>
      <c r="B372" s="25" t="s">
        <v>76</v>
      </c>
      <c r="C372" s="25">
        <v>6</v>
      </c>
      <c r="D372" s="5" t="s">
        <v>350</v>
      </c>
      <c r="E372" s="5">
        <f>'Master Price list'!G207</f>
        <v>0.5</v>
      </c>
      <c r="F372" s="5">
        <f t="shared" si="46"/>
        <v>3</v>
      </c>
    </row>
    <row r="373" spans="1:6" ht="13" x14ac:dyDescent="0.15">
      <c r="A373" s="10">
        <v>8</v>
      </c>
      <c r="B373" s="25" t="s">
        <v>782</v>
      </c>
      <c r="C373" s="25">
        <v>2E-3</v>
      </c>
      <c r="D373" s="5" t="s">
        <v>183</v>
      </c>
      <c r="E373" s="5">
        <f>'Master Price list'!G62</f>
        <v>4.4444444444444446</v>
      </c>
      <c r="F373" s="5">
        <f t="shared" si="46"/>
        <v>8.8888888888888889E-3</v>
      </c>
    </row>
    <row r="374" spans="1:6" ht="13" x14ac:dyDescent="0.15">
      <c r="A374" s="10">
        <v>9</v>
      </c>
      <c r="B374" s="25" t="s">
        <v>287</v>
      </c>
      <c r="C374" s="25">
        <v>0.02</v>
      </c>
      <c r="D374" s="5" t="s">
        <v>183</v>
      </c>
      <c r="E374" s="5">
        <f>'Master Price list'!G41</f>
        <v>56</v>
      </c>
      <c r="F374" s="5">
        <f t="shared" si="46"/>
        <v>1.1200000000000001</v>
      </c>
    </row>
    <row r="375" spans="1:6" ht="13" x14ac:dyDescent="0.15">
      <c r="A375" s="10">
        <v>10</v>
      </c>
      <c r="B375" s="25" t="s">
        <v>741</v>
      </c>
      <c r="C375" s="25">
        <v>8</v>
      </c>
      <c r="D375" s="5" t="s">
        <v>721</v>
      </c>
      <c r="E375" s="5">
        <f>'Item list'!B31</f>
        <v>1.7691117647058825</v>
      </c>
      <c r="F375" s="5">
        <f t="shared" si="46"/>
        <v>14.15289411764706</v>
      </c>
    </row>
    <row r="376" spans="1:6" ht="13" x14ac:dyDescent="0.15">
      <c r="A376" s="10">
        <v>11</v>
      </c>
      <c r="B376" s="25" t="s">
        <v>933</v>
      </c>
      <c r="C376" s="25">
        <v>0.8</v>
      </c>
      <c r="D376" s="5" t="s">
        <v>183</v>
      </c>
      <c r="E376" s="5">
        <f>'Master Price list'!G192</f>
        <v>8.1999999999999993</v>
      </c>
      <c r="F376" s="5">
        <f t="shared" si="46"/>
        <v>6.56</v>
      </c>
    </row>
    <row r="377" spans="1:6" ht="13" x14ac:dyDescent="0.15">
      <c r="A377" s="10">
        <v>12</v>
      </c>
      <c r="B377" s="25" t="s">
        <v>611</v>
      </c>
      <c r="C377" s="25">
        <v>1.6E-2</v>
      </c>
      <c r="D377" s="5" t="s">
        <v>183</v>
      </c>
      <c r="E377" s="5">
        <f>'Master Price list'!G169</f>
        <v>11.5</v>
      </c>
      <c r="F377" s="5">
        <f t="shared" si="46"/>
        <v>0.184</v>
      </c>
    </row>
    <row r="378" spans="1:6" ht="13" x14ac:dyDescent="0.15">
      <c r="D378" s="170" t="s">
        <v>777</v>
      </c>
      <c r="E378" s="171"/>
      <c r="F378" s="29">
        <f>SUM(F366:F377)/8</f>
        <v>10.595722875816993</v>
      </c>
    </row>
    <row r="381" spans="1:6" ht="13" x14ac:dyDescent="0.15">
      <c r="A381" s="172" t="s">
        <v>36</v>
      </c>
      <c r="B381" s="173"/>
      <c r="C381" s="171"/>
    </row>
    <row r="382" spans="1:6" ht="13" x14ac:dyDescent="0.15">
      <c r="A382" s="168" t="s">
        <v>773</v>
      </c>
      <c r="B382" s="168" t="s">
        <v>774</v>
      </c>
      <c r="C382" s="168" t="s">
        <v>775</v>
      </c>
      <c r="D382" s="168" t="s">
        <v>719</v>
      </c>
      <c r="E382" s="168" t="s">
        <v>776</v>
      </c>
      <c r="F382" s="168" t="s">
        <v>777</v>
      </c>
    </row>
    <row r="383" spans="1:6" ht="13" x14ac:dyDescent="0.15">
      <c r="A383" s="169"/>
      <c r="B383" s="169"/>
      <c r="C383" s="169"/>
      <c r="D383" s="169"/>
      <c r="E383" s="169"/>
      <c r="F383" s="169"/>
    </row>
    <row r="384" spans="1:6" ht="13" x14ac:dyDescent="0.15">
      <c r="A384" s="10">
        <v>1</v>
      </c>
      <c r="B384" s="25" t="s">
        <v>356</v>
      </c>
      <c r="C384" s="25">
        <v>2</v>
      </c>
      <c r="D384" s="5" t="s">
        <v>721</v>
      </c>
      <c r="E384" s="5">
        <f>E351</f>
        <v>6.6508333333333336E-2</v>
      </c>
      <c r="F384" s="5">
        <f t="shared" ref="F384:F388" si="47">E384*C384</f>
        <v>0.13301666666666667</v>
      </c>
    </row>
    <row r="385" spans="1:6" ht="13" x14ac:dyDescent="0.15">
      <c r="A385" s="10">
        <v>2</v>
      </c>
      <c r="B385" s="25" t="s">
        <v>771</v>
      </c>
      <c r="C385" s="25">
        <v>1</v>
      </c>
      <c r="D385" s="5" t="s">
        <v>721</v>
      </c>
      <c r="E385" s="5">
        <f>'Item list'!B2</f>
        <v>3.6284444444444444</v>
      </c>
      <c r="F385" s="5">
        <f t="shared" si="47"/>
        <v>3.6284444444444444</v>
      </c>
    </row>
    <row r="386" spans="1:6" ht="13" x14ac:dyDescent="0.15">
      <c r="A386" s="10">
        <v>3</v>
      </c>
      <c r="B386" s="25" t="s">
        <v>934</v>
      </c>
      <c r="C386" s="25">
        <v>7.4999999999999997E-2</v>
      </c>
      <c r="D386" s="5" t="s">
        <v>183</v>
      </c>
      <c r="E386" s="5">
        <f>'Master Price list'!G123</f>
        <v>24.222222222222221</v>
      </c>
      <c r="F386" s="5">
        <f t="shared" si="47"/>
        <v>1.8166666666666664</v>
      </c>
    </row>
    <row r="387" spans="1:6" ht="13" x14ac:dyDescent="0.15">
      <c r="A387" s="10">
        <v>4</v>
      </c>
      <c r="B387" s="25" t="s">
        <v>816</v>
      </c>
      <c r="C387" s="25">
        <v>5.0000000000000001E-3</v>
      </c>
      <c r="D387" s="5" t="s">
        <v>183</v>
      </c>
      <c r="E387" s="5">
        <f>'Master Price list'!G178</f>
        <v>11</v>
      </c>
      <c r="F387" s="5">
        <f t="shared" si="47"/>
        <v>5.5E-2</v>
      </c>
    </row>
    <row r="388" spans="1:6" ht="13" x14ac:dyDescent="0.15">
      <c r="A388" s="10">
        <v>5</v>
      </c>
      <c r="B388" s="25" t="s">
        <v>935</v>
      </c>
      <c r="C388" s="25">
        <v>0.01</v>
      </c>
      <c r="D388" s="5" t="s">
        <v>183</v>
      </c>
      <c r="E388" s="5">
        <f>'Master Price list'!G29</f>
        <v>85</v>
      </c>
      <c r="F388" s="5">
        <f t="shared" si="47"/>
        <v>0.85</v>
      </c>
    </row>
    <row r="389" spans="1:6" ht="13" x14ac:dyDescent="0.15">
      <c r="D389" s="170" t="s">
        <v>777</v>
      </c>
      <c r="E389" s="171"/>
      <c r="F389" s="29">
        <f>SUM(F384:F388)</f>
        <v>6.4831277777777769</v>
      </c>
    </row>
    <row r="392" spans="1:6" ht="13" x14ac:dyDescent="0.15">
      <c r="A392" s="172" t="s">
        <v>37</v>
      </c>
      <c r="B392" s="173"/>
      <c r="C392" s="171"/>
    </row>
    <row r="393" spans="1:6" ht="13" x14ac:dyDescent="0.15">
      <c r="A393" s="168" t="s">
        <v>773</v>
      </c>
      <c r="B393" s="168" t="s">
        <v>774</v>
      </c>
      <c r="C393" s="168" t="s">
        <v>775</v>
      </c>
      <c r="D393" s="168" t="s">
        <v>719</v>
      </c>
      <c r="E393" s="168" t="s">
        <v>776</v>
      </c>
      <c r="F393" s="168" t="s">
        <v>777</v>
      </c>
    </row>
    <row r="394" spans="1:6" ht="13" x14ac:dyDescent="0.15">
      <c r="A394" s="169"/>
      <c r="B394" s="169"/>
      <c r="C394" s="169"/>
      <c r="D394" s="169"/>
      <c r="E394" s="169"/>
      <c r="F394" s="169"/>
    </row>
    <row r="395" spans="1:6" ht="13" x14ac:dyDescent="0.15">
      <c r="A395" s="10">
        <v>1</v>
      </c>
      <c r="B395" s="25" t="s">
        <v>356</v>
      </c>
      <c r="C395" s="25">
        <v>2</v>
      </c>
      <c r="D395" s="5" t="s">
        <v>721</v>
      </c>
      <c r="E395" s="5">
        <f>E384</f>
        <v>6.6508333333333336E-2</v>
      </c>
      <c r="F395" s="5">
        <f t="shared" ref="F395:F401" si="48">E395*C395</f>
        <v>0.13301666666666667</v>
      </c>
    </row>
    <row r="396" spans="1:6" ht="13" x14ac:dyDescent="0.15">
      <c r="A396" s="10">
        <v>2</v>
      </c>
      <c r="B396" s="25" t="s">
        <v>746</v>
      </c>
      <c r="C396" s="25">
        <v>0.1</v>
      </c>
      <c r="D396" s="5" t="s">
        <v>183</v>
      </c>
      <c r="E396" s="5">
        <f>'Item list'!B36</f>
        <v>5.5563541666666669</v>
      </c>
      <c r="F396" s="5">
        <f t="shared" si="48"/>
        <v>0.55563541666666671</v>
      </c>
    </row>
    <row r="397" spans="1:6" ht="13" x14ac:dyDescent="0.15">
      <c r="A397" s="10">
        <v>3</v>
      </c>
      <c r="B397" s="25" t="s">
        <v>611</v>
      </c>
      <c r="C397" s="25">
        <v>0.03</v>
      </c>
      <c r="D397" s="5" t="s">
        <v>183</v>
      </c>
      <c r="E397" s="5">
        <f>E377</f>
        <v>11.5</v>
      </c>
      <c r="F397" s="5">
        <f t="shared" si="48"/>
        <v>0.34499999999999997</v>
      </c>
    </row>
    <row r="398" spans="1:6" ht="13" x14ac:dyDescent="0.15">
      <c r="A398" s="10">
        <v>3</v>
      </c>
      <c r="B398" s="25" t="s">
        <v>379</v>
      </c>
      <c r="C398" s="25">
        <v>5.0000000000000001E-3</v>
      </c>
      <c r="D398" s="5" t="s">
        <v>183</v>
      </c>
      <c r="E398" s="5">
        <f>'Master Price list'!G76</f>
        <v>42.200854700854705</v>
      </c>
      <c r="F398" s="5">
        <f t="shared" si="48"/>
        <v>0.21100427350427353</v>
      </c>
    </row>
    <row r="399" spans="1:6" ht="13" x14ac:dyDescent="0.15">
      <c r="A399" s="10">
        <v>4</v>
      </c>
      <c r="B399" s="25" t="s">
        <v>791</v>
      </c>
      <c r="C399" s="25">
        <v>5.0000000000000001E-3</v>
      </c>
      <c r="D399" s="5" t="s">
        <v>183</v>
      </c>
      <c r="E399" s="5">
        <f>'Master Price list'!G160</f>
        <v>86</v>
      </c>
      <c r="F399" s="5">
        <f t="shared" si="48"/>
        <v>0.43</v>
      </c>
    </row>
    <row r="400" spans="1:6" ht="13" x14ac:dyDescent="0.15">
      <c r="A400" s="10">
        <v>5</v>
      </c>
      <c r="B400" s="25" t="s">
        <v>748</v>
      </c>
      <c r="C400" s="25">
        <v>5.0000000000000001E-3</v>
      </c>
      <c r="D400" s="5" t="s">
        <v>183</v>
      </c>
      <c r="E400" s="5">
        <f>'Item list'!B38</f>
        <v>46.530916666666656</v>
      </c>
      <c r="F400" s="5">
        <f t="shared" si="48"/>
        <v>0.23265458333333328</v>
      </c>
    </row>
    <row r="401" spans="1:6" ht="13" x14ac:dyDescent="0.15">
      <c r="A401" s="10">
        <v>6</v>
      </c>
      <c r="B401" s="25" t="s">
        <v>69</v>
      </c>
      <c r="C401" s="25">
        <v>0.04</v>
      </c>
      <c r="D401" s="5" t="s">
        <v>183</v>
      </c>
      <c r="E401" s="5">
        <f>'Master Price list'!G8</f>
        <v>39.380000000000003</v>
      </c>
      <c r="F401" s="5">
        <f t="shared" si="48"/>
        <v>1.5752000000000002</v>
      </c>
    </row>
    <row r="402" spans="1:6" ht="13" x14ac:dyDescent="0.15">
      <c r="D402" s="170" t="s">
        <v>777</v>
      </c>
      <c r="E402" s="171"/>
      <c r="F402" s="29">
        <f>SUM(F395:F401)</f>
        <v>3.4825109401709406</v>
      </c>
    </row>
    <row r="405" spans="1:6" ht="13" x14ac:dyDescent="0.15">
      <c r="A405" s="172" t="s">
        <v>38</v>
      </c>
      <c r="B405" s="173"/>
      <c r="C405" s="171"/>
    </row>
    <row r="406" spans="1:6" ht="13" x14ac:dyDescent="0.15">
      <c r="A406" s="168" t="s">
        <v>773</v>
      </c>
      <c r="B406" s="168" t="s">
        <v>774</v>
      </c>
      <c r="C406" s="168" t="s">
        <v>775</v>
      </c>
      <c r="D406" s="168" t="s">
        <v>719</v>
      </c>
      <c r="E406" s="168" t="s">
        <v>776</v>
      </c>
      <c r="F406" s="168" t="s">
        <v>777</v>
      </c>
    </row>
    <row r="407" spans="1:6" ht="13" x14ac:dyDescent="0.15">
      <c r="A407" s="169"/>
      <c r="B407" s="169"/>
      <c r="C407" s="169"/>
      <c r="D407" s="169"/>
      <c r="E407" s="169"/>
      <c r="F407" s="169"/>
    </row>
    <row r="408" spans="1:6" ht="13" x14ac:dyDescent="0.15">
      <c r="A408" s="10">
        <v>1</v>
      </c>
      <c r="B408" s="25" t="s">
        <v>356</v>
      </c>
      <c r="C408" s="25">
        <v>2</v>
      </c>
      <c r="D408" s="5" t="s">
        <v>721</v>
      </c>
      <c r="E408" s="5">
        <f t="shared" ref="E408:E412" si="49">E395</f>
        <v>6.6508333333333336E-2</v>
      </c>
      <c r="F408" s="5">
        <f t="shared" ref="F408:F414" si="50">E408*C408</f>
        <v>0.13301666666666667</v>
      </c>
    </row>
    <row r="409" spans="1:6" ht="13" x14ac:dyDescent="0.15">
      <c r="A409" s="10">
        <v>2</v>
      </c>
      <c r="B409" s="25" t="s">
        <v>746</v>
      </c>
      <c r="C409" s="25">
        <v>0.1</v>
      </c>
      <c r="D409" s="5" t="s">
        <v>183</v>
      </c>
      <c r="E409" s="5">
        <f t="shared" si="49"/>
        <v>5.5563541666666669</v>
      </c>
      <c r="F409" s="5">
        <f t="shared" si="50"/>
        <v>0.55563541666666671</v>
      </c>
    </row>
    <row r="410" spans="1:6" ht="13" x14ac:dyDescent="0.15">
      <c r="A410" s="10">
        <v>3</v>
      </c>
      <c r="B410" s="25" t="s">
        <v>611</v>
      </c>
      <c r="C410" s="25">
        <v>0.03</v>
      </c>
      <c r="D410" s="5" t="s">
        <v>183</v>
      </c>
      <c r="E410" s="5">
        <f t="shared" si="49"/>
        <v>11.5</v>
      </c>
      <c r="F410" s="5">
        <f t="shared" si="50"/>
        <v>0.34499999999999997</v>
      </c>
    </row>
    <row r="411" spans="1:6" ht="13" x14ac:dyDescent="0.15">
      <c r="A411" s="10">
        <v>3</v>
      </c>
      <c r="B411" s="25" t="s">
        <v>379</v>
      </c>
      <c r="C411" s="25">
        <v>5.0000000000000001E-3</v>
      </c>
      <c r="D411" s="5" t="s">
        <v>183</v>
      </c>
      <c r="E411" s="5">
        <f t="shared" si="49"/>
        <v>42.200854700854705</v>
      </c>
      <c r="F411" s="5">
        <f t="shared" si="50"/>
        <v>0.21100427350427353</v>
      </c>
    </row>
    <row r="412" spans="1:6" ht="13" x14ac:dyDescent="0.15">
      <c r="A412" s="10">
        <v>4</v>
      </c>
      <c r="B412" s="25" t="s">
        <v>791</v>
      </c>
      <c r="C412" s="25">
        <v>5.0000000000000001E-3</v>
      </c>
      <c r="D412" s="5" t="s">
        <v>183</v>
      </c>
      <c r="E412" s="5">
        <f t="shared" si="49"/>
        <v>86</v>
      </c>
      <c r="F412" s="5">
        <f t="shared" si="50"/>
        <v>0.43</v>
      </c>
    </row>
    <row r="413" spans="1:6" ht="13" x14ac:dyDescent="0.15">
      <c r="A413" s="10">
        <v>5</v>
      </c>
      <c r="B413" s="25" t="s">
        <v>936</v>
      </c>
      <c r="C413" s="25">
        <v>2.5000000000000001E-3</v>
      </c>
      <c r="D413" s="5" t="s">
        <v>183</v>
      </c>
      <c r="E413" s="5">
        <f>'Master Price list'!G138</f>
        <v>17.5</v>
      </c>
      <c r="F413" s="5">
        <f t="shared" si="50"/>
        <v>4.3750000000000004E-2</v>
      </c>
    </row>
    <row r="414" spans="1:6" ht="13" x14ac:dyDescent="0.15">
      <c r="A414" s="10">
        <v>6</v>
      </c>
      <c r="B414" s="25" t="s">
        <v>259</v>
      </c>
      <c r="C414" s="25">
        <v>0.04</v>
      </c>
      <c r="D414" s="5" t="s">
        <v>183</v>
      </c>
      <c r="E414" s="5">
        <f>'Master Price list'!G30</f>
        <v>144.44444444444443</v>
      </c>
      <c r="F414" s="5">
        <f t="shared" si="50"/>
        <v>5.7777777777777777</v>
      </c>
    </row>
    <row r="415" spans="1:6" ht="13" x14ac:dyDescent="0.15">
      <c r="D415" s="170" t="s">
        <v>777</v>
      </c>
      <c r="E415" s="171"/>
      <c r="F415" s="29">
        <f>SUM(F408:F414)</f>
        <v>7.496184134615385</v>
      </c>
    </row>
    <row r="418" spans="1:6" ht="13" x14ac:dyDescent="0.15">
      <c r="A418" s="172" t="s">
        <v>39</v>
      </c>
      <c r="B418" s="173"/>
      <c r="C418" s="171"/>
    </row>
    <row r="419" spans="1:6" ht="13" x14ac:dyDescent="0.15">
      <c r="A419" s="168" t="s">
        <v>773</v>
      </c>
      <c r="B419" s="168" t="s">
        <v>774</v>
      </c>
      <c r="C419" s="168" t="s">
        <v>775</v>
      </c>
      <c r="D419" s="168" t="s">
        <v>719</v>
      </c>
      <c r="E419" s="168" t="s">
        <v>776</v>
      </c>
      <c r="F419" s="168" t="s">
        <v>777</v>
      </c>
    </row>
    <row r="420" spans="1:6" ht="13" x14ac:dyDescent="0.15">
      <c r="A420" s="169"/>
      <c r="B420" s="169"/>
      <c r="C420" s="169"/>
      <c r="D420" s="169"/>
      <c r="E420" s="169"/>
      <c r="F420" s="169"/>
    </row>
    <row r="421" spans="1:6" ht="13" x14ac:dyDescent="0.15">
      <c r="A421" s="10">
        <v>1</v>
      </c>
      <c r="B421" s="25" t="s">
        <v>356</v>
      </c>
      <c r="C421" s="25">
        <v>2</v>
      </c>
      <c r="D421" s="5" t="s">
        <v>721</v>
      </c>
      <c r="E421" s="5">
        <f t="shared" ref="E421:E422" si="51">E408</f>
        <v>6.6508333333333336E-2</v>
      </c>
      <c r="F421" s="5">
        <f t="shared" ref="F421:F429" si="52">E421*C421</f>
        <v>0.13301666666666667</v>
      </c>
    </row>
    <row r="422" spans="1:6" ht="13" x14ac:dyDescent="0.15">
      <c r="A422" s="10">
        <v>2</v>
      </c>
      <c r="B422" s="25" t="s">
        <v>746</v>
      </c>
      <c r="C422" s="25">
        <v>0.1</v>
      </c>
      <c r="D422" s="5" t="s">
        <v>183</v>
      </c>
      <c r="E422" s="5">
        <f t="shared" si="51"/>
        <v>5.5563541666666669</v>
      </c>
      <c r="F422" s="5">
        <f t="shared" si="52"/>
        <v>0.55563541666666671</v>
      </c>
    </row>
    <row r="423" spans="1:6" ht="13" x14ac:dyDescent="0.15">
      <c r="A423" s="10">
        <v>3</v>
      </c>
      <c r="B423" s="25" t="s">
        <v>379</v>
      </c>
      <c r="C423" s="25">
        <v>5.0000000000000001E-3</v>
      </c>
      <c r="D423" s="5" t="s">
        <v>183</v>
      </c>
      <c r="E423" s="5">
        <f t="shared" ref="E423:E424" si="53">E411</f>
        <v>42.200854700854705</v>
      </c>
      <c r="F423" s="5">
        <f t="shared" si="52"/>
        <v>0.21100427350427353</v>
      </c>
    </row>
    <row r="424" spans="1:6" ht="13" x14ac:dyDescent="0.15">
      <c r="A424" s="10">
        <v>4</v>
      </c>
      <c r="B424" s="25" t="s">
        <v>791</v>
      </c>
      <c r="C424" s="25">
        <v>5.0000000000000001E-3</v>
      </c>
      <c r="D424" s="5" t="s">
        <v>183</v>
      </c>
      <c r="E424" s="5">
        <f t="shared" si="53"/>
        <v>86</v>
      </c>
      <c r="F424" s="5">
        <f t="shared" si="52"/>
        <v>0.43</v>
      </c>
    </row>
    <row r="425" spans="1:6" ht="13" x14ac:dyDescent="0.15">
      <c r="A425" s="10">
        <v>5</v>
      </c>
      <c r="B425" s="25" t="s">
        <v>937</v>
      </c>
      <c r="C425" s="25">
        <v>5.0000000000000001E-3</v>
      </c>
      <c r="D425" s="5" t="s">
        <v>183</v>
      </c>
      <c r="E425" s="5">
        <f>'Master Price list'!G84</f>
        <v>22.727272727272727</v>
      </c>
      <c r="F425" s="5">
        <f t="shared" si="52"/>
        <v>0.11363636363636363</v>
      </c>
    </row>
    <row r="426" spans="1:6" ht="13" x14ac:dyDescent="0.15">
      <c r="A426" s="10">
        <v>6</v>
      </c>
      <c r="B426" s="25" t="s">
        <v>842</v>
      </c>
      <c r="C426" s="25">
        <v>0.05</v>
      </c>
      <c r="D426" s="5" t="s">
        <v>183</v>
      </c>
      <c r="E426" s="5">
        <f>'Master Price list'!G17</f>
        <v>128</v>
      </c>
      <c r="F426" s="5">
        <f t="shared" si="52"/>
        <v>6.4</v>
      </c>
    </row>
    <row r="427" spans="1:6" ht="13" x14ac:dyDescent="0.15">
      <c r="A427" s="10">
        <v>7</v>
      </c>
      <c r="B427" s="25" t="s">
        <v>639</v>
      </c>
      <c r="C427" s="25">
        <v>0.01</v>
      </c>
      <c r="D427" s="5" t="s">
        <v>183</v>
      </c>
      <c r="E427" s="5">
        <f>'Master Price list'!G183</f>
        <v>10</v>
      </c>
      <c r="F427" s="5">
        <f t="shared" si="52"/>
        <v>0.1</v>
      </c>
    </row>
    <row r="428" spans="1:6" ht="13" x14ac:dyDescent="0.15">
      <c r="A428" s="10">
        <v>8</v>
      </c>
      <c r="B428" s="25" t="s">
        <v>872</v>
      </c>
      <c r="C428" s="25">
        <v>5.0000000000000001E-3</v>
      </c>
      <c r="D428" s="5" t="s">
        <v>183</v>
      </c>
      <c r="E428" s="5">
        <f>'Master Price list'!G147</f>
        <v>11.333333333333334</v>
      </c>
      <c r="F428" s="5">
        <f t="shared" si="52"/>
        <v>5.6666666666666671E-2</v>
      </c>
    </row>
    <row r="429" spans="1:6" ht="13" x14ac:dyDescent="0.15">
      <c r="A429" s="10">
        <v>9</v>
      </c>
      <c r="B429" s="25" t="s">
        <v>344</v>
      </c>
      <c r="C429" s="25">
        <v>2.0000000000000001E-4</v>
      </c>
      <c r="D429" s="5" t="s">
        <v>183</v>
      </c>
      <c r="E429" s="5">
        <f>'Master Price list'!G66</f>
        <v>533.33333333333337</v>
      </c>
      <c r="F429" s="5">
        <f t="shared" si="52"/>
        <v>0.10666666666666667</v>
      </c>
    </row>
    <row r="430" spans="1:6" ht="13" x14ac:dyDescent="0.15">
      <c r="D430" s="170" t="s">
        <v>777</v>
      </c>
      <c r="E430" s="171"/>
      <c r="F430" s="29">
        <f>SUM(F421:F429)</f>
        <v>8.1066260538073038</v>
      </c>
    </row>
    <row r="433" spans="1:6" ht="13" x14ac:dyDescent="0.15">
      <c r="A433" s="172" t="s">
        <v>40</v>
      </c>
      <c r="B433" s="173"/>
      <c r="C433" s="171"/>
    </row>
    <row r="434" spans="1:6" ht="13" x14ac:dyDescent="0.15">
      <c r="A434" s="168" t="s">
        <v>773</v>
      </c>
      <c r="B434" s="168" t="s">
        <v>774</v>
      </c>
      <c r="C434" s="168" t="s">
        <v>775</v>
      </c>
      <c r="D434" s="168" t="s">
        <v>719</v>
      </c>
      <c r="E434" s="168" t="s">
        <v>776</v>
      </c>
      <c r="F434" s="168" t="s">
        <v>777</v>
      </c>
    </row>
    <row r="435" spans="1:6" ht="13" x14ac:dyDescent="0.15">
      <c r="A435" s="169"/>
      <c r="B435" s="169"/>
      <c r="C435" s="169"/>
      <c r="D435" s="169"/>
      <c r="E435" s="169"/>
      <c r="F435" s="169"/>
    </row>
    <row r="436" spans="1:6" ht="13" x14ac:dyDescent="0.15">
      <c r="A436" s="10">
        <v>1</v>
      </c>
      <c r="B436" s="25" t="s">
        <v>938</v>
      </c>
      <c r="C436" s="25">
        <v>0.05</v>
      </c>
      <c r="D436" s="5" t="s">
        <v>183</v>
      </c>
      <c r="E436" s="5">
        <f>'Master Price list'!G211</f>
        <v>7.2</v>
      </c>
      <c r="F436" s="5">
        <f t="shared" ref="F436:F446" si="54">E436*C436</f>
        <v>0.36000000000000004</v>
      </c>
    </row>
    <row r="437" spans="1:6" ht="13" x14ac:dyDescent="0.15">
      <c r="A437" s="10">
        <v>2</v>
      </c>
      <c r="B437" s="25" t="s">
        <v>732</v>
      </c>
      <c r="C437" s="25">
        <v>0.3</v>
      </c>
      <c r="D437" s="5" t="s">
        <v>721</v>
      </c>
      <c r="E437" s="5">
        <f>'Item list'!C17</f>
        <v>0</v>
      </c>
      <c r="F437" s="5">
        <f t="shared" si="54"/>
        <v>0</v>
      </c>
    </row>
    <row r="438" spans="1:6" ht="13" x14ac:dyDescent="0.15">
      <c r="A438" s="10">
        <v>3</v>
      </c>
      <c r="B438" s="25" t="s">
        <v>594</v>
      </c>
      <c r="C438" s="25">
        <v>0.05</v>
      </c>
      <c r="D438" s="5" t="s">
        <v>183</v>
      </c>
      <c r="E438" s="5">
        <f>'Master Price list'!G161</f>
        <v>3.2</v>
      </c>
      <c r="F438" s="5">
        <f t="shared" si="54"/>
        <v>0.16000000000000003</v>
      </c>
    </row>
    <row r="439" spans="1:6" ht="13" x14ac:dyDescent="0.15">
      <c r="A439" s="10">
        <v>4</v>
      </c>
      <c r="B439" s="25" t="s">
        <v>769</v>
      </c>
      <c r="C439" s="25">
        <v>1.4999999999999999E-2</v>
      </c>
      <c r="D439" s="5" t="s">
        <v>183</v>
      </c>
      <c r="E439" s="5">
        <f>'Item list'!B60</f>
        <v>10.507500000000002</v>
      </c>
      <c r="F439" s="5">
        <f t="shared" si="54"/>
        <v>0.15761250000000002</v>
      </c>
    </row>
    <row r="440" spans="1:6" ht="13" x14ac:dyDescent="0.15">
      <c r="A440" s="10">
        <v>5</v>
      </c>
      <c r="B440" s="25" t="s">
        <v>69</v>
      </c>
      <c r="C440" s="25">
        <v>0.04</v>
      </c>
      <c r="D440" s="5" t="s">
        <v>183</v>
      </c>
      <c r="E440" s="5">
        <f>'Master Price list'!G8</f>
        <v>39.380000000000003</v>
      </c>
      <c r="F440" s="5">
        <f t="shared" si="54"/>
        <v>1.5752000000000002</v>
      </c>
    </row>
    <row r="441" spans="1:6" ht="13" x14ac:dyDescent="0.15">
      <c r="A441" s="10">
        <v>6</v>
      </c>
      <c r="B441" s="25" t="s">
        <v>76</v>
      </c>
      <c r="C441" s="25">
        <v>1</v>
      </c>
      <c r="D441" s="5" t="s">
        <v>350</v>
      </c>
      <c r="E441" s="5">
        <f>'Master Price list'!G207</f>
        <v>0.5</v>
      </c>
      <c r="F441" s="5">
        <f t="shared" si="54"/>
        <v>0.5</v>
      </c>
    </row>
    <row r="442" spans="1:6" ht="13" x14ac:dyDescent="0.15">
      <c r="A442" s="10">
        <v>7</v>
      </c>
      <c r="B442" s="25" t="s">
        <v>700</v>
      </c>
      <c r="C442" s="25">
        <v>0.03</v>
      </c>
      <c r="D442" s="5" t="s">
        <v>183</v>
      </c>
      <c r="E442" s="5">
        <f>'Master Price list'!G213</f>
        <v>1.4</v>
      </c>
      <c r="F442" s="5">
        <f t="shared" si="54"/>
        <v>4.1999999999999996E-2</v>
      </c>
    </row>
    <row r="443" spans="1:6" ht="13" x14ac:dyDescent="0.15">
      <c r="A443" s="10">
        <v>8</v>
      </c>
      <c r="B443" s="25" t="s">
        <v>939</v>
      </c>
      <c r="C443" s="25">
        <v>0.03</v>
      </c>
      <c r="D443" s="5" t="s">
        <v>183</v>
      </c>
      <c r="E443" s="5">
        <f>'Master Price list'!G180</f>
        <v>6.3</v>
      </c>
      <c r="F443" s="5">
        <f t="shared" si="54"/>
        <v>0.189</v>
      </c>
    </row>
    <row r="444" spans="1:6" ht="13" x14ac:dyDescent="0.15">
      <c r="A444" s="10">
        <v>9</v>
      </c>
      <c r="B444" s="25" t="s">
        <v>760</v>
      </c>
      <c r="C444" s="25">
        <v>0.03</v>
      </c>
      <c r="D444" s="5" t="s">
        <v>183</v>
      </c>
      <c r="E444" s="5">
        <f>'Item list'!B50</f>
        <v>9.6431382142857132</v>
      </c>
      <c r="F444" s="5">
        <f t="shared" si="54"/>
        <v>0.28929414642857137</v>
      </c>
    </row>
    <row r="445" spans="1:6" ht="13" x14ac:dyDescent="0.15">
      <c r="A445" s="10">
        <v>10</v>
      </c>
      <c r="B445" s="25" t="s">
        <v>940</v>
      </c>
      <c r="C445" s="25">
        <v>0.03</v>
      </c>
      <c r="D445" s="5" t="s">
        <v>183</v>
      </c>
      <c r="E445" s="5">
        <f>'Item list'!B49</f>
        <v>18.076131313131313</v>
      </c>
      <c r="F445" s="5">
        <f t="shared" si="54"/>
        <v>0.54228393939393937</v>
      </c>
    </row>
    <row r="446" spans="1:6" ht="13" x14ac:dyDescent="0.15">
      <c r="A446" s="10">
        <v>11</v>
      </c>
      <c r="B446" s="25" t="s">
        <v>771</v>
      </c>
      <c r="C446" s="25">
        <v>0.5</v>
      </c>
      <c r="D446" s="5" t="s">
        <v>183</v>
      </c>
      <c r="E446" s="5">
        <f>'Item list'!B2</f>
        <v>3.6284444444444444</v>
      </c>
      <c r="F446" s="5">
        <f t="shared" si="54"/>
        <v>1.8142222222222222</v>
      </c>
    </row>
    <row r="447" spans="1:6" ht="13" x14ac:dyDescent="0.15">
      <c r="D447" s="170" t="s">
        <v>777</v>
      </c>
      <c r="E447" s="171"/>
      <c r="F447" s="29">
        <f>SUM(F436:F446)</f>
        <v>5.6296128080447332</v>
      </c>
    </row>
    <row r="450" spans="1:6" ht="13" x14ac:dyDescent="0.15">
      <c r="A450" s="172" t="s">
        <v>41</v>
      </c>
      <c r="B450" s="173"/>
      <c r="C450" s="171"/>
    </row>
    <row r="451" spans="1:6" ht="13" x14ac:dyDescent="0.15">
      <c r="A451" s="168" t="s">
        <v>773</v>
      </c>
      <c r="B451" s="168" t="s">
        <v>774</v>
      </c>
      <c r="C451" s="168" t="s">
        <v>775</v>
      </c>
      <c r="D451" s="168" t="s">
        <v>719</v>
      </c>
      <c r="E451" s="168" t="s">
        <v>776</v>
      </c>
      <c r="F451" s="168" t="s">
        <v>777</v>
      </c>
    </row>
    <row r="452" spans="1:6" ht="13" x14ac:dyDescent="0.15">
      <c r="A452" s="169"/>
      <c r="B452" s="169"/>
      <c r="C452" s="169"/>
      <c r="D452" s="169"/>
      <c r="E452" s="169"/>
      <c r="F452" s="169"/>
    </row>
    <row r="453" spans="1:6" ht="13" x14ac:dyDescent="0.15">
      <c r="A453" s="10">
        <v>1</v>
      </c>
      <c r="B453" s="25" t="s">
        <v>364</v>
      </c>
      <c r="C453" s="25">
        <v>2</v>
      </c>
      <c r="D453" s="5" t="s">
        <v>350</v>
      </c>
      <c r="E453" s="5">
        <f>'Master Price list'!G71</f>
        <v>1.0725</v>
      </c>
      <c r="F453" s="5">
        <f t="shared" ref="F453:F458" si="55">E453*C453</f>
        <v>2.145</v>
      </c>
    </row>
    <row r="454" spans="1:6" ht="13" x14ac:dyDescent="0.15">
      <c r="A454" s="10">
        <v>2</v>
      </c>
      <c r="B454" s="25" t="s">
        <v>872</v>
      </c>
      <c r="C454" s="25">
        <v>0.01</v>
      </c>
      <c r="D454" s="5" t="s">
        <v>183</v>
      </c>
      <c r="E454" s="5">
        <f>'Master Price list'!G147</f>
        <v>11.333333333333334</v>
      </c>
      <c r="F454" s="5">
        <f t="shared" si="55"/>
        <v>0.11333333333333334</v>
      </c>
    </row>
    <row r="455" spans="1:6" ht="13" x14ac:dyDescent="0.15">
      <c r="A455" s="10">
        <v>3</v>
      </c>
      <c r="B455" s="25" t="s">
        <v>67</v>
      </c>
      <c r="C455" s="25">
        <v>0.05</v>
      </c>
      <c r="D455" s="5" t="s">
        <v>183</v>
      </c>
      <c r="E455" s="5">
        <f>'Master Price list'!G202</f>
        <v>4.8</v>
      </c>
      <c r="F455" s="5">
        <f t="shared" si="55"/>
        <v>0.24</v>
      </c>
    </row>
    <row r="456" spans="1:6" ht="13" x14ac:dyDescent="0.15">
      <c r="A456" s="10">
        <v>4</v>
      </c>
      <c r="B456" s="25" t="s">
        <v>941</v>
      </c>
      <c r="C456" s="25">
        <v>0.01</v>
      </c>
      <c r="D456" s="5" t="s">
        <v>183</v>
      </c>
      <c r="E456" s="5">
        <f>'Master Price list'!G194</f>
        <v>55</v>
      </c>
      <c r="F456" s="5">
        <f t="shared" si="55"/>
        <v>0.55000000000000004</v>
      </c>
    </row>
    <row r="457" spans="1:6" ht="13" x14ac:dyDescent="0.15">
      <c r="A457" s="10">
        <v>5</v>
      </c>
      <c r="B457" s="25" t="s">
        <v>68</v>
      </c>
      <c r="C457" s="25">
        <v>7.4999999999999997E-2</v>
      </c>
      <c r="D457" s="5" t="s">
        <v>183</v>
      </c>
      <c r="E457" s="5">
        <f>'Master Price list'!G7</f>
        <v>45.7</v>
      </c>
      <c r="F457" s="5">
        <f t="shared" si="55"/>
        <v>3.4275000000000002</v>
      </c>
    </row>
    <row r="458" spans="1:6" ht="13" x14ac:dyDescent="0.15">
      <c r="A458" s="10">
        <v>6</v>
      </c>
      <c r="B458" s="25" t="s">
        <v>786</v>
      </c>
      <c r="C458" s="25">
        <v>5.0000000000000001E-3</v>
      </c>
      <c r="D458" s="5" t="s">
        <v>183</v>
      </c>
      <c r="E458" s="5">
        <f>'Master Price list'!G191</f>
        <v>15</v>
      </c>
      <c r="F458" s="5">
        <f t="shared" si="55"/>
        <v>7.4999999999999997E-2</v>
      </c>
    </row>
    <row r="459" spans="1:6" ht="13" x14ac:dyDescent="0.15">
      <c r="D459" s="170" t="s">
        <v>777</v>
      </c>
      <c r="E459" s="171"/>
      <c r="F459" s="29">
        <f>SUM(F453:F458)</f>
        <v>6.5508333333333333</v>
      </c>
    </row>
    <row r="462" spans="1:6" ht="13" x14ac:dyDescent="0.15">
      <c r="A462" s="172" t="s">
        <v>41</v>
      </c>
      <c r="B462" s="173"/>
      <c r="C462" s="171"/>
    </row>
    <row r="463" spans="1:6" ht="13" x14ac:dyDescent="0.15">
      <c r="A463" s="168" t="s">
        <v>773</v>
      </c>
      <c r="B463" s="168" t="s">
        <v>774</v>
      </c>
      <c r="C463" s="168" t="s">
        <v>775</v>
      </c>
      <c r="D463" s="168" t="s">
        <v>719</v>
      </c>
      <c r="E463" s="168" t="s">
        <v>776</v>
      </c>
      <c r="F463" s="168" t="s">
        <v>777</v>
      </c>
    </row>
    <row r="464" spans="1:6" ht="13" x14ac:dyDescent="0.15">
      <c r="A464" s="169"/>
      <c r="B464" s="169"/>
      <c r="C464" s="169"/>
      <c r="D464" s="169"/>
      <c r="E464" s="169"/>
      <c r="F464" s="169"/>
    </row>
    <row r="465" spans="1:6" ht="13" x14ac:dyDescent="0.15">
      <c r="A465" s="10">
        <v>1</v>
      </c>
      <c r="B465" s="25" t="s">
        <v>364</v>
      </c>
      <c r="C465" s="25">
        <v>2</v>
      </c>
      <c r="D465" s="5" t="s">
        <v>350</v>
      </c>
      <c r="E465" s="5">
        <f t="shared" ref="E465:E467" si="56">E453</f>
        <v>1.0725</v>
      </c>
      <c r="F465" s="5">
        <f t="shared" ref="F465:F470" si="57">E465*C465</f>
        <v>2.145</v>
      </c>
    </row>
    <row r="466" spans="1:6" ht="13" x14ac:dyDescent="0.15">
      <c r="A466" s="10">
        <v>2</v>
      </c>
      <c r="B466" s="25" t="s">
        <v>872</v>
      </c>
      <c r="C466" s="25">
        <v>0.01</v>
      </c>
      <c r="D466" s="5" t="s">
        <v>183</v>
      </c>
      <c r="E466" s="5">
        <f t="shared" si="56"/>
        <v>11.333333333333334</v>
      </c>
      <c r="F466" s="5">
        <f t="shared" si="57"/>
        <v>0.11333333333333334</v>
      </c>
    </row>
    <row r="467" spans="1:6" ht="13" x14ac:dyDescent="0.15">
      <c r="A467" s="10">
        <v>3</v>
      </c>
      <c r="B467" s="25" t="s">
        <v>67</v>
      </c>
      <c r="C467" s="25">
        <v>0.05</v>
      </c>
      <c r="D467" s="5" t="s">
        <v>183</v>
      </c>
      <c r="E467" s="5">
        <f t="shared" si="56"/>
        <v>4.8</v>
      </c>
      <c r="F467" s="5">
        <f t="shared" si="57"/>
        <v>0.24</v>
      </c>
    </row>
    <row r="468" spans="1:6" ht="13" x14ac:dyDescent="0.15">
      <c r="A468" s="10">
        <v>4</v>
      </c>
      <c r="B468" s="25" t="s">
        <v>631</v>
      </c>
      <c r="C468" s="25">
        <v>0.01</v>
      </c>
      <c r="D468" s="5" t="s">
        <v>183</v>
      </c>
      <c r="E468" s="5">
        <f>'Master Price list'!G179</f>
        <v>7</v>
      </c>
      <c r="F468" s="5">
        <f t="shared" si="57"/>
        <v>7.0000000000000007E-2</v>
      </c>
    </row>
    <row r="469" spans="1:6" ht="13" x14ac:dyDescent="0.15">
      <c r="A469" s="10">
        <v>5</v>
      </c>
      <c r="B469" s="25" t="s">
        <v>68</v>
      </c>
      <c r="C469" s="25">
        <v>7.4999999999999997E-2</v>
      </c>
      <c r="D469" s="5" t="s">
        <v>183</v>
      </c>
      <c r="E469" s="5">
        <f t="shared" ref="E469:E470" si="58">E457</f>
        <v>45.7</v>
      </c>
      <c r="F469" s="5">
        <f t="shared" si="57"/>
        <v>3.4275000000000002</v>
      </c>
    </row>
    <row r="470" spans="1:6" ht="13" x14ac:dyDescent="0.15">
      <c r="A470" s="10">
        <v>6</v>
      </c>
      <c r="B470" s="25" t="s">
        <v>786</v>
      </c>
      <c r="C470" s="25">
        <v>5.0000000000000001E-3</v>
      </c>
      <c r="D470" s="5" t="s">
        <v>183</v>
      </c>
      <c r="E470" s="5">
        <f t="shared" si="58"/>
        <v>15</v>
      </c>
      <c r="F470" s="5">
        <f t="shared" si="57"/>
        <v>7.4999999999999997E-2</v>
      </c>
    </row>
    <row r="471" spans="1:6" ht="13" x14ac:dyDescent="0.15">
      <c r="D471" s="170" t="s">
        <v>777</v>
      </c>
      <c r="E471" s="171"/>
      <c r="F471" s="29">
        <f>SUM(F465:F470)</f>
        <v>6.0708333333333337</v>
      </c>
    </row>
    <row r="474" spans="1:6" ht="13" x14ac:dyDescent="0.15">
      <c r="A474" s="172" t="s">
        <v>43</v>
      </c>
      <c r="B474" s="173"/>
      <c r="C474" s="171"/>
    </row>
    <row r="475" spans="1:6" ht="13" x14ac:dyDescent="0.15">
      <c r="A475" s="168" t="s">
        <v>773</v>
      </c>
      <c r="B475" s="168" t="s">
        <v>774</v>
      </c>
      <c r="C475" s="168" t="s">
        <v>775</v>
      </c>
      <c r="D475" s="168" t="s">
        <v>719</v>
      </c>
      <c r="E475" s="168" t="s">
        <v>776</v>
      </c>
      <c r="F475" s="168" t="s">
        <v>777</v>
      </c>
    </row>
    <row r="476" spans="1:6" ht="13" x14ac:dyDescent="0.15">
      <c r="A476" s="169"/>
      <c r="B476" s="169"/>
      <c r="C476" s="169"/>
      <c r="D476" s="169"/>
      <c r="E476" s="169"/>
      <c r="F476" s="169"/>
    </row>
    <row r="477" spans="1:6" ht="13" x14ac:dyDescent="0.15">
      <c r="A477" s="10">
        <v>1</v>
      </c>
      <c r="B477" s="25" t="s">
        <v>364</v>
      </c>
      <c r="C477" s="25">
        <v>2</v>
      </c>
      <c r="D477" s="5" t="s">
        <v>350</v>
      </c>
      <c r="E477" s="5">
        <f t="shared" ref="E477:E479" si="59">E465</f>
        <v>1.0725</v>
      </c>
      <c r="F477" s="5">
        <f t="shared" ref="F477:F482" si="60">E477*C477</f>
        <v>2.145</v>
      </c>
    </row>
    <row r="478" spans="1:6" ht="13" x14ac:dyDescent="0.15">
      <c r="A478" s="10">
        <v>2</v>
      </c>
      <c r="B478" s="25" t="s">
        <v>872</v>
      </c>
      <c r="C478" s="25">
        <v>0.01</v>
      </c>
      <c r="D478" s="5" t="s">
        <v>183</v>
      </c>
      <c r="E478" s="5">
        <f t="shared" si="59"/>
        <v>11.333333333333334</v>
      </c>
      <c r="F478" s="5">
        <f t="shared" si="60"/>
        <v>0.11333333333333334</v>
      </c>
    </row>
    <row r="479" spans="1:6" ht="13" x14ac:dyDescent="0.15">
      <c r="A479" s="10">
        <v>3</v>
      </c>
      <c r="B479" s="25" t="s">
        <v>67</v>
      </c>
      <c r="C479" s="25">
        <v>0.05</v>
      </c>
      <c r="D479" s="5" t="s">
        <v>183</v>
      </c>
      <c r="E479" s="5">
        <f t="shared" si="59"/>
        <v>4.8</v>
      </c>
      <c r="F479" s="5">
        <f t="shared" si="60"/>
        <v>0.24</v>
      </c>
    </row>
    <row r="480" spans="1:6" ht="13" x14ac:dyDescent="0.15">
      <c r="A480" s="10">
        <v>4</v>
      </c>
      <c r="B480" s="25" t="s">
        <v>941</v>
      </c>
      <c r="C480" s="25">
        <v>0.01</v>
      </c>
      <c r="D480" s="5" t="s">
        <v>183</v>
      </c>
      <c r="E480" s="5">
        <f>E456</f>
        <v>55</v>
      </c>
      <c r="F480" s="5">
        <f t="shared" si="60"/>
        <v>0.55000000000000004</v>
      </c>
    </row>
    <row r="481" spans="1:6" ht="13" x14ac:dyDescent="0.15">
      <c r="A481" s="10">
        <v>5</v>
      </c>
      <c r="B481" s="25" t="s">
        <v>74</v>
      </c>
      <c r="C481" s="25">
        <v>0.25</v>
      </c>
      <c r="D481" s="5" t="s">
        <v>721</v>
      </c>
      <c r="E481" s="5">
        <f>'Item list'!B16</f>
        <v>2.0735288888888888</v>
      </c>
      <c r="F481" s="5">
        <f t="shared" si="60"/>
        <v>0.51838222222222219</v>
      </c>
    </row>
    <row r="482" spans="1:6" ht="13" x14ac:dyDescent="0.15">
      <c r="A482" s="10">
        <v>6</v>
      </c>
      <c r="B482" s="25" t="s">
        <v>786</v>
      </c>
      <c r="C482" s="25">
        <v>5.0000000000000001E-3</v>
      </c>
      <c r="D482" s="5" t="s">
        <v>183</v>
      </c>
      <c r="E482" s="5">
        <f>E470</f>
        <v>15</v>
      </c>
      <c r="F482" s="5">
        <f t="shared" si="60"/>
        <v>7.4999999999999997E-2</v>
      </c>
    </row>
    <row r="483" spans="1:6" ht="13" x14ac:dyDescent="0.15">
      <c r="D483" s="170" t="s">
        <v>777</v>
      </c>
      <c r="E483" s="171"/>
      <c r="F483" s="29">
        <f>SUM(F477:F482)</f>
        <v>3.6417155555555554</v>
      </c>
    </row>
    <row r="486" spans="1:6" ht="13" x14ac:dyDescent="0.15">
      <c r="A486" s="172" t="s">
        <v>44</v>
      </c>
      <c r="B486" s="173"/>
      <c r="C486" s="171"/>
    </row>
    <row r="487" spans="1:6" ht="13" x14ac:dyDescent="0.15">
      <c r="A487" s="168" t="s">
        <v>773</v>
      </c>
      <c r="B487" s="168" t="s">
        <v>774</v>
      </c>
      <c r="C487" s="168" t="s">
        <v>775</v>
      </c>
      <c r="D487" s="168" t="s">
        <v>719</v>
      </c>
      <c r="E487" s="168" t="s">
        <v>776</v>
      </c>
      <c r="F487" s="168" t="s">
        <v>777</v>
      </c>
    </row>
    <row r="488" spans="1:6" ht="13" x14ac:dyDescent="0.15">
      <c r="A488" s="169"/>
      <c r="B488" s="169"/>
      <c r="C488" s="169"/>
      <c r="D488" s="169"/>
      <c r="E488" s="169"/>
      <c r="F488" s="169"/>
    </row>
    <row r="489" spans="1:6" ht="13" x14ac:dyDescent="0.15">
      <c r="A489" s="10">
        <v>1</v>
      </c>
      <c r="B489" s="25" t="s">
        <v>732</v>
      </c>
      <c r="C489" s="25">
        <v>1</v>
      </c>
      <c r="D489" s="5" t="s">
        <v>721</v>
      </c>
      <c r="E489" s="5">
        <f>'Item list'!B17</f>
        <v>1.9025000000000003</v>
      </c>
      <c r="F489" s="5">
        <f t="shared" ref="F489:F493" si="61">E489*C489</f>
        <v>1.9025000000000003</v>
      </c>
    </row>
    <row r="490" spans="1:6" ht="13" x14ac:dyDescent="0.15">
      <c r="A490" s="10">
        <v>2</v>
      </c>
      <c r="B490" s="25" t="s">
        <v>939</v>
      </c>
      <c r="C490" s="25">
        <v>0.05</v>
      </c>
      <c r="D490" s="5" t="s">
        <v>183</v>
      </c>
      <c r="E490" s="5">
        <f>'Master Price list'!G180</f>
        <v>6.3</v>
      </c>
      <c r="F490" s="5">
        <f t="shared" si="61"/>
        <v>0.315</v>
      </c>
    </row>
    <row r="491" spans="1:6" ht="13" x14ac:dyDescent="0.15">
      <c r="A491" s="10">
        <v>3</v>
      </c>
      <c r="B491" s="25" t="s">
        <v>741</v>
      </c>
      <c r="C491" s="25">
        <v>1</v>
      </c>
      <c r="D491" s="5" t="s">
        <v>721</v>
      </c>
      <c r="E491" s="5">
        <f>'Item list'!B31</f>
        <v>1.7691117647058825</v>
      </c>
      <c r="F491" s="5">
        <f t="shared" si="61"/>
        <v>1.7691117647058825</v>
      </c>
    </row>
    <row r="492" spans="1:6" ht="13" x14ac:dyDescent="0.15">
      <c r="A492" s="10">
        <v>4</v>
      </c>
      <c r="B492" s="25" t="s">
        <v>751</v>
      </c>
      <c r="C492" s="25">
        <v>0.02</v>
      </c>
      <c r="D492" s="5" t="s">
        <v>183</v>
      </c>
      <c r="E492" s="5">
        <f>'Item list'!B41</f>
        <v>37.543500000000002</v>
      </c>
      <c r="F492" s="5">
        <f t="shared" si="61"/>
        <v>0.75087000000000004</v>
      </c>
    </row>
    <row r="493" spans="1:6" ht="13" x14ac:dyDescent="0.15">
      <c r="A493" s="10">
        <v>5</v>
      </c>
      <c r="B493" s="25" t="s">
        <v>834</v>
      </c>
      <c r="C493" s="25">
        <v>2E-3</v>
      </c>
      <c r="D493" s="5" t="s">
        <v>183</v>
      </c>
      <c r="E493" s="5">
        <f>'Master Price list'!G174</f>
        <v>15</v>
      </c>
      <c r="F493" s="5">
        <f t="shared" si="61"/>
        <v>0.03</v>
      </c>
    </row>
    <row r="494" spans="1:6" ht="13" x14ac:dyDescent="0.15">
      <c r="D494" s="170" t="s">
        <v>777</v>
      </c>
      <c r="E494" s="171"/>
      <c r="F494" s="29">
        <f>SUM(F489:F493)</f>
        <v>4.7674817647058827</v>
      </c>
    </row>
    <row r="497" spans="1:6" ht="13" x14ac:dyDescent="0.15">
      <c r="A497" s="172" t="s">
        <v>45</v>
      </c>
      <c r="B497" s="173"/>
      <c r="C497" s="171"/>
    </row>
    <row r="498" spans="1:6" ht="13" x14ac:dyDescent="0.15">
      <c r="A498" s="168" t="s">
        <v>773</v>
      </c>
      <c r="B498" s="168" t="s">
        <v>774</v>
      </c>
      <c r="C498" s="168" t="s">
        <v>775</v>
      </c>
      <c r="D498" s="168" t="s">
        <v>719</v>
      </c>
      <c r="E498" s="168" t="s">
        <v>776</v>
      </c>
      <c r="F498" s="168" t="s">
        <v>777</v>
      </c>
    </row>
    <row r="499" spans="1:6" ht="13" x14ac:dyDescent="0.15">
      <c r="A499" s="169"/>
      <c r="B499" s="169"/>
      <c r="C499" s="169"/>
      <c r="D499" s="169"/>
      <c r="E499" s="169"/>
      <c r="F499" s="169"/>
    </row>
    <row r="500" spans="1:6" ht="13" x14ac:dyDescent="0.15">
      <c r="A500" s="10">
        <v>1</v>
      </c>
      <c r="B500" s="25" t="s">
        <v>894</v>
      </c>
      <c r="C500" s="25">
        <v>5.0000000000000001E-3</v>
      </c>
      <c r="D500" s="5" t="s">
        <v>183</v>
      </c>
      <c r="E500" s="5">
        <f>'Master Price list'!G184</f>
        <v>5</v>
      </c>
      <c r="F500" s="5">
        <f t="shared" ref="F500:F509" si="62">E500*C500</f>
        <v>2.5000000000000001E-2</v>
      </c>
    </row>
    <row r="501" spans="1:6" ht="13" x14ac:dyDescent="0.15">
      <c r="A501" s="10">
        <v>2</v>
      </c>
      <c r="B501" s="25" t="s">
        <v>905</v>
      </c>
      <c r="C501" s="25">
        <v>5.0000000000000001E-3</v>
      </c>
      <c r="D501" s="5" t="s">
        <v>721</v>
      </c>
      <c r="E501" s="5">
        <f>'Master Price list'!G173</f>
        <v>13</v>
      </c>
      <c r="F501" s="5">
        <f t="shared" si="62"/>
        <v>6.5000000000000002E-2</v>
      </c>
    </row>
    <row r="502" spans="1:6" ht="13" x14ac:dyDescent="0.15">
      <c r="A502" s="10">
        <v>3</v>
      </c>
      <c r="B502" s="25" t="s">
        <v>625</v>
      </c>
      <c r="C502" s="25">
        <v>0.05</v>
      </c>
      <c r="D502" s="5" t="s">
        <v>183</v>
      </c>
      <c r="E502" s="5">
        <f>'Master Price list'!G176</f>
        <v>13.5</v>
      </c>
      <c r="F502" s="5">
        <f t="shared" si="62"/>
        <v>0.67500000000000004</v>
      </c>
    </row>
    <row r="503" spans="1:6" ht="13" x14ac:dyDescent="0.15">
      <c r="A503" s="10">
        <v>4</v>
      </c>
      <c r="B503" s="25" t="s">
        <v>942</v>
      </c>
      <c r="C503" s="25">
        <v>0.1</v>
      </c>
      <c r="D503" s="5" t="s">
        <v>183</v>
      </c>
      <c r="E503" s="5">
        <f>'Master Price list'!G3</f>
        <v>100</v>
      </c>
      <c r="F503" s="5">
        <f t="shared" si="62"/>
        <v>10</v>
      </c>
    </row>
    <row r="504" spans="1:6" ht="13" x14ac:dyDescent="0.15">
      <c r="A504" s="10">
        <v>5</v>
      </c>
      <c r="B504" s="25" t="s">
        <v>462</v>
      </c>
      <c r="C504" s="25">
        <v>1.4999999999999999E-2</v>
      </c>
      <c r="D504" s="5" t="s">
        <v>183</v>
      </c>
      <c r="E504" s="5">
        <f>'Master Price list'!G107</f>
        <v>6.4</v>
      </c>
      <c r="F504" s="5">
        <f t="shared" si="62"/>
        <v>9.6000000000000002E-2</v>
      </c>
    </row>
    <row r="505" spans="1:6" ht="13" x14ac:dyDescent="0.15">
      <c r="A505" s="10">
        <v>6</v>
      </c>
      <c r="B505" s="25" t="s">
        <v>310</v>
      </c>
      <c r="C505" s="25">
        <v>5.0000000000000001E-3</v>
      </c>
      <c r="D505" s="5" t="s">
        <v>350</v>
      </c>
      <c r="E505" s="5">
        <f>'Master Price list'!G52</f>
        <v>28</v>
      </c>
      <c r="F505" s="5">
        <f t="shared" si="62"/>
        <v>0.14000000000000001</v>
      </c>
    </row>
    <row r="506" spans="1:6" ht="13" x14ac:dyDescent="0.15">
      <c r="A506" s="10">
        <v>7</v>
      </c>
      <c r="B506" s="25" t="s">
        <v>880</v>
      </c>
      <c r="C506" s="25">
        <v>0.01</v>
      </c>
      <c r="D506" s="5" t="s">
        <v>183</v>
      </c>
      <c r="E506" s="5">
        <f>'Master Price list'!G53</f>
        <v>85.714285714285708</v>
      </c>
      <c r="F506" s="5">
        <f t="shared" si="62"/>
        <v>0.8571428571428571</v>
      </c>
    </row>
    <row r="507" spans="1:6" ht="13" x14ac:dyDescent="0.15">
      <c r="A507" s="10">
        <v>8</v>
      </c>
      <c r="B507" s="25" t="s">
        <v>816</v>
      </c>
      <c r="C507" s="25">
        <v>5.0000000000000001E-3</v>
      </c>
      <c r="D507" s="5" t="s">
        <v>183</v>
      </c>
      <c r="E507" s="5">
        <f>'Master Price list'!G178</f>
        <v>11</v>
      </c>
      <c r="F507" s="5">
        <f t="shared" si="62"/>
        <v>5.5E-2</v>
      </c>
    </row>
    <row r="508" spans="1:6" ht="13" x14ac:dyDescent="0.15">
      <c r="A508" s="10">
        <v>9</v>
      </c>
      <c r="B508" s="25" t="s">
        <v>893</v>
      </c>
      <c r="C508" s="25">
        <v>5.0000000000000001E-3</v>
      </c>
      <c r="D508" s="5" t="s">
        <v>183</v>
      </c>
      <c r="E508" s="5">
        <f>'Master Price list'!G94</f>
        <v>11.866666666666667</v>
      </c>
      <c r="F508" s="5">
        <f t="shared" si="62"/>
        <v>5.9333333333333335E-2</v>
      </c>
    </row>
    <row r="509" spans="1:6" ht="13" x14ac:dyDescent="0.15">
      <c r="A509" s="10">
        <v>10</v>
      </c>
      <c r="B509" s="25" t="s">
        <v>692</v>
      </c>
      <c r="C509" s="25">
        <v>0.2</v>
      </c>
      <c r="D509" s="5" t="s">
        <v>183</v>
      </c>
      <c r="E509" s="5">
        <f>'Master Price list'!G209</f>
        <v>2.4</v>
      </c>
      <c r="F509" s="5">
        <f t="shared" si="62"/>
        <v>0.48</v>
      </c>
    </row>
    <row r="510" spans="1:6" ht="13" x14ac:dyDescent="0.15">
      <c r="D510" s="170" t="s">
        <v>777</v>
      </c>
      <c r="E510" s="171"/>
      <c r="F510" s="29">
        <f>SUM(F500:F509)</f>
        <v>12.452476190476192</v>
      </c>
    </row>
    <row r="513" spans="1:6" ht="13" x14ac:dyDescent="0.15">
      <c r="A513" s="172" t="s">
        <v>46</v>
      </c>
      <c r="B513" s="173"/>
      <c r="C513" s="171"/>
    </row>
    <row r="514" spans="1:6" ht="13" x14ac:dyDescent="0.15">
      <c r="A514" s="168" t="s">
        <v>773</v>
      </c>
      <c r="B514" s="168" t="s">
        <v>774</v>
      </c>
      <c r="C514" s="168" t="s">
        <v>775</v>
      </c>
      <c r="D514" s="168" t="s">
        <v>719</v>
      </c>
      <c r="E514" s="168" t="s">
        <v>776</v>
      </c>
      <c r="F514" s="168" t="s">
        <v>777</v>
      </c>
    </row>
    <row r="515" spans="1:6" ht="13" x14ac:dyDescent="0.15">
      <c r="A515" s="169"/>
      <c r="B515" s="169"/>
      <c r="C515" s="169"/>
      <c r="D515" s="169"/>
      <c r="E515" s="169"/>
      <c r="F515" s="169"/>
    </row>
    <row r="516" spans="1:6" ht="13" x14ac:dyDescent="0.15">
      <c r="A516" s="10">
        <v>1</v>
      </c>
      <c r="B516" s="25" t="s">
        <v>737</v>
      </c>
      <c r="C516" s="25">
        <v>1</v>
      </c>
      <c r="D516" s="5" t="s">
        <v>721</v>
      </c>
      <c r="E516" s="5">
        <f>'Item list'!B24</f>
        <v>4.5724509803921558</v>
      </c>
      <c r="F516" s="5">
        <f t="shared" ref="F516:F521" si="63">E516*C516</f>
        <v>4.5724509803921558</v>
      </c>
    </row>
    <row r="517" spans="1:6" ht="13" x14ac:dyDescent="0.15">
      <c r="A517" s="10">
        <v>2</v>
      </c>
      <c r="B517" s="25" t="s">
        <v>741</v>
      </c>
      <c r="C517" s="25">
        <v>1</v>
      </c>
      <c r="D517" s="5" t="s">
        <v>721</v>
      </c>
      <c r="E517" s="5">
        <f>'Item list'!B31</f>
        <v>1.7691117647058825</v>
      </c>
      <c r="F517" s="5">
        <f t="shared" si="63"/>
        <v>1.7691117647058825</v>
      </c>
    </row>
    <row r="518" spans="1:6" ht="13" x14ac:dyDescent="0.15">
      <c r="A518" s="10">
        <v>3</v>
      </c>
      <c r="B518" s="25" t="s">
        <v>611</v>
      </c>
      <c r="C518" s="25">
        <v>2E-3</v>
      </c>
      <c r="D518" s="5" t="s">
        <v>183</v>
      </c>
      <c r="E518" s="5">
        <f>'Master Price list'!G169</f>
        <v>11.5</v>
      </c>
      <c r="F518" s="5">
        <f t="shared" si="63"/>
        <v>2.3E-2</v>
      </c>
    </row>
    <row r="519" spans="1:6" ht="13" x14ac:dyDescent="0.15">
      <c r="A519" s="10">
        <v>4</v>
      </c>
      <c r="B519" s="25" t="s">
        <v>872</v>
      </c>
      <c r="C519" s="25">
        <v>0.02</v>
      </c>
      <c r="D519" s="5" t="s">
        <v>183</v>
      </c>
      <c r="E519" s="5">
        <f>'Master Price list'!G147</f>
        <v>11.333333333333334</v>
      </c>
      <c r="F519" s="5">
        <f t="shared" si="63"/>
        <v>0.22666666666666668</v>
      </c>
    </row>
    <row r="520" spans="1:6" ht="13" x14ac:dyDescent="0.15">
      <c r="A520" s="10">
        <v>5</v>
      </c>
      <c r="B520" s="25" t="s">
        <v>639</v>
      </c>
      <c r="C520" s="25">
        <v>2E-3</v>
      </c>
      <c r="D520" s="5" t="s">
        <v>183</v>
      </c>
      <c r="E520" s="5">
        <f>'Master Price list'!G183</f>
        <v>10</v>
      </c>
      <c r="F520" s="5">
        <f t="shared" si="63"/>
        <v>0.02</v>
      </c>
    </row>
    <row r="521" spans="1:6" ht="13" x14ac:dyDescent="0.15">
      <c r="A521" s="10">
        <v>6</v>
      </c>
      <c r="B521" s="25" t="s">
        <v>49</v>
      </c>
      <c r="C521" s="25">
        <v>0.12</v>
      </c>
      <c r="D521" s="5" t="s">
        <v>183</v>
      </c>
      <c r="E521" s="5">
        <f>'Master Price list'!G126</f>
        <v>11.440000000000001</v>
      </c>
      <c r="F521" s="5">
        <f t="shared" si="63"/>
        <v>1.3728</v>
      </c>
    </row>
    <row r="522" spans="1:6" ht="13" x14ac:dyDescent="0.15">
      <c r="D522" s="170" t="s">
        <v>777</v>
      </c>
      <c r="E522" s="171"/>
      <c r="F522" s="29">
        <f>SUM(F516:F521)</f>
        <v>7.9840294117647037</v>
      </c>
    </row>
    <row r="525" spans="1:6" ht="13" x14ac:dyDescent="0.15">
      <c r="A525" s="172" t="s">
        <v>47</v>
      </c>
      <c r="B525" s="173"/>
      <c r="C525" s="171"/>
    </row>
    <row r="526" spans="1:6" ht="13" x14ac:dyDescent="0.15">
      <c r="A526" s="168" t="s">
        <v>773</v>
      </c>
      <c r="B526" s="168" t="s">
        <v>774</v>
      </c>
      <c r="C526" s="168" t="s">
        <v>775</v>
      </c>
      <c r="D526" s="168" t="s">
        <v>719</v>
      </c>
      <c r="E526" s="168" t="s">
        <v>776</v>
      </c>
      <c r="F526" s="168" t="s">
        <v>777</v>
      </c>
    </row>
    <row r="527" spans="1:6" ht="13" x14ac:dyDescent="0.15">
      <c r="A527" s="169"/>
      <c r="B527" s="169"/>
      <c r="C527" s="169"/>
      <c r="D527" s="169"/>
      <c r="E527" s="169"/>
      <c r="F527" s="169"/>
    </row>
    <row r="528" spans="1:6" ht="13" x14ac:dyDescent="0.15">
      <c r="A528" s="10">
        <v>1</v>
      </c>
      <c r="B528" s="25" t="s">
        <v>74</v>
      </c>
      <c r="C528" s="25">
        <v>1</v>
      </c>
      <c r="D528" s="5" t="s">
        <v>721</v>
      </c>
      <c r="E528" s="5">
        <f>'Item list'!B16</f>
        <v>2.0735288888888888</v>
      </c>
      <c r="F528" s="5">
        <f t="shared" ref="F528:F535" si="64">E528*C528</f>
        <v>2.0735288888888888</v>
      </c>
    </row>
    <row r="529" spans="1:6" ht="13" x14ac:dyDescent="0.15">
      <c r="A529" s="10">
        <v>2</v>
      </c>
      <c r="B529" s="25" t="s">
        <v>943</v>
      </c>
      <c r="C529" s="25">
        <v>0.12</v>
      </c>
      <c r="D529" s="5" t="s">
        <v>183</v>
      </c>
      <c r="E529" s="5">
        <f>'Master Price list'!G176</f>
        <v>13.5</v>
      </c>
      <c r="F529" s="5">
        <f t="shared" si="64"/>
        <v>1.6199999999999999</v>
      </c>
    </row>
    <row r="530" spans="1:6" ht="13" x14ac:dyDescent="0.15">
      <c r="A530" s="10">
        <v>3</v>
      </c>
      <c r="B530" s="25" t="s">
        <v>67</v>
      </c>
      <c r="C530" s="25">
        <v>0.1</v>
      </c>
      <c r="D530" s="5" t="s">
        <v>183</v>
      </c>
      <c r="E530" s="5">
        <f>E479</f>
        <v>4.8</v>
      </c>
      <c r="F530" s="5">
        <f t="shared" si="64"/>
        <v>0.48</v>
      </c>
    </row>
    <row r="531" spans="1:6" ht="13" x14ac:dyDescent="0.15">
      <c r="A531" s="10">
        <v>4</v>
      </c>
      <c r="B531" s="25" t="s">
        <v>611</v>
      </c>
      <c r="C531" s="25">
        <v>0.05</v>
      </c>
      <c r="D531" s="5" t="s">
        <v>183</v>
      </c>
      <c r="E531" s="5">
        <f>E518</f>
        <v>11.5</v>
      </c>
      <c r="F531" s="5">
        <f t="shared" si="64"/>
        <v>0.57500000000000007</v>
      </c>
    </row>
    <row r="532" spans="1:6" ht="13" x14ac:dyDescent="0.15">
      <c r="A532" s="10">
        <v>5</v>
      </c>
      <c r="B532" s="25" t="s">
        <v>816</v>
      </c>
      <c r="C532" s="25">
        <v>5.0000000000000001E-3</v>
      </c>
      <c r="D532" s="5" t="s">
        <v>183</v>
      </c>
      <c r="E532" s="5">
        <f>E507</f>
        <v>11</v>
      </c>
      <c r="F532" s="5">
        <f t="shared" si="64"/>
        <v>5.5E-2</v>
      </c>
    </row>
    <row r="533" spans="1:6" ht="13" x14ac:dyDescent="0.15">
      <c r="A533" s="10">
        <v>6</v>
      </c>
      <c r="B533" s="25" t="s">
        <v>462</v>
      </c>
      <c r="C533" s="25">
        <v>0.03</v>
      </c>
      <c r="D533" s="5" t="s">
        <v>183</v>
      </c>
      <c r="E533" s="5">
        <f>E504</f>
        <v>6.4</v>
      </c>
      <c r="F533" s="5">
        <f t="shared" si="64"/>
        <v>0.192</v>
      </c>
    </row>
    <row r="534" spans="1:6" ht="13" x14ac:dyDescent="0.15">
      <c r="A534" s="10">
        <v>7</v>
      </c>
      <c r="B534" s="25" t="s">
        <v>538</v>
      </c>
      <c r="C534" s="25">
        <v>0.03</v>
      </c>
      <c r="D534" s="5" t="s">
        <v>183</v>
      </c>
      <c r="E534" s="5">
        <f>'Master Price list'!G139</f>
        <v>23</v>
      </c>
      <c r="F534" s="5">
        <f t="shared" si="64"/>
        <v>0.69</v>
      </c>
    </row>
    <row r="535" spans="1:6" ht="13" x14ac:dyDescent="0.15">
      <c r="A535" s="10">
        <v>8</v>
      </c>
      <c r="B535" s="25" t="s">
        <v>931</v>
      </c>
      <c r="C535" s="25">
        <v>0.01</v>
      </c>
      <c r="D535" s="5" t="s">
        <v>183</v>
      </c>
      <c r="E535" s="5">
        <f>'Master Price list'!G140</f>
        <v>60</v>
      </c>
      <c r="F535" s="5">
        <f t="shared" si="64"/>
        <v>0.6</v>
      </c>
    </row>
    <row r="536" spans="1:6" ht="13" x14ac:dyDescent="0.15">
      <c r="D536" s="170" t="s">
        <v>777</v>
      </c>
      <c r="E536" s="171"/>
      <c r="F536" s="29">
        <f>SUM(F528:F535)</f>
        <v>6.2855288888888889</v>
      </c>
    </row>
    <row r="539" spans="1:6" ht="13" x14ac:dyDescent="0.15">
      <c r="A539" s="172" t="s">
        <v>48</v>
      </c>
      <c r="B539" s="173"/>
      <c r="C539" s="171"/>
    </row>
    <row r="540" spans="1:6" ht="13" x14ac:dyDescent="0.15">
      <c r="A540" s="168" t="s">
        <v>773</v>
      </c>
      <c r="B540" s="168" t="s">
        <v>774</v>
      </c>
      <c r="C540" s="168" t="s">
        <v>775</v>
      </c>
      <c r="D540" s="168" t="s">
        <v>719</v>
      </c>
      <c r="E540" s="168" t="s">
        <v>776</v>
      </c>
      <c r="F540" s="168" t="s">
        <v>777</v>
      </c>
    </row>
    <row r="541" spans="1:6" ht="13" x14ac:dyDescent="0.15">
      <c r="A541" s="169"/>
      <c r="B541" s="169"/>
      <c r="C541" s="169"/>
      <c r="D541" s="169"/>
      <c r="E541" s="169"/>
      <c r="F541" s="169"/>
    </row>
    <row r="542" spans="1:6" ht="13" x14ac:dyDescent="0.15">
      <c r="A542" s="10">
        <v>1</v>
      </c>
      <c r="B542" s="25" t="s">
        <v>223</v>
      </c>
      <c r="C542" s="25">
        <v>0.15</v>
      </c>
      <c r="D542" s="5" t="s">
        <v>183</v>
      </c>
      <c r="E542" s="5">
        <f>'Master Price list'!G19</f>
        <v>58.533333333333331</v>
      </c>
      <c r="F542" s="5">
        <f t="shared" ref="F542:F549" si="65">E542*C542</f>
        <v>8.7799999999999994</v>
      </c>
    </row>
    <row r="543" spans="1:6" ht="13" x14ac:dyDescent="0.15">
      <c r="A543" s="10">
        <v>2</v>
      </c>
      <c r="B543" s="25" t="s">
        <v>728</v>
      </c>
      <c r="C543" s="25">
        <v>1</v>
      </c>
      <c r="D543" s="5" t="s">
        <v>721</v>
      </c>
      <c r="E543" s="5">
        <f>'Item list'!B9</f>
        <v>2.0643377777777774</v>
      </c>
      <c r="F543" s="5">
        <f t="shared" si="65"/>
        <v>2.0643377777777774</v>
      </c>
    </row>
    <row r="544" spans="1:6" ht="13" x14ac:dyDescent="0.15">
      <c r="A544" s="10">
        <v>3</v>
      </c>
      <c r="B544" s="25" t="s">
        <v>741</v>
      </c>
      <c r="C544" s="25">
        <v>1</v>
      </c>
      <c r="D544" s="5" t="s">
        <v>721</v>
      </c>
      <c r="E544" s="5">
        <f>'Item list'!B31</f>
        <v>1.7691117647058825</v>
      </c>
      <c r="F544" s="5">
        <f t="shared" si="65"/>
        <v>1.7691117647058825</v>
      </c>
    </row>
    <row r="545" spans="1:6" ht="13" x14ac:dyDescent="0.15">
      <c r="A545" s="10">
        <v>4</v>
      </c>
      <c r="B545" s="25" t="s">
        <v>611</v>
      </c>
      <c r="C545" s="25">
        <v>2E-3</v>
      </c>
      <c r="D545" s="5" t="s">
        <v>183</v>
      </c>
      <c r="E545" s="5">
        <f>E531</f>
        <v>11.5</v>
      </c>
      <c r="F545" s="5">
        <f t="shared" si="65"/>
        <v>2.3E-2</v>
      </c>
    </row>
    <row r="546" spans="1:6" ht="13" x14ac:dyDescent="0.15">
      <c r="A546" s="10">
        <v>5</v>
      </c>
      <c r="B546" s="25" t="s">
        <v>49</v>
      </c>
      <c r="C546" s="25">
        <v>0.12</v>
      </c>
      <c r="D546" s="5" t="s">
        <v>183</v>
      </c>
      <c r="E546" s="5">
        <f>E521</f>
        <v>11.440000000000001</v>
      </c>
      <c r="F546" s="5">
        <f t="shared" si="65"/>
        <v>1.3728</v>
      </c>
    </row>
    <row r="547" spans="1:6" ht="13" x14ac:dyDescent="0.15">
      <c r="A547" s="10">
        <v>6</v>
      </c>
      <c r="B547" s="25" t="s">
        <v>749</v>
      </c>
      <c r="C547" s="25">
        <v>0.03</v>
      </c>
      <c r="D547" s="5" t="s">
        <v>183</v>
      </c>
      <c r="E547" s="5">
        <f>E518</f>
        <v>11.5</v>
      </c>
      <c r="F547" s="5">
        <f t="shared" si="65"/>
        <v>0.34499999999999997</v>
      </c>
    </row>
    <row r="548" spans="1:6" ht="13" x14ac:dyDescent="0.15">
      <c r="A548" s="10">
        <v>7</v>
      </c>
      <c r="B548" s="25" t="s">
        <v>786</v>
      </c>
      <c r="C548" s="25">
        <v>2E-3</v>
      </c>
      <c r="D548" s="5" t="s">
        <v>183</v>
      </c>
      <c r="E548" s="5">
        <f>E482</f>
        <v>15</v>
      </c>
      <c r="F548" s="5">
        <f t="shared" si="65"/>
        <v>0.03</v>
      </c>
    </row>
    <row r="549" spans="1:6" ht="13" x14ac:dyDescent="0.15">
      <c r="A549" s="10">
        <v>8</v>
      </c>
      <c r="B549" s="25" t="s">
        <v>639</v>
      </c>
      <c r="C549" s="25">
        <v>2E-3</v>
      </c>
      <c r="D549" s="5" t="s">
        <v>183</v>
      </c>
      <c r="E549" s="5">
        <f>E520</f>
        <v>10</v>
      </c>
      <c r="F549" s="5">
        <f t="shared" si="65"/>
        <v>0.02</v>
      </c>
    </row>
    <row r="550" spans="1:6" ht="13" x14ac:dyDescent="0.15">
      <c r="D550" s="170" t="s">
        <v>777</v>
      </c>
      <c r="E550" s="171"/>
      <c r="F550" s="29">
        <f>SUM(F542:F549)</f>
        <v>14.40424954248366</v>
      </c>
    </row>
    <row r="553" spans="1:6" ht="13" x14ac:dyDescent="0.15">
      <c r="A553" s="172" t="s">
        <v>49</v>
      </c>
      <c r="B553" s="173"/>
      <c r="C553" s="171"/>
    </row>
    <row r="554" spans="1:6" ht="13" x14ac:dyDescent="0.15">
      <c r="A554" s="168" t="s">
        <v>773</v>
      </c>
      <c r="B554" s="168" t="s">
        <v>774</v>
      </c>
      <c r="C554" s="168" t="s">
        <v>775</v>
      </c>
      <c r="D554" s="168" t="s">
        <v>719</v>
      </c>
      <c r="E554" s="168" t="s">
        <v>776</v>
      </c>
      <c r="F554" s="168" t="s">
        <v>777</v>
      </c>
    </row>
    <row r="555" spans="1:6" ht="13" x14ac:dyDescent="0.15">
      <c r="A555" s="169"/>
      <c r="B555" s="169"/>
      <c r="C555" s="169"/>
      <c r="D555" s="169"/>
      <c r="E555" s="169"/>
      <c r="F555" s="169"/>
    </row>
    <row r="556" spans="1:6" ht="13" x14ac:dyDescent="0.15">
      <c r="A556" s="10">
        <v>1</v>
      </c>
      <c r="B556" s="25" t="s">
        <v>944</v>
      </c>
      <c r="C556" s="25">
        <v>0.2</v>
      </c>
      <c r="D556" s="5" t="s">
        <v>183</v>
      </c>
      <c r="E556" s="5">
        <f>E546</f>
        <v>11.440000000000001</v>
      </c>
      <c r="F556" s="5">
        <f>E556*C556</f>
        <v>2.2880000000000003</v>
      </c>
    </row>
    <row r="557" spans="1:6" ht="13" x14ac:dyDescent="0.15">
      <c r="D557" s="170" t="s">
        <v>777</v>
      </c>
      <c r="E557" s="171"/>
      <c r="F557" s="29">
        <f>SUM(F556)</f>
        <v>2.2880000000000003</v>
      </c>
    </row>
    <row r="560" spans="1:6" ht="13" x14ac:dyDescent="0.15">
      <c r="A560" s="172" t="s">
        <v>512</v>
      </c>
      <c r="B560" s="173"/>
      <c r="C560" s="171"/>
    </row>
    <row r="561" spans="1:6" ht="13" x14ac:dyDescent="0.15">
      <c r="A561" s="168" t="s">
        <v>773</v>
      </c>
      <c r="B561" s="168" t="s">
        <v>774</v>
      </c>
      <c r="C561" s="168" t="s">
        <v>775</v>
      </c>
      <c r="D561" s="168" t="s">
        <v>719</v>
      </c>
      <c r="E561" s="168" t="s">
        <v>776</v>
      </c>
      <c r="F561" s="168" t="s">
        <v>777</v>
      </c>
    </row>
    <row r="562" spans="1:6" ht="13" x14ac:dyDescent="0.15">
      <c r="A562" s="169"/>
      <c r="B562" s="169"/>
      <c r="C562" s="169"/>
      <c r="D562" s="169"/>
      <c r="E562" s="169"/>
      <c r="F562" s="169"/>
    </row>
    <row r="563" spans="1:6" ht="13" x14ac:dyDescent="0.15">
      <c r="A563" s="10">
        <v>1</v>
      </c>
      <c r="B563" s="25" t="s">
        <v>512</v>
      </c>
      <c r="C563" s="25">
        <v>0.2</v>
      </c>
      <c r="D563" s="5" t="s">
        <v>183</v>
      </c>
      <c r="E563" s="5">
        <f>'Master Price list'!G127</f>
        <v>18.399999999999999</v>
      </c>
      <c r="F563" s="5">
        <f t="shared" ref="F563:F564" si="66">E563*C563</f>
        <v>3.6799999999999997</v>
      </c>
    </row>
    <row r="564" spans="1:6" ht="13" x14ac:dyDescent="0.15">
      <c r="A564" s="10">
        <v>2</v>
      </c>
      <c r="B564" s="25" t="s">
        <v>746</v>
      </c>
      <c r="C564" s="25">
        <v>0.02</v>
      </c>
      <c r="D564" s="5" t="s">
        <v>183</v>
      </c>
      <c r="E564" s="5">
        <f>'Item list'!B36</f>
        <v>5.5563541666666669</v>
      </c>
      <c r="F564" s="5">
        <f t="shared" si="66"/>
        <v>0.11112708333333333</v>
      </c>
    </row>
    <row r="565" spans="1:6" ht="13" x14ac:dyDescent="0.15">
      <c r="D565" s="170" t="s">
        <v>777</v>
      </c>
      <c r="E565" s="171"/>
      <c r="F565" s="29">
        <f>SUM(F563:F564)</f>
        <v>3.791127083333333</v>
      </c>
    </row>
    <row r="568" spans="1:6" ht="13" x14ac:dyDescent="0.15">
      <c r="A568" s="172" t="s">
        <v>512</v>
      </c>
      <c r="B568" s="173"/>
      <c r="C568" s="171"/>
    </row>
    <row r="569" spans="1:6" ht="13" x14ac:dyDescent="0.15">
      <c r="A569" s="168" t="s">
        <v>773</v>
      </c>
      <c r="B569" s="168" t="s">
        <v>774</v>
      </c>
      <c r="C569" s="168" t="s">
        <v>775</v>
      </c>
      <c r="D569" s="168" t="s">
        <v>719</v>
      </c>
      <c r="E569" s="168" t="s">
        <v>776</v>
      </c>
      <c r="F569" s="168" t="s">
        <v>777</v>
      </c>
    </row>
    <row r="570" spans="1:6" ht="13" x14ac:dyDescent="0.15">
      <c r="A570" s="169"/>
      <c r="B570" s="169"/>
      <c r="C570" s="169"/>
      <c r="D570" s="169"/>
      <c r="E570" s="169"/>
      <c r="F570" s="169"/>
    </row>
    <row r="571" spans="1:6" ht="13" x14ac:dyDescent="0.15">
      <c r="A571" s="10">
        <v>1</v>
      </c>
      <c r="B571" s="25" t="s">
        <v>870</v>
      </c>
      <c r="C571" s="25">
        <v>0.2</v>
      </c>
      <c r="D571" s="5" t="s">
        <v>183</v>
      </c>
      <c r="E571" s="5">
        <f>'Master Price list'!G200</f>
        <v>4.5</v>
      </c>
      <c r="F571" s="5">
        <f t="shared" ref="F571:F572" si="67">E571*C571</f>
        <v>0.9</v>
      </c>
    </row>
    <row r="572" spans="1:6" ht="13" x14ac:dyDescent="0.15">
      <c r="A572" s="10">
        <v>2</v>
      </c>
      <c r="B572" s="25" t="s">
        <v>746</v>
      </c>
      <c r="C572" s="25">
        <v>0.02</v>
      </c>
      <c r="D572" s="5" t="s">
        <v>183</v>
      </c>
      <c r="E572" s="5">
        <f>E564</f>
        <v>5.5563541666666669</v>
      </c>
      <c r="F572" s="5">
        <f t="shared" si="67"/>
        <v>0.11112708333333333</v>
      </c>
    </row>
    <row r="573" spans="1:6" ht="13" x14ac:dyDescent="0.15">
      <c r="D573" s="170" t="s">
        <v>777</v>
      </c>
      <c r="E573" s="171"/>
      <c r="F573" s="29">
        <f>SUM(F571:F572)</f>
        <v>1.0111270833333335</v>
      </c>
    </row>
    <row r="576" spans="1:6" ht="13" x14ac:dyDescent="0.15">
      <c r="A576" s="172" t="s">
        <v>52</v>
      </c>
      <c r="B576" s="173"/>
      <c r="C576" s="171"/>
    </row>
    <row r="577" spans="1:6" ht="13" x14ac:dyDescent="0.15">
      <c r="A577" s="168" t="s">
        <v>773</v>
      </c>
      <c r="B577" s="168" t="s">
        <v>774</v>
      </c>
      <c r="C577" s="168" t="s">
        <v>775</v>
      </c>
      <c r="D577" s="168" t="s">
        <v>719</v>
      </c>
      <c r="E577" s="168" t="s">
        <v>776</v>
      </c>
      <c r="F577" s="168" t="s">
        <v>777</v>
      </c>
    </row>
    <row r="578" spans="1:6" ht="13" x14ac:dyDescent="0.15">
      <c r="A578" s="169"/>
      <c r="B578" s="169"/>
      <c r="C578" s="169"/>
      <c r="D578" s="169"/>
      <c r="E578" s="169"/>
      <c r="F578" s="169"/>
    </row>
    <row r="579" spans="1:6" ht="13" x14ac:dyDescent="0.15">
      <c r="A579" s="10">
        <v>1</v>
      </c>
      <c r="B579" s="25" t="s">
        <v>52</v>
      </c>
      <c r="C579" s="25">
        <v>1</v>
      </c>
      <c r="D579" s="5" t="s">
        <v>721</v>
      </c>
      <c r="E579" s="5">
        <f>'Item list'!B19</f>
        <v>3.7496444444444448</v>
      </c>
      <c r="F579" s="5">
        <f t="shared" ref="F579:F584" si="68">E579*C579</f>
        <v>3.7496444444444448</v>
      </c>
    </row>
    <row r="580" spans="1:6" ht="13" x14ac:dyDescent="0.15">
      <c r="A580" s="10">
        <v>2</v>
      </c>
      <c r="B580" s="25" t="s">
        <v>763</v>
      </c>
      <c r="C580" s="25">
        <v>0.05</v>
      </c>
      <c r="D580" s="5" t="s">
        <v>183</v>
      </c>
      <c r="E580" s="5">
        <f>'Item list'!B53</f>
        <v>14.314</v>
      </c>
      <c r="F580" s="5">
        <f t="shared" si="68"/>
        <v>0.7157</v>
      </c>
    </row>
    <row r="581" spans="1:6" ht="13" x14ac:dyDescent="0.15">
      <c r="A581" s="10">
        <v>3</v>
      </c>
      <c r="B581" s="25" t="s">
        <v>741</v>
      </c>
      <c r="C581" s="25">
        <v>1</v>
      </c>
      <c r="D581" s="5" t="s">
        <v>721</v>
      </c>
      <c r="E581" s="5">
        <f>'Item list'!B31</f>
        <v>1.7691117647058825</v>
      </c>
      <c r="F581" s="5">
        <f t="shared" si="68"/>
        <v>1.7691117647058825</v>
      </c>
    </row>
    <row r="582" spans="1:6" ht="13" x14ac:dyDescent="0.15">
      <c r="A582" s="10">
        <v>4</v>
      </c>
      <c r="B582" s="25" t="s">
        <v>611</v>
      </c>
      <c r="C582" s="25">
        <v>0.04</v>
      </c>
      <c r="D582" s="5" t="s">
        <v>183</v>
      </c>
      <c r="E582" s="5">
        <f>E545</f>
        <v>11.5</v>
      </c>
      <c r="F582" s="5">
        <f t="shared" si="68"/>
        <v>0.46</v>
      </c>
    </row>
    <row r="583" spans="1:6" ht="13" x14ac:dyDescent="0.15">
      <c r="A583" s="10">
        <v>5</v>
      </c>
      <c r="B583" s="25" t="s">
        <v>49</v>
      </c>
      <c r="C583" s="25">
        <v>0.12</v>
      </c>
      <c r="D583" s="5" t="s">
        <v>183</v>
      </c>
      <c r="E583" s="5">
        <f>E556</f>
        <v>11.440000000000001</v>
      </c>
      <c r="F583" s="5">
        <f t="shared" si="68"/>
        <v>1.3728</v>
      </c>
    </row>
    <row r="584" spans="1:6" ht="13" x14ac:dyDescent="0.15">
      <c r="A584" s="10">
        <v>6</v>
      </c>
      <c r="B584" s="25" t="s">
        <v>750</v>
      </c>
      <c r="C584" s="25">
        <v>0.03</v>
      </c>
      <c r="D584" s="5" t="s">
        <v>183</v>
      </c>
      <c r="E584" s="5">
        <f>'Item list'!B40</f>
        <v>20.794</v>
      </c>
      <c r="F584" s="5">
        <f t="shared" si="68"/>
        <v>0.62382000000000004</v>
      </c>
    </row>
    <row r="585" spans="1:6" ht="13" x14ac:dyDescent="0.15">
      <c r="D585" s="170" t="s">
        <v>777</v>
      </c>
      <c r="E585" s="171"/>
      <c r="F585" s="29">
        <f>SUM(F579:F584)</f>
        <v>8.691076209150328</v>
      </c>
    </row>
    <row r="588" spans="1:6" ht="13" x14ac:dyDescent="0.15">
      <c r="A588" s="172" t="s">
        <v>53</v>
      </c>
      <c r="B588" s="173"/>
      <c r="C588" s="171"/>
    </row>
    <row r="589" spans="1:6" ht="13" x14ac:dyDescent="0.15">
      <c r="A589" s="168" t="s">
        <v>773</v>
      </c>
      <c r="B589" s="168" t="s">
        <v>774</v>
      </c>
      <c r="C589" s="168" t="s">
        <v>775</v>
      </c>
      <c r="D589" s="168" t="s">
        <v>719</v>
      </c>
      <c r="E589" s="168" t="s">
        <v>776</v>
      </c>
      <c r="F589" s="168" t="s">
        <v>777</v>
      </c>
    </row>
    <row r="590" spans="1:6" ht="13" x14ac:dyDescent="0.15">
      <c r="A590" s="169"/>
      <c r="B590" s="169"/>
      <c r="C590" s="169"/>
      <c r="D590" s="169"/>
      <c r="E590" s="169"/>
      <c r="F590" s="169"/>
    </row>
    <row r="591" spans="1:6" ht="13" x14ac:dyDescent="0.15">
      <c r="A591" s="10">
        <v>1</v>
      </c>
      <c r="B591" s="25" t="s">
        <v>53</v>
      </c>
      <c r="C591" s="25">
        <v>1</v>
      </c>
      <c r="D591" s="5" t="s">
        <v>721</v>
      </c>
      <c r="E591" s="5">
        <f>'Item list'!B15</f>
        <v>20.635270202020202</v>
      </c>
      <c r="F591" s="5">
        <f t="shared" ref="F591:F596" si="69">E591*C591</f>
        <v>20.635270202020202</v>
      </c>
    </row>
    <row r="592" spans="1:6" ht="13" x14ac:dyDescent="0.15">
      <c r="A592" s="10">
        <v>2</v>
      </c>
      <c r="B592" s="25" t="s">
        <v>763</v>
      </c>
      <c r="C592" s="25">
        <v>0.05</v>
      </c>
      <c r="D592" s="5" t="s">
        <v>183</v>
      </c>
      <c r="E592" s="5">
        <f t="shared" ref="E592:E595" si="70">E580</f>
        <v>14.314</v>
      </c>
      <c r="F592" s="5">
        <f t="shared" si="69"/>
        <v>0.7157</v>
      </c>
    </row>
    <row r="593" spans="1:6" ht="13" x14ac:dyDescent="0.15">
      <c r="A593" s="10">
        <v>3</v>
      </c>
      <c r="B593" s="25" t="s">
        <v>741</v>
      </c>
      <c r="C593" s="25">
        <v>1</v>
      </c>
      <c r="D593" s="5" t="s">
        <v>721</v>
      </c>
      <c r="E593" s="5">
        <f t="shared" si="70"/>
        <v>1.7691117647058825</v>
      </c>
      <c r="F593" s="5">
        <f t="shared" si="69"/>
        <v>1.7691117647058825</v>
      </c>
    </row>
    <row r="594" spans="1:6" ht="13" x14ac:dyDescent="0.15">
      <c r="A594" s="10">
        <v>4</v>
      </c>
      <c r="B594" s="25" t="s">
        <v>611</v>
      </c>
      <c r="C594" s="25">
        <v>0.04</v>
      </c>
      <c r="D594" s="5" t="s">
        <v>183</v>
      </c>
      <c r="E594" s="5">
        <f t="shared" si="70"/>
        <v>11.5</v>
      </c>
      <c r="F594" s="5">
        <f t="shared" si="69"/>
        <v>0.46</v>
      </c>
    </row>
    <row r="595" spans="1:6" ht="13" x14ac:dyDescent="0.15">
      <c r="A595" s="10">
        <v>5</v>
      </c>
      <c r="B595" s="25" t="s">
        <v>49</v>
      </c>
      <c r="C595" s="25">
        <v>0.12</v>
      </c>
      <c r="D595" s="5" t="s">
        <v>183</v>
      </c>
      <c r="E595" s="5">
        <f t="shared" si="70"/>
        <v>11.440000000000001</v>
      </c>
      <c r="F595" s="5">
        <f t="shared" si="69"/>
        <v>1.3728</v>
      </c>
    </row>
    <row r="596" spans="1:6" ht="13" x14ac:dyDescent="0.15">
      <c r="A596" s="10">
        <v>6</v>
      </c>
      <c r="B596" s="25" t="s">
        <v>270</v>
      </c>
      <c r="C596" s="25">
        <v>0.03</v>
      </c>
      <c r="D596" s="5" t="s">
        <v>183</v>
      </c>
      <c r="E596" s="5">
        <f>'Master Price list'!G35</f>
        <v>29</v>
      </c>
      <c r="F596" s="5">
        <f t="shared" si="69"/>
        <v>0.87</v>
      </c>
    </row>
    <row r="597" spans="1:6" ht="13" x14ac:dyDescent="0.15">
      <c r="D597" s="170" t="s">
        <v>777</v>
      </c>
      <c r="E597" s="171"/>
      <c r="F597" s="29">
        <f>SUM(F591:F596)</f>
        <v>25.822881966726086</v>
      </c>
    </row>
    <row r="600" spans="1:6" ht="13" x14ac:dyDescent="0.15">
      <c r="A600" s="172" t="s">
        <v>54</v>
      </c>
      <c r="B600" s="173"/>
      <c r="C600" s="171"/>
    </row>
    <row r="601" spans="1:6" ht="13" x14ac:dyDescent="0.15">
      <c r="A601" s="168" t="s">
        <v>773</v>
      </c>
      <c r="B601" s="168" t="s">
        <v>774</v>
      </c>
      <c r="C601" s="168" t="s">
        <v>775</v>
      </c>
      <c r="D601" s="168" t="s">
        <v>719</v>
      </c>
      <c r="E601" s="168" t="s">
        <v>776</v>
      </c>
      <c r="F601" s="168" t="s">
        <v>777</v>
      </c>
    </row>
    <row r="602" spans="1:6" ht="13" x14ac:dyDescent="0.15">
      <c r="A602" s="169"/>
      <c r="B602" s="169"/>
      <c r="C602" s="169"/>
      <c r="D602" s="169"/>
      <c r="E602" s="169"/>
      <c r="F602" s="169"/>
    </row>
    <row r="603" spans="1:6" ht="13" x14ac:dyDescent="0.15">
      <c r="A603" s="10">
        <v>1</v>
      </c>
      <c r="B603" s="25" t="s">
        <v>54</v>
      </c>
      <c r="C603" s="25">
        <v>1</v>
      </c>
      <c r="D603" s="5" t="s">
        <v>721</v>
      </c>
      <c r="E603" s="5">
        <f>'Item list'!B14</f>
        <v>15.347865740740742</v>
      </c>
      <c r="F603" s="5">
        <f t="shared" ref="F603:F608" si="71">E603*C603</f>
        <v>15.347865740740742</v>
      </c>
    </row>
    <row r="604" spans="1:6" ht="13" x14ac:dyDescent="0.15">
      <c r="A604" s="10">
        <v>2</v>
      </c>
      <c r="B604" s="25" t="s">
        <v>763</v>
      </c>
      <c r="C604" s="25">
        <v>0.05</v>
      </c>
      <c r="D604" s="5" t="s">
        <v>183</v>
      </c>
      <c r="E604" s="5">
        <f t="shared" ref="E604:E608" si="72">E592</f>
        <v>14.314</v>
      </c>
      <c r="F604" s="5">
        <f t="shared" si="71"/>
        <v>0.7157</v>
      </c>
    </row>
    <row r="605" spans="1:6" ht="13" x14ac:dyDescent="0.15">
      <c r="A605" s="10">
        <v>3</v>
      </c>
      <c r="B605" s="25" t="s">
        <v>741</v>
      </c>
      <c r="C605" s="25">
        <v>1</v>
      </c>
      <c r="D605" s="5" t="s">
        <v>721</v>
      </c>
      <c r="E605" s="5">
        <f t="shared" si="72"/>
        <v>1.7691117647058825</v>
      </c>
      <c r="F605" s="5">
        <f t="shared" si="71"/>
        <v>1.7691117647058825</v>
      </c>
    </row>
    <row r="606" spans="1:6" ht="13" x14ac:dyDescent="0.15">
      <c r="A606" s="10">
        <v>4</v>
      </c>
      <c r="B606" s="25" t="s">
        <v>611</v>
      </c>
      <c r="C606" s="25">
        <v>0.04</v>
      </c>
      <c r="D606" s="5" t="s">
        <v>183</v>
      </c>
      <c r="E606" s="5">
        <f t="shared" si="72"/>
        <v>11.5</v>
      </c>
      <c r="F606" s="5">
        <f t="shared" si="71"/>
        <v>0.46</v>
      </c>
    </row>
    <row r="607" spans="1:6" ht="13" x14ac:dyDescent="0.15">
      <c r="A607" s="10">
        <v>5</v>
      </c>
      <c r="B607" s="25" t="s">
        <v>49</v>
      </c>
      <c r="C607" s="25">
        <v>0.12</v>
      </c>
      <c r="D607" s="5" t="s">
        <v>183</v>
      </c>
      <c r="E607" s="5">
        <f t="shared" si="72"/>
        <v>11.440000000000001</v>
      </c>
      <c r="F607" s="5">
        <f t="shared" si="71"/>
        <v>1.3728</v>
      </c>
    </row>
    <row r="608" spans="1:6" ht="13" x14ac:dyDescent="0.15">
      <c r="A608" s="10">
        <v>6</v>
      </c>
      <c r="B608" s="25" t="s">
        <v>270</v>
      </c>
      <c r="C608" s="25">
        <v>0.03</v>
      </c>
      <c r="D608" s="5" t="s">
        <v>183</v>
      </c>
      <c r="E608" s="5">
        <f t="shared" si="72"/>
        <v>29</v>
      </c>
      <c r="F608" s="5">
        <f t="shared" si="71"/>
        <v>0.87</v>
      </c>
    </row>
    <row r="609" spans="1:6" ht="13" x14ac:dyDescent="0.15">
      <c r="D609" s="170" t="s">
        <v>777</v>
      </c>
      <c r="E609" s="171"/>
      <c r="F609" s="29">
        <f>SUM(F603:F608)</f>
        <v>20.535477505446629</v>
      </c>
    </row>
    <row r="612" spans="1:6" ht="13" x14ac:dyDescent="0.15">
      <c r="A612" s="172" t="s">
        <v>55</v>
      </c>
      <c r="B612" s="173"/>
      <c r="C612" s="171"/>
    </row>
    <row r="613" spans="1:6" ht="13" x14ac:dyDescent="0.15">
      <c r="A613" s="168" t="s">
        <v>773</v>
      </c>
      <c r="B613" s="168" t="s">
        <v>774</v>
      </c>
      <c r="C613" s="168" t="s">
        <v>775</v>
      </c>
      <c r="D613" s="168" t="s">
        <v>719</v>
      </c>
      <c r="E613" s="168" t="s">
        <v>776</v>
      </c>
      <c r="F613" s="168" t="s">
        <v>777</v>
      </c>
    </row>
    <row r="614" spans="1:6" ht="13" x14ac:dyDescent="0.15">
      <c r="A614" s="169"/>
      <c r="B614" s="169"/>
      <c r="C614" s="169"/>
      <c r="D614" s="169"/>
      <c r="E614" s="169"/>
      <c r="F614" s="169"/>
    </row>
    <row r="615" spans="1:6" ht="13" x14ac:dyDescent="0.15">
      <c r="A615" s="10">
        <v>1</v>
      </c>
      <c r="B615" s="25" t="s">
        <v>945</v>
      </c>
      <c r="C615" s="25">
        <v>1</v>
      </c>
      <c r="D615" s="5" t="s">
        <v>350</v>
      </c>
      <c r="E615" s="5">
        <f>'Master Price list'!G67</f>
        <v>1.9000000000000001</v>
      </c>
      <c r="F615" s="5">
        <f t="shared" ref="F615:F623" si="73">E615*C615</f>
        <v>1.9000000000000001</v>
      </c>
    </row>
    <row r="616" spans="1:6" ht="13" x14ac:dyDescent="0.15">
      <c r="A616" s="10">
        <v>2</v>
      </c>
      <c r="B616" s="25" t="s">
        <v>883</v>
      </c>
      <c r="C616" s="25">
        <v>1.4999999999999999E-2</v>
      </c>
      <c r="D616" s="5" t="s">
        <v>721</v>
      </c>
      <c r="E616" s="5">
        <f>'Master Price list'!G21</f>
        <v>39.200000000000003</v>
      </c>
      <c r="F616" s="5">
        <f t="shared" si="73"/>
        <v>0.58799999999999997</v>
      </c>
    </row>
    <row r="617" spans="1:6" ht="13" x14ac:dyDescent="0.15">
      <c r="A617" s="10">
        <v>3</v>
      </c>
      <c r="B617" s="25" t="s">
        <v>946</v>
      </c>
      <c r="C617" s="25">
        <v>0.1</v>
      </c>
      <c r="D617" s="5" t="s">
        <v>183</v>
      </c>
      <c r="E617" s="5">
        <f>'Master Price list'!G13</f>
        <v>10.3</v>
      </c>
      <c r="F617" s="5">
        <f t="shared" si="73"/>
        <v>1.03</v>
      </c>
    </row>
    <row r="618" spans="1:6" ht="13" x14ac:dyDescent="0.15">
      <c r="A618" s="10">
        <v>4</v>
      </c>
      <c r="B618" s="25" t="s">
        <v>611</v>
      </c>
      <c r="C618" s="25">
        <v>2E-3</v>
      </c>
      <c r="D618" s="5" t="s">
        <v>183</v>
      </c>
      <c r="E618" s="5">
        <f t="shared" ref="E618:E619" si="74">E606</f>
        <v>11.5</v>
      </c>
      <c r="F618" s="5">
        <f t="shared" si="73"/>
        <v>2.3E-2</v>
      </c>
    </row>
    <row r="619" spans="1:6" ht="13" x14ac:dyDescent="0.15">
      <c r="A619" s="10">
        <v>5</v>
      </c>
      <c r="B619" s="25" t="s">
        <v>49</v>
      </c>
      <c r="C619" s="25">
        <v>0.12</v>
      </c>
      <c r="D619" s="5" t="s">
        <v>183</v>
      </c>
      <c r="E619" s="5">
        <f t="shared" si="74"/>
        <v>11.440000000000001</v>
      </c>
      <c r="F619" s="5">
        <f t="shared" si="73"/>
        <v>1.3728</v>
      </c>
    </row>
    <row r="620" spans="1:6" ht="13" x14ac:dyDescent="0.15">
      <c r="A620" s="10">
        <v>6</v>
      </c>
      <c r="B620" s="25" t="s">
        <v>741</v>
      </c>
      <c r="C620" s="25">
        <v>1</v>
      </c>
      <c r="D620" s="5" t="s">
        <v>721</v>
      </c>
      <c r="E620" s="5">
        <f>E605</f>
        <v>1.7691117647058825</v>
      </c>
      <c r="F620" s="5">
        <f t="shared" si="73"/>
        <v>1.7691117647058825</v>
      </c>
    </row>
    <row r="621" spans="1:6" ht="13" x14ac:dyDescent="0.15">
      <c r="A621" s="10">
        <v>7</v>
      </c>
      <c r="B621" s="25" t="s">
        <v>757</v>
      </c>
      <c r="C621" s="25">
        <v>1.4999999999999999E-2</v>
      </c>
      <c r="D621" s="5" t="s">
        <v>183</v>
      </c>
      <c r="E621" s="5">
        <f>'Item list'!B47</f>
        <v>8.3964285714285722</v>
      </c>
      <c r="F621" s="5">
        <f t="shared" si="73"/>
        <v>0.12594642857142857</v>
      </c>
    </row>
    <row r="622" spans="1:6" ht="13" x14ac:dyDescent="0.15">
      <c r="A622" s="10">
        <v>8</v>
      </c>
      <c r="B622" s="25" t="s">
        <v>947</v>
      </c>
      <c r="C622" s="25">
        <v>0.01</v>
      </c>
      <c r="D622" s="5" t="s">
        <v>183</v>
      </c>
      <c r="E622" s="5">
        <f>'Master Price list'!G164</f>
        <v>3.6</v>
      </c>
      <c r="F622" s="5">
        <f t="shared" si="73"/>
        <v>3.6000000000000004E-2</v>
      </c>
    </row>
    <row r="623" spans="1:6" ht="13" x14ac:dyDescent="0.15">
      <c r="A623" s="10">
        <v>9</v>
      </c>
      <c r="B623" s="25" t="s">
        <v>762</v>
      </c>
      <c r="C623" s="25">
        <v>2E-3</v>
      </c>
      <c r="D623" s="5" t="s">
        <v>183</v>
      </c>
      <c r="E623" s="5">
        <f>'Item list'!B52</f>
        <v>12.161666666666665</v>
      </c>
      <c r="F623" s="5">
        <f t="shared" si="73"/>
        <v>2.4323333333333332E-2</v>
      </c>
    </row>
    <row r="624" spans="1:6" ht="13" x14ac:dyDescent="0.15">
      <c r="D624" s="170" t="s">
        <v>777</v>
      </c>
      <c r="E624" s="171"/>
      <c r="F624" s="29">
        <f>SUM(F615:F623)</f>
        <v>6.8691815266106442</v>
      </c>
    </row>
    <row r="627" spans="1:6" ht="13" x14ac:dyDescent="0.15">
      <c r="A627" s="172" t="s">
        <v>56</v>
      </c>
      <c r="B627" s="173"/>
      <c r="C627" s="171"/>
    </row>
    <row r="628" spans="1:6" ht="13" x14ac:dyDescent="0.15">
      <c r="A628" s="168" t="s">
        <v>773</v>
      </c>
      <c r="B628" s="168" t="s">
        <v>774</v>
      </c>
      <c r="C628" s="168" t="s">
        <v>775</v>
      </c>
      <c r="D628" s="168" t="s">
        <v>719</v>
      </c>
      <c r="E628" s="168" t="s">
        <v>776</v>
      </c>
      <c r="F628" s="168" t="s">
        <v>777</v>
      </c>
    </row>
    <row r="629" spans="1:6" ht="13" x14ac:dyDescent="0.15">
      <c r="A629" s="169"/>
      <c r="B629" s="169"/>
      <c r="C629" s="169"/>
      <c r="D629" s="169"/>
      <c r="E629" s="169"/>
      <c r="F629" s="169"/>
    </row>
    <row r="630" spans="1:6" ht="13" x14ac:dyDescent="0.15">
      <c r="A630" s="10">
        <v>1</v>
      </c>
      <c r="B630" s="25" t="s">
        <v>56</v>
      </c>
      <c r="C630" s="25">
        <v>1</v>
      </c>
      <c r="D630" s="5" t="s">
        <v>721</v>
      </c>
      <c r="E630" s="5">
        <f>'Item list'!B18</f>
        <v>2.8409888888888895</v>
      </c>
      <c r="F630" s="5">
        <f t="shared" ref="F630:F633" si="75">E630*C630</f>
        <v>2.8409888888888895</v>
      </c>
    </row>
    <row r="631" spans="1:6" ht="13" x14ac:dyDescent="0.15">
      <c r="A631" s="10">
        <v>2</v>
      </c>
      <c r="B631" s="25" t="s">
        <v>744</v>
      </c>
      <c r="C631" s="25">
        <v>0.12</v>
      </c>
      <c r="D631" s="5" t="s">
        <v>183</v>
      </c>
      <c r="E631" s="5">
        <f>'Item list'!B34</f>
        <v>14.069831018518519</v>
      </c>
      <c r="F631" s="5">
        <f t="shared" si="75"/>
        <v>1.6883797222222221</v>
      </c>
    </row>
    <row r="632" spans="1:6" ht="13" x14ac:dyDescent="0.15">
      <c r="A632" s="10">
        <v>3</v>
      </c>
      <c r="B632" s="25" t="s">
        <v>935</v>
      </c>
      <c r="C632" s="25">
        <v>2E-3</v>
      </c>
      <c r="D632" s="5" t="s">
        <v>183</v>
      </c>
      <c r="E632" s="5">
        <f>'Master Price list'!G29</f>
        <v>85</v>
      </c>
      <c r="F632" s="5">
        <f t="shared" si="75"/>
        <v>0.17</v>
      </c>
    </row>
    <row r="633" spans="1:6" ht="13" x14ac:dyDescent="0.15">
      <c r="A633" s="10">
        <v>4</v>
      </c>
      <c r="B633" s="25" t="s">
        <v>834</v>
      </c>
      <c r="C633" s="25">
        <v>2E-3</v>
      </c>
      <c r="D633" s="5" t="s">
        <v>183</v>
      </c>
      <c r="E633" s="5">
        <f>'Master Price list'!G174</f>
        <v>15</v>
      </c>
      <c r="F633" s="5">
        <f t="shared" si="75"/>
        <v>0.03</v>
      </c>
    </row>
    <row r="634" spans="1:6" ht="13" x14ac:dyDescent="0.15">
      <c r="D634" s="170" t="s">
        <v>777</v>
      </c>
      <c r="E634" s="171"/>
      <c r="F634" s="29">
        <f>SUM(F630:F633)</f>
        <v>4.729368611111112</v>
      </c>
    </row>
    <row r="637" spans="1:6" ht="13" x14ac:dyDescent="0.15">
      <c r="A637" s="172" t="s">
        <v>57</v>
      </c>
      <c r="B637" s="173"/>
      <c r="C637" s="171"/>
    </row>
    <row r="638" spans="1:6" ht="13" x14ac:dyDescent="0.15">
      <c r="A638" s="168" t="s">
        <v>773</v>
      </c>
      <c r="B638" s="168" t="s">
        <v>774</v>
      </c>
      <c r="C638" s="168" t="s">
        <v>775</v>
      </c>
      <c r="D638" s="168" t="s">
        <v>719</v>
      </c>
      <c r="E638" s="168" t="s">
        <v>776</v>
      </c>
      <c r="F638" s="168" t="s">
        <v>777</v>
      </c>
    </row>
    <row r="639" spans="1:6" ht="13" x14ac:dyDescent="0.15">
      <c r="A639" s="169"/>
      <c r="B639" s="169"/>
      <c r="C639" s="169"/>
      <c r="D639" s="169"/>
      <c r="E639" s="169"/>
      <c r="F639" s="169"/>
    </row>
    <row r="640" spans="1:6" ht="13" x14ac:dyDescent="0.15">
      <c r="A640" s="10">
        <v>1</v>
      </c>
      <c r="B640" s="25" t="s">
        <v>57</v>
      </c>
      <c r="C640" s="25">
        <v>1</v>
      </c>
      <c r="D640" s="5" t="s">
        <v>721</v>
      </c>
      <c r="E640" s="5">
        <f>'Item list'!B13</f>
        <v>1.1553965277777776</v>
      </c>
      <c r="F640" s="5">
        <f t="shared" ref="F640:F642" si="76">E640*C640</f>
        <v>1.1553965277777776</v>
      </c>
    </row>
    <row r="641" spans="1:6" ht="13" x14ac:dyDescent="0.15">
      <c r="A641" s="10">
        <v>2</v>
      </c>
      <c r="B641" s="25" t="s">
        <v>356</v>
      </c>
      <c r="C641" s="25">
        <v>1</v>
      </c>
      <c r="D641" s="5" t="s">
        <v>721</v>
      </c>
      <c r="E641" s="5">
        <f>'Master Price list'!G69</f>
        <v>0.66508333333333336</v>
      </c>
      <c r="F641" s="5">
        <f t="shared" si="76"/>
        <v>0.66508333333333336</v>
      </c>
    </row>
    <row r="642" spans="1:6" ht="13" x14ac:dyDescent="0.15">
      <c r="A642" s="10">
        <v>3</v>
      </c>
      <c r="B642" s="25" t="s">
        <v>948</v>
      </c>
      <c r="C642" s="25">
        <v>1.4999999999999999E-2</v>
      </c>
      <c r="D642" s="5" t="s">
        <v>183</v>
      </c>
      <c r="E642" s="5">
        <f>'Master Price list'!G32</f>
        <v>40.75</v>
      </c>
      <c r="F642" s="5">
        <f t="shared" si="76"/>
        <v>0.61124999999999996</v>
      </c>
    </row>
    <row r="643" spans="1:6" ht="13" x14ac:dyDescent="0.15">
      <c r="D643" s="170" t="s">
        <v>777</v>
      </c>
      <c r="E643" s="171"/>
      <c r="F643" s="29">
        <f>SUM(F640:F642)</f>
        <v>2.4317298611111111</v>
      </c>
    </row>
    <row r="646" spans="1:6" ht="13" x14ac:dyDescent="0.15">
      <c r="A646" s="172" t="s">
        <v>58</v>
      </c>
      <c r="B646" s="173"/>
      <c r="C646" s="171"/>
    </row>
    <row r="647" spans="1:6" ht="13" x14ac:dyDescent="0.15">
      <c r="A647" s="168" t="s">
        <v>773</v>
      </c>
      <c r="B647" s="168" t="s">
        <v>774</v>
      </c>
      <c r="C647" s="168" t="s">
        <v>775</v>
      </c>
      <c r="D647" s="168" t="s">
        <v>719</v>
      </c>
      <c r="E647" s="168" t="s">
        <v>776</v>
      </c>
      <c r="F647" s="168" t="s">
        <v>777</v>
      </c>
    </row>
    <row r="648" spans="1:6" ht="13" x14ac:dyDescent="0.15">
      <c r="A648" s="169"/>
      <c r="B648" s="169"/>
      <c r="C648" s="169"/>
      <c r="D648" s="169"/>
      <c r="E648" s="169"/>
      <c r="F648" s="169"/>
    </row>
    <row r="649" spans="1:6" ht="13" x14ac:dyDescent="0.15">
      <c r="A649" s="10">
        <v>1</v>
      </c>
      <c r="B649" s="25" t="s">
        <v>58</v>
      </c>
      <c r="C649" s="25">
        <v>1</v>
      </c>
      <c r="D649" s="5" t="s">
        <v>721</v>
      </c>
      <c r="E649" s="5">
        <f>'Item list'!B12</f>
        <v>0.99315277777777766</v>
      </c>
      <c r="F649" s="5">
        <f t="shared" ref="F649:F652" si="77">E649*C649</f>
        <v>0.99315277777777766</v>
      </c>
    </row>
    <row r="650" spans="1:6" ht="13" x14ac:dyDescent="0.15">
      <c r="A650" s="10">
        <v>2</v>
      </c>
      <c r="B650" s="25" t="s">
        <v>356</v>
      </c>
      <c r="C650" s="25">
        <v>1</v>
      </c>
      <c r="D650" s="5" t="s">
        <v>721</v>
      </c>
      <c r="E650" s="5">
        <f>E641</f>
        <v>0.66508333333333336</v>
      </c>
      <c r="F650" s="5">
        <f t="shared" si="77"/>
        <v>0.66508333333333336</v>
      </c>
    </row>
    <row r="651" spans="1:6" ht="13" x14ac:dyDescent="0.15">
      <c r="A651" s="10">
        <v>3</v>
      </c>
      <c r="B651" s="25" t="s">
        <v>883</v>
      </c>
      <c r="C651" s="25">
        <v>5.0000000000000001E-3</v>
      </c>
      <c r="D651" s="5" t="s">
        <v>183</v>
      </c>
      <c r="E651" s="5">
        <f>'Master Price list'!G21</f>
        <v>39.200000000000003</v>
      </c>
      <c r="F651" s="5">
        <f t="shared" si="77"/>
        <v>0.19600000000000001</v>
      </c>
    </row>
    <row r="652" spans="1:6" ht="13" x14ac:dyDescent="0.15">
      <c r="A652" s="10">
        <v>4</v>
      </c>
      <c r="B652" s="25" t="s">
        <v>781</v>
      </c>
      <c r="C652" s="25">
        <v>5.0000000000000001E-3</v>
      </c>
      <c r="D652" s="5" t="s">
        <v>183</v>
      </c>
      <c r="E652" s="5">
        <f>'Master Price list'!G36</f>
        <v>22</v>
      </c>
      <c r="F652" s="5">
        <f t="shared" si="77"/>
        <v>0.11</v>
      </c>
    </row>
    <row r="653" spans="1:6" ht="13" x14ac:dyDescent="0.15">
      <c r="D653" s="170" t="s">
        <v>777</v>
      </c>
      <c r="E653" s="171"/>
      <c r="F653" s="29">
        <f>SUM(F649:F652)</f>
        <v>1.9642361111111111</v>
      </c>
    </row>
    <row r="656" spans="1:6" ht="13" x14ac:dyDescent="0.15">
      <c r="A656" s="172" t="s">
        <v>79</v>
      </c>
      <c r="B656" s="173"/>
      <c r="C656" s="171"/>
      <c r="D656" s="34"/>
      <c r="E656" s="34"/>
      <c r="F656" s="34"/>
    </row>
    <row r="657" spans="1:6" ht="13" x14ac:dyDescent="0.15">
      <c r="A657" s="177" t="s">
        <v>773</v>
      </c>
      <c r="B657" s="178" t="s">
        <v>774</v>
      </c>
      <c r="C657" s="178" t="s">
        <v>775</v>
      </c>
      <c r="D657" s="178" t="s">
        <v>719</v>
      </c>
      <c r="E657" s="178" t="s">
        <v>776</v>
      </c>
      <c r="F657" s="178" t="s">
        <v>777</v>
      </c>
    </row>
    <row r="658" spans="1:6" ht="13" x14ac:dyDescent="0.15">
      <c r="A658" s="169"/>
      <c r="B658" s="179"/>
      <c r="C658" s="179"/>
      <c r="D658" s="179"/>
      <c r="E658" s="179"/>
      <c r="F658" s="179"/>
    </row>
    <row r="659" spans="1:6" ht="13" x14ac:dyDescent="0.15">
      <c r="A659" s="35">
        <v>1</v>
      </c>
      <c r="B659" s="36" t="s">
        <v>945</v>
      </c>
      <c r="C659" s="36">
        <v>1</v>
      </c>
      <c r="D659" s="37" t="s">
        <v>350</v>
      </c>
      <c r="E659" s="37">
        <f t="shared" ref="E659:E660" si="78">E615</f>
        <v>1.9000000000000001</v>
      </c>
      <c r="F659" s="37">
        <f t="shared" ref="F659:F669" si="79">E659*C659</f>
        <v>1.9000000000000001</v>
      </c>
    </row>
    <row r="660" spans="1:6" ht="13" x14ac:dyDescent="0.15">
      <c r="A660" s="35">
        <v>2</v>
      </c>
      <c r="B660" s="36" t="s">
        <v>883</v>
      </c>
      <c r="C660" s="36">
        <v>1.4999999999999999E-2</v>
      </c>
      <c r="D660" s="37" t="s">
        <v>183</v>
      </c>
      <c r="E660" s="37">
        <f t="shared" si="78"/>
        <v>39.200000000000003</v>
      </c>
      <c r="F660" s="37">
        <f t="shared" si="79"/>
        <v>0.58799999999999997</v>
      </c>
    </row>
    <row r="661" spans="1:6" ht="13" x14ac:dyDescent="0.15">
      <c r="A661" s="35">
        <v>3</v>
      </c>
      <c r="B661" s="36" t="s">
        <v>79</v>
      </c>
      <c r="C661" s="36">
        <v>1</v>
      </c>
      <c r="D661" s="37" t="s">
        <v>721</v>
      </c>
      <c r="E661" s="37">
        <f>'Item list'!B25</f>
        <v>9.2651785440613033</v>
      </c>
      <c r="F661" s="37">
        <f t="shared" si="79"/>
        <v>9.2651785440613033</v>
      </c>
    </row>
    <row r="662" spans="1:6" ht="13" x14ac:dyDescent="0.15">
      <c r="A662" s="35">
        <v>4</v>
      </c>
      <c r="B662" s="36" t="s">
        <v>872</v>
      </c>
      <c r="C662" s="36">
        <v>5.0000000000000001E-3</v>
      </c>
      <c r="D662" s="37" t="s">
        <v>183</v>
      </c>
      <c r="E662" s="37">
        <f>'Master Price list'!G147</f>
        <v>11.333333333333334</v>
      </c>
      <c r="F662" s="37">
        <f t="shared" si="79"/>
        <v>5.6666666666666671E-2</v>
      </c>
    </row>
    <row r="663" spans="1:6" ht="13" x14ac:dyDescent="0.15">
      <c r="A663" s="35">
        <v>5</v>
      </c>
      <c r="B663" s="36" t="s">
        <v>49</v>
      </c>
      <c r="C663" s="36">
        <v>0.12</v>
      </c>
      <c r="D663" s="37" t="s">
        <v>183</v>
      </c>
      <c r="E663" s="37">
        <f t="shared" ref="E663:E664" si="80">E619</f>
        <v>11.440000000000001</v>
      </c>
      <c r="F663" s="37">
        <f t="shared" si="79"/>
        <v>1.3728</v>
      </c>
    </row>
    <row r="664" spans="1:6" ht="13" x14ac:dyDescent="0.15">
      <c r="A664" s="35">
        <v>6</v>
      </c>
      <c r="B664" s="36" t="s">
        <v>741</v>
      </c>
      <c r="C664" s="36">
        <v>1</v>
      </c>
      <c r="D664" s="37" t="s">
        <v>721</v>
      </c>
      <c r="E664" s="37">
        <f t="shared" si="80"/>
        <v>1.7691117647058825</v>
      </c>
      <c r="F664" s="37">
        <f t="shared" si="79"/>
        <v>1.7691117647058825</v>
      </c>
    </row>
    <row r="665" spans="1:6" ht="13" x14ac:dyDescent="0.15">
      <c r="A665" s="35">
        <v>7</v>
      </c>
      <c r="B665" s="36" t="s">
        <v>898</v>
      </c>
      <c r="C665" s="36">
        <v>5.0000000000000001E-3</v>
      </c>
      <c r="D665" s="37" t="s">
        <v>183</v>
      </c>
      <c r="E665" s="37">
        <f>'Item list'!B54</f>
        <v>24.999809523809528</v>
      </c>
      <c r="F665" s="37">
        <f t="shared" si="79"/>
        <v>0.12499904761904765</v>
      </c>
    </row>
    <row r="666" spans="1:6" ht="13" x14ac:dyDescent="0.15">
      <c r="A666" s="35">
        <v>8</v>
      </c>
      <c r="B666" s="36" t="s">
        <v>631</v>
      </c>
      <c r="C666" s="36">
        <v>5.0000000000000001E-3</v>
      </c>
      <c r="D666" s="37" t="s">
        <v>183</v>
      </c>
      <c r="E666" s="37">
        <f>'Master Price list'!G179</f>
        <v>7</v>
      </c>
      <c r="F666" s="37">
        <f t="shared" si="79"/>
        <v>3.5000000000000003E-2</v>
      </c>
    </row>
    <row r="667" spans="1:6" ht="13" x14ac:dyDescent="0.15">
      <c r="A667" s="35">
        <v>9</v>
      </c>
      <c r="B667" s="36" t="s">
        <v>67</v>
      </c>
      <c r="C667" s="36">
        <v>0.01</v>
      </c>
      <c r="D667" s="37" t="s">
        <v>183</v>
      </c>
      <c r="E667" s="37">
        <f>'Master Price list'!G202</f>
        <v>4.8</v>
      </c>
      <c r="F667" s="37">
        <f t="shared" si="79"/>
        <v>4.8000000000000001E-2</v>
      </c>
    </row>
    <row r="668" spans="1:6" ht="13" x14ac:dyDescent="0.15">
      <c r="A668" s="35">
        <v>10</v>
      </c>
      <c r="B668" s="36" t="s">
        <v>850</v>
      </c>
      <c r="C668" s="36">
        <v>1.4999999999999999E-2</v>
      </c>
      <c r="D668" s="37" t="s">
        <v>183</v>
      </c>
      <c r="E668" s="37">
        <f>'Master Price list'!G152</f>
        <v>4.0999999999999996</v>
      </c>
      <c r="F668" s="37">
        <f t="shared" si="79"/>
        <v>6.1499999999999992E-2</v>
      </c>
    </row>
    <row r="669" spans="1:6" ht="13" x14ac:dyDescent="0.15">
      <c r="A669" s="35">
        <v>11</v>
      </c>
      <c r="B669" s="36" t="s">
        <v>758</v>
      </c>
      <c r="C669" s="36">
        <v>2.5000000000000001E-3</v>
      </c>
      <c r="D669" s="37" t="s">
        <v>183</v>
      </c>
      <c r="E669" s="37">
        <f>'Item list'!B48</f>
        <v>6.1349999999999998</v>
      </c>
      <c r="F669" s="37">
        <f t="shared" si="79"/>
        <v>1.53375E-2</v>
      </c>
    </row>
    <row r="670" spans="1:6" ht="13" x14ac:dyDescent="0.15">
      <c r="A670" s="21"/>
      <c r="B670" s="21"/>
      <c r="C670" s="38"/>
      <c r="D670" s="180" t="s">
        <v>777</v>
      </c>
      <c r="E670" s="179"/>
      <c r="F670" s="39">
        <f>SUM(F659:F669)</f>
        <v>15.2365935230529</v>
      </c>
    </row>
    <row r="673" spans="1:6" ht="13" x14ac:dyDescent="0.15">
      <c r="A673" s="172" t="s">
        <v>80</v>
      </c>
      <c r="B673" s="173"/>
      <c r="C673" s="171"/>
      <c r="D673" s="34"/>
      <c r="E673" s="34"/>
      <c r="F673" s="34"/>
    </row>
    <row r="674" spans="1:6" ht="13" x14ac:dyDescent="0.15">
      <c r="A674" s="177" t="s">
        <v>773</v>
      </c>
      <c r="B674" s="178" t="s">
        <v>774</v>
      </c>
      <c r="C674" s="178" t="s">
        <v>775</v>
      </c>
      <c r="D674" s="178" t="s">
        <v>719</v>
      </c>
      <c r="E674" s="178" t="s">
        <v>776</v>
      </c>
      <c r="F674" s="178" t="s">
        <v>777</v>
      </c>
    </row>
    <row r="675" spans="1:6" ht="13" x14ac:dyDescent="0.15">
      <c r="A675" s="169"/>
      <c r="B675" s="179"/>
      <c r="C675" s="179"/>
      <c r="D675" s="179"/>
      <c r="E675" s="179"/>
      <c r="F675" s="179"/>
    </row>
    <row r="676" spans="1:6" ht="13" x14ac:dyDescent="0.15">
      <c r="A676" s="35">
        <v>1</v>
      </c>
      <c r="B676" s="36" t="s">
        <v>945</v>
      </c>
      <c r="C676" s="36">
        <v>1</v>
      </c>
      <c r="D676" s="37" t="s">
        <v>350</v>
      </c>
      <c r="E676" s="37">
        <f t="shared" ref="E676:E677" si="81">E659</f>
        <v>1.9000000000000001</v>
      </c>
      <c r="F676" s="37">
        <f t="shared" ref="F676:F686" si="82">E676*C676</f>
        <v>1.9000000000000001</v>
      </c>
    </row>
    <row r="677" spans="1:6" ht="13" x14ac:dyDescent="0.15">
      <c r="A677" s="35">
        <v>2</v>
      </c>
      <c r="B677" s="36" t="s">
        <v>883</v>
      </c>
      <c r="C677" s="36">
        <v>1.4999999999999999E-2</v>
      </c>
      <c r="D677" s="37" t="s">
        <v>183</v>
      </c>
      <c r="E677" s="37">
        <f t="shared" si="81"/>
        <v>39.200000000000003</v>
      </c>
      <c r="F677" s="37">
        <f t="shared" si="82"/>
        <v>0.58799999999999997</v>
      </c>
    </row>
    <row r="678" spans="1:6" ht="13" x14ac:dyDescent="0.15">
      <c r="A678" s="35">
        <v>3</v>
      </c>
      <c r="B678" s="36" t="s">
        <v>80</v>
      </c>
      <c r="C678" s="36">
        <v>1</v>
      </c>
      <c r="D678" s="37" t="s">
        <v>721</v>
      </c>
      <c r="E678" s="37">
        <f>'Item list'!B26</f>
        <v>6.0969334726576099</v>
      </c>
      <c r="F678" s="37">
        <f t="shared" si="82"/>
        <v>6.0969334726576099</v>
      </c>
    </row>
    <row r="679" spans="1:6" ht="13" x14ac:dyDescent="0.15">
      <c r="A679" s="35">
        <v>4</v>
      </c>
      <c r="B679" s="36" t="s">
        <v>872</v>
      </c>
      <c r="C679" s="36">
        <v>5.0000000000000001E-3</v>
      </c>
      <c r="D679" s="37" t="s">
        <v>183</v>
      </c>
      <c r="E679" s="37">
        <f t="shared" ref="E679:E686" si="83">E662</f>
        <v>11.333333333333334</v>
      </c>
      <c r="F679" s="37">
        <f t="shared" si="82"/>
        <v>5.6666666666666671E-2</v>
      </c>
    </row>
    <row r="680" spans="1:6" ht="13" x14ac:dyDescent="0.15">
      <c r="A680" s="35">
        <v>5</v>
      </c>
      <c r="B680" s="36" t="s">
        <v>49</v>
      </c>
      <c r="C680" s="36">
        <v>0.12</v>
      </c>
      <c r="D680" s="37" t="s">
        <v>183</v>
      </c>
      <c r="E680" s="37">
        <f t="shared" si="83"/>
        <v>11.440000000000001</v>
      </c>
      <c r="F680" s="37">
        <f t="shared" si="82"/>
        <v>1.3728</v>
      </c>
    </row>
    <row r="681" spans="1:6" ht="13" x14ac:dyDescent="0.15">
      <c r="A681" s="35">
        <v>6</v>
      </c>
      <c r="B681" s="36" t="s">
        <v>741</v>
      </c>
      <c r="C681" s="36">
        <v>1</v>
      </c>
      <c r="D681" s="37" t="s">
        <v>721</v>
      </c>
      <c r="E681" s="37">
        <f t="shared" si="83"/>
        <v>1.7691117647058825</v>
      </c>
      <c r="F681" s="37">
        <f t="shared" si="82"/>
        <v>1.7691117647058825</v>
      </c>
    </row>
    <row r="682" spans="1:6" ht="13" x14ac:dyDescent="0.15">
      <c r="A682" s="35">
        <v>7</v>
      </c>
      <c r="B682" s="36" t="s">
        <v>898</v>
      </c>
      <c r="C682" s="36">
        <v>5.0000000000000001E-3</v>
      </c>
      <c r="D682" s="37" t="s">
        <v>183</v>
      </c>
      <c r="E682" s="37">
        <f t="shared" si="83"/>
        <v>24.999809523809528</v>
      </c>
      <c r="F682" s="37">
        <f t="shared" si="82"/>
        <v>0.12499904761904765</v>
      </c>
    </row>
    <row r="683" spans="1:6" ht="13" x14ac:dyDescent="0.15">
      <c r="A683" s="35">
        <v>8</v>
      </c>
      <c r="B683" s="36" t="s">
        <v>631</v>
      </c>
      <c r="C683" s="36">
        <v>5.0000000000000001E-3</v>
      </c>
      <c r="D683" s="37" t="s">
        <v>183</v>
      </c>
      <c r="E683" s="37">
        <f t="shared" si="83"/>
        <v>7</v>
      </c>
      <c r="F683" s="37">
        <f t="shared" si="82"/>
        <v>3.5000000000000003E-2</v>
      </c>
    </row>
    <row r="684" spans="1:6" ht="13" x14ac:dyDescent="0.15">
      <c r="A684" s="35">
        <v>9</v>
      </c>
      <c r="B684" s="36" t="s">
        <v>67</v>
      </c>
      <c r="C684" s="36">
        <v>0.01</v>
      </c>
      <c r="D684" s="37" t="s">
        <v>183</v>
      </c>
      <c r="E684" s="37">
        <f t="shared" si="83"/>
        <v>4.8</v>
      </c>
      <c r="F684" s="37">
        <f t="shared" si="82"/>
        <v>4.8000000000000001E-2</v>
      </c>
    </row>
    <row r="685" spans="1:6" ht="13" x14ac:dyDescent="0.15">
      <c r="A685" s="35">
        <v>10</v>
      </c>
      <c r="B685" s="36" t="s">
        <v>850</v>
      </c>
      <c r="C685" s="36">
        <v>1.4999999999999999E-2</v>
      </c>
      <c r="D685" s="37" t="s">
        <v>183</v>
      </c>
      <c r="E685" s="37">
        <f t="shared" si="83"/>
        <v>4.0999999999999996</v>
      </c>
      <c r="F685" s="37">
        <f t="shared" si="82"/>
        <v>6.1499999999999992E-2</v>
      </c>
    </row>
    <row r="686" spans="1:6" ht="13" x14ac:dyDescent="0.15">
      <c r="A686" s="35">
        <v>11</v>
      </c>
      <c r="B686" s="36" t="s">
        <v>758</v>
      </c>
      <c r="C686" s="36">
        <v>2.5000000000000001E-3</v>
      </c>
      <c r="D686" s="37" t="s">
        <v>183</v>
      </c>
      <c r="E686" s="37">
        <f t="shared" si="83"/>
        <v>6.1349999999999998</v>
      </c>
      <c r="F686" s="37">
        <f t="shared" si="82"/>
        <v>1.53375E-2</v>
      </c>
    </row>
    <row r="687" spans="1:6" ht="13" x14ac:dyDescent="0.15">
      <c r="A687" s="21"/>
      <c r="B687" s="21"/>
      <c r="C687" s="38"/>
      <c r="D687" s="180" t="s">
        <v>777</v>
      </c>
      <c r="E687" s="179"/>
      <c r="F687" s="39">
        <f>SUM(F676:F686)</f>
        <v>12.068348451649207</v>
      </c>
    </row>
    <row r="690" spans="1:6" ht="13" x14ac:dyDescent="0.15">
      <c r="A690" s="172" t="s">
        <v>82</v>
      </c>
      <c r="B690" s="173"/>
      <c r="C690" s="171"/>
      <c r="D690" s="34"/>
      <c r="E690" s="34"/>
      <c r="F690" s="34"/>
    </row>
    <row r="691" spans="1:6" ht="13" x14ac:dyDescent="0.15">
      <c r="A691" s="177" t="s">
        <v>773</v>
      </c>
      <c r="B691" s="178" t="s">
        <v>774</v>
      </c>
      <c r="C691" s="178" t="s">
        <v>775</v>
      </c>
      <c r="D691" s="178" t="s">
        <v>719</v>
      </c>
      <c r="E691" s="178" t="s">
        <v>776</v>
      </c>
      <c r="F691" s="178" t="s">
        <v>777</v>
      </c>
    </row>
    <row r="692" spans="1:6" ht="13" x14ac:dyDescent="0.15">
      <c r="A692" s="169"/>
      <c r="B692" s="179"/>
      <c r="C692" s="179"/>
      <c r="D692" s="179"/>
      <c r="E692" s="179"/>
      <c r="F692" s="179"/>
    </row>
    <row r="693" spans="1:6" ht="13" x14ac:dyDescent="0.15">
      <c r="A693" s="35">
        <v>1</v>
      </c>
      <c r="B693" s="36" t="s">
        <v>927</v>
      </c>
      <c r="C693" s="36">
        <v>2</v>
      </c>
      <c r="D693" s="37" t="s">
        <v>350</v>
      </c>
      <c r="E693" s="37">
        <f>'Master Price list'!G70</f>
        <v>0.85</v>
      </c>
      <c r="F693" s="37">
        <f t="shared" ref="F693:F701" si="84">E693*C693</f>
        <v>1.7</v>
      </c>
    </row>
    <row r="694" spans="1:6" ht="13" x14ac:dyDescent="0.15">
      <c r="A694" s="35">
        <v>2</v>
      </c>
      <c r="B694" s="36" t="s">
        <v>548</v>
      </c>
      <c r="C694" s="36">
        <v>0.01</v>
      </c>
      <c r="D694" s="37" t="s">
        <v>183</v>
      </c>
      <c r="E694" s="37">
        <f>'Master Price list'!G143</f>
        <v>31</v>
      </c>
      <c r="F694" s="37">
        <f t="shared" si="84"/>
        <v>0.31</v>
      </c>
    </row>
    <row r="695" spans="1:6" ht="13" x14ac:dyDescent="0.15">
      <c r="A695" s="35">
        <v>3</v>
      </c>
      <c r="B695" s="36" t="s">
        <v>948</v>
      </c>
      <c r="C695" s="36">
        <v>0.02</v>
      </c>
      <c r="D695" s="37" t="s">
        <v>721</v>
      </c>
      <c r="E695" s="37">
        <f>'Master Price list'!G32</f>
        <v>40.75</v>
      </c>
      <c r="F695" s="37">
        <f t="shared" si="84"/>
        <v>0.81500000000000006</v>
      </c>
    </row>
    <row r="696" spans="1:6" ht="13" x14ac:dyDescent="0.15">
      <c r="A696" s="35">
        <v>4</v>
      </c>
      <c r="B696" s="36" t="s">
        <v>949</v>
      </c>
      <c r="C696" s="36">
        <v>0.5</v>
      </c>
      <c r="D696" s="37" t="s">
        <v>183</v>
      </c>
      <c r="E696" s="37">
        <f>'Item list'!B28</f>
        <v>5.9708999999999994</v>
      </c>
      <c r="F696" s="37">
        <f t="shared" si="84"/>
        <v>2.9854499999999997</v>
      </c>
    </row>
    <row r="697" spans="1:6" ht="13" x14ac:dyDescent="0.15">
      <c r="A697" s="35">
        <v>5</v>
      </c>
      <c r="B697" s="36" t="s">
        <v>950</v>
      </c>
      <c r="C697" s="36">
        <v>0.05</v>
      </c>
      <c r="D697" s="37" t="s">
        <v>183</v>
      </c>
      <c r="E697" s="37">
        <f>'Item list'!B23</f>
        <v>34.446361111111123</v>
      </c>
      <c r="F697" s="37">
        <f t="shared" si="84"/>
        <v>1.7223180555555562</v>
      </c>
    </row>
    <row r="698" spans="1:6" ht="13" x14ac:dyDescent="0.15">
      <c r="A698" s="35">
        <v>6</v>
      </c>
      <c r="B698" s="36" t="s">
        <v>741</v>
      </c>
      <c r="C698" s="36">
        <v>1</v>
      </c>
      <c r="D698" s="37" t="s">
        <v>721</v>
      </c>
      <c r="E698" s="37">
        <f>E681</f>
        <v>1.7691117647058825</v>
      </c>
      <c r="F698" s="37">
        <f t="shared" si="84"/>
        <v>1.7691117647058825</v>
      </c>
    </row>
    <row r="699" spans="1:6" ht="13" x14ac:dyDescent="0.15">
      <c r="A699" s="35">
        <v>7</v>
      </c>
      <c r="B699" s="36" t="s">
        <v>611</v>
      </c>
      <c r="C699" s="36">
        <v>2E-3</v>
      </c>
      <c r="D699" s="37" t="s">
        <v>183</v>
      </c>
      <c r="E699" s="37">
        <f>E618</f>
        <v>11.5</v>
      </c>
      <c r="F699" s="37">
        <f t="shared" si="84"/>
        <v>2.3E-2</v>
      </c>
    </row>
    <row r="700" spans="1:6" ht="13" x14ac:dyDescent="0.15">
      <c r="A700" s="35">
        <v>8</v>
      </c>
      <c r="B700" s="36" t="s">
        <v>843</v>
      </c>
      <c r="C700" s="36">
        <v>0.1</v>
      </c>
      <c r="D700" s="37" t="s">
        <v>183</v>
      </c>
      <c r="E700" s="37">
        <f>'Master Price list'!G192</f>
        <v>8.1999999999999993</v>
      </c>
      <c r="F700" s="37">
        <f t="shared" si="84"/>
        <v>0.82</v>
      </c>
    </row>
    <row r="701" spans="1:6" ht="13" x14ac:dyDescent="0.15">
      <c r="A701" s="35">
        <v>9</v>
      </c>
      <c r="B701" s="36" t="s">
        <v>883</v>
      </c>
      <c r="C701" s="36">
        <v>0.01</v>
      </c>
      <c r="D701" s="37" t="s">
        <v>183</v>
      </c>
      <c r="E701" s="37">
        <f>E677</f>
        <v>39.200000000000003</v>
      </c>
      <c r="F701" s="37">
        <f t="shared" si="84"/>
        <v>0.39200000000000002</v>
      </c>
    </row>
    <row r="702" spans="1:6" ht="13" x14ac:dyDescent="0.15">
      <c r="A702" s="21"/>
      <c r="B702" s="21"/>
      <c r="C702" s="38"/>
      <c r="D702" s="180" t="s">
        <v>777</v>
      </c>
      <c r="E702" s="179"/>
      <c r="F702" s="39">
        <f>SUM(F693:F701)</f>
        <v>10.536879820261438</v>
      </c>
    </row>
    <row r="705" spans="1:6" ht="13" x14ac:dyDescent="0.15">
      <c r="A705" s="172" t="s">
        <v>83</v>
      </c>
      <c r="B705" s="173"/>
      <c r="C705" s="171"/>
      <c r="D705" s="34"/>
      <c r="E705" s="34"/>
      <c r="F705" s="34"/>
    </row>
    <row r="706" spans="1:6" ht="13" x14ac:dyDescent="0.15">
      <c r="A706" s="177" t="s">
        <v>773</v>
      </c>
      <c r="B706" s="178" t="s">
        <v>774</v>
      </c>
      <c r="C706" s="178" t="s">
        <v>775</v>
      </c>
      <c r="D706" s="178" t="s">
        <v>719</v>
      </c>
      <c r="E706" s="178" t="s">
        <v>776</v>
      </c>
      <c r="F706" s="178" t="s">
        <v>777</v>
      </c>
    </row>
    <row r="707" spans="1:6" ht="13" x14ac:dyDescent="0.15">
      <c r="A707" s="169"/>
      <c r="B707" s="179"/>
      <c r="C707" s="179"/>
      <c r="D707" s="179"/>
      <c r="E707" s="179"/>
      <c r="F707" s="179"/>
    </row>
    <row r="708" spans="1:6" ht="13" x14ac:dyDescent="0.15">
      <c r="A708" s="35">
        <v>1</v>
      </c>
      <c r="B708" s="36" t="s">
        <v>927</v>
      </c>
      <c r="C708" s="36">
        <v>2</v>
      </c>
      <c r="D708" s="37" t="s">
        <v>350</v>
      </c>
      <c r="E708" s="37">
        <f>E693</f>
        <v>0.85</v>
      </c>
      <c r="F708" s="37">
        <f t="shared" ref="F708:F716" si="85">E708*C708</f>
        <v>1.7</v>
      </c>
    </row>
    <row r="709" spans="1:6" ht="13" x14ac:dyDescent="0.15">
      <c r="A709" s="35">
        <v>2</v>
      </c>
      <c r="B709" s="36" t="s">
        <v>951</v>
      </c>
      <c r="C709" s="36">
        <v>0.01</v>
      </c>
      <c r="D709" s="37" t="s">
        <v>183</v>
      </c>
      <c r="E709" s="37">
        <f>'Master Price list'!G86</f>
        <v>5.3</v>
      </c>
      <c r="F709" s="37">
        <f t="shared" si="85"/>
        <v>5.2999999999999999E-2</v>
      </c>
    </row>
    <row r="710" spans="1:6" ht="13" x14ac:dyDescent="0.15">
      <c r="A710" s="35">
        <v>3</v>
      </c>
      <c r="B710" s="36" t="s">
        <v>810</v>
      </c>
      <c r="C710" s="36">
        <v>0.01</v>
      </c>
      <c r="D710" s="37" t="s">
        <v>183</v>
      </c>
      <c r="E710" s="37">
        <f>'Master Price list'!G24</f>
        <v>50</v>
      </c>
      <c r="F710" s="37">
        <f t="shared" si="85"/>
        <v>0.5</v>
      </c>
    </row>
    <row r="711" spans="1:6" ht="13" x14ac:dyDescent="0.15">
      <c r="A711" s="35">
        <v>4</v>
      </c>
      <c r="B711" s="36" t="s">
        <v>948</v>
      </c>
      <c r="C711" s="36">
        <v>0.01</v>
      </c>
      <c r="D711" s="37" t="s">
        <v>183</v>
      </c>
      <c r="E711" s="37">
        <f>'Master Price list'!G32</f>
        <v>40.75</v>
      </c>
      <c r="F711" s="37">
        <f t="shared" si="85"/>
        <v>0.40750000000000003</v>
      </c>
    </row>
    <row r="712" spans="1:6" ht="13" x14ac:dyDescent="0.15">
      <c r="A712" s="35">
        <v>5</v>
      </c>
      <c r="B712" s="36" t="s">
        <v>874</v>
      </c>
      <c r="C712" s="36">
        <v>0.01</v>
      </c>
      <c r="D712" s="37" t="s">
        <v>183</v>
      </c>
      <c r="E712" s="37">
        <f>'Master Price list'!G33</f>
        <v>95</v>
      </c>
      <c r="F712" s="37">
        <f t="shared" si="85"/>
        <v>0.95000000000000007</v>
      </c>
    </row>
    <row r="713" spans="1:6" ht="13" x14ac:dyDescent="0.15">
      <c r="A713" s="35">
        <v>6</v>
      </c>
      <c r="B713" s="36" t="s">
        <v>741</v>
      </c>
      <c r="C713" s="36">
        <v>1</v>
      </c>
      <c r="D713" s="37" t="s">
        <v>721</v>
      </c>
      <c r="E713" s="37">
        <f t="shared" ref="E713:E716" si="86">E698</f>
        <v>1.7691117647058825</v>
      </c>
      <c r="F713" s="37">
        <f t="shared" si="85"/>
        <v>1.7691117647058825</v>
      </c>
    </row>
    <row r="714" spans="1:6" ht="13" x14ac:dyDescent="0.15">
      <c r="A714" s="35">
        <v>7</v>
      </c>
      <c r="B714" s="36" t="s">
        <v>611</v>
      </c>
      <c r="C714" s="36">
        <v>2E-3</v>
      </c>
      <c r="D714" s="37" t="s">
        <v>183</v>
      </c>
      <c r="E714" s="37">
        <f t="shared" si="86"/>
        <v>11.5</v>
      </c>
      <c r="F714" s="37">
        <f t="shared" si="85"/>
        <v>2.3E-2</v>
      </c>
    </row>
    <row r="715" spans="1:6" ht="13" x14ac:dyDescent="0.15">
      <c r="A715" s="35">
        <v>8</v>
      </c>
      <c r="B715" s="36" t="s">
        <v>843</v>
      </c>
      <c r="C715" s="36">
        <v>0.1</v>
      </c>
      <c r="D715" s="37" t="s">
        <v>183</v>
      </c>
      <c r="E715" s="37">
        <f t="shared" si="86"/>
        <v>8.1999999999999993</v>
      </c>
      <c r="F715" s="37">
        <f t="shared" si="85"/>
        <v>0.82</v>
      </c>
    </row>
    <row r="716" spans="1:6" ht="13" x14ac:dyDescent="0.15">
      <c r="A716" s="35">
        <v>9</v>
      </c>
      <c r="B716" s="36" t="s">
        <v>883</v>
      </c>
      <c r="C716" s="36">
        <v>0.01</v>
      </c>
      <c r="D716" s="37" t="s">
        <v>183</v>
      </c>
      <c r="E716" s="37">
        <f t="shared" si="86"/>
        <v>39.200000000000003</v>
      </c>
      <c r="F716" s="37">
        <f t="shared" si="85"/>
        <v>0.39200000000000002</v>
      </c>
    </row>
    <row r="717" spans="1:6" ht="13" x14ac:dyDescent="0.15">
      <c r="A717" s="21"/>
      <c r="B717" s="21"/>
      <c r="C717" s="38"/>
      <c r="D717" s="180" t="s">
        <v>777</v>
      </c>
      <c r="E717" s="179"/>
      <c r="F717" s="39">
        <f>SUM(F708:F716)</f>
        <v>6.6146117647058835</v>
      </c>
    </row>
    <row r="720" spans="1:6" ht="13" x14ac:dyDescent="0.15">
      <c r="A720" s="172" t="s">
        <v>84</v>
      </c>
      <c r="B720" s="173"/>
      <c r="C720" s="171"/>
      <c r="D720" s="34"/>
      <c r="E720" s="34"/>
      <c r="F720" s="34"/>
    </row>
    <row r="721" spans="1:6" ht="13" x14ac:dyDescent="0.15">
      <c r="A721" s="177" t="s">
        <v>773</v>
      </c>
      <c r="B721" s="178" t="s">
        <v>774</v>
      </c>
      <c r="C721" s="178" t="s">
        <v>775</v>
      </c>
      <c r="D721" s="178" t="s">
        <v>719</v>
      </c>
      <c r="E721" s="178" t="s">
        <v>776</v>
      </c>
      <c r="F721" s="178" t="s">
        <v>777</v>
      </c>
    </row>
    <row r="722" spans="1:6" ht="13" x14ac:dyDescent="0.15">
      <c r="A722" s="169"/>
      <c r="B722" s="179"/>
      <c r="C722" s="179"/>
      <c r="D722" s="179"/>
      <c r="E722" s="179"/>
      <c r="F722" s="179"/>
    </row>
    <row r="723" spans="1:6" ht="13" x14ac:dyDescent="0.15">
      <c r="A723" s="35">
        <v>1</v>
      </c>
      <c r="B723" s="36" t="s">
        <v>927</v>
      </c>
      <c r="C723" s="36">
        <v>2</v>
      </c>
      <c r="D723" s="37" t="s">
        <v>350</v>
      </c>
      <c r="E723" s="37">
        <f>E708</f>
        <v>0.85</v>
      </c>
      <c r="F723" s="37">
        <f t="shared" ref="F723:F731" si="87">E723*C723</f>
        <v>1.7</v>
      </c>
    </row>
    <row r="724" spans="1:6" ht="13" x14ac:dyDescent="0.15">
      <c r="A724" s="35">
        <v>2</v>
      </c>
      <c r="B724" s="36" t="s">
        <v>548</v>
      </c>
      <c r="C724" s="36">
        <v>0.01</v>
      </c>
      <c r="D724" s="37" t="s">
        <v>183</v>
      </c>
      <c r="E724" s="37">
        <f>E694</f>
        <v>31</v>
      </c>
      <c r="F724" s="37">
        <f t="shared" si="87"/>
        <v>0.31</v>
      </c>
    </row>
    <row r="725" spans="1:6" ht="13" x14ac:dyDescent="0.15">
      <c r="A725" s="35">
        <v>3</v>
      </c>
      <c r="B725" s="36" t="s">
        <v>948</v>
      </c>
      <c r="C725" s="36">
        <v>0.01</v>
      </c>
      <c r="D725" s="37" t="s">
        <v>183</v>
      </c>
      <c r="E725" s="37">
        <f>E711</f>
        <v>40.75</v>
      </c>
      <c r="F725" s="37">
        <f t="shared" si="87"/>
        <v>0.40750000000000003</v>
      </c>
    </row>
    <row r="726" spans="1:6" ht="13" x14ac:dyDescent="0.15">
      <c r="A726" s="35">
        <v>4</v>
      </c>
      <c r="B726" s="36" t="s">
        <v>68</v>
      </c>
      <c r="C726" s="36">
        <v>7.4999999999999997E-2</v>
      </c>
      <c r="D726" s="37" t="s">
        <v>183</v>
      </c>
      <c r="E726" s="37">
        <f>'Master Price list'!G7</f>
        <v>45.7</v>
      </c>
      <c r="F726" s="37">
        <f t="shared" si="87"/>
        <v>3.4275000000000002</v>
      </c>
    </row>
    <row r="727" spans="1:6" ht="13" x14ac:dyDescent="0.15">
      <c r="A727" s="35">
        <v>5</v>
      </c>
      <c r="B727" s="36" t="s">
        <v>952</v>
      </c>
      <c r="C727" s="36">
        <v>0.01</v>
      </c>
      <c r="D727" s="37" t="s">
        <v>183</v>
      </c>
      <c r="E727" s="37">
        <f>'Master Price list'!G96</f>
        <v>46.551724137931039</v>
      </c>
      <c r="F727" s="37">
        <f t="shared" si="87"/>
        <v>0.46551724137931039</v>
      </c>
    </row>
    <row r="728" spans="1:6" ht="13" x14ac:dyDescent="0.15">
      <c r="A728" s="35">
        <v>6</v>
      </c>
      <c r="B728" s="36" t="s">
        <v>741</v>
      </c>
      <c r="C728" s="36">
        <v>1</v>
      </c>
      <c r="D728" s="37" t="s">
        <v>721</v>
      </c>
      <c r="E728" s="37">
        <f t="shared" ref="E728:E731" si="88">E713</f>
        <v>1.7691117647058825</v>
      </c>
      <c r="F728" s="37">
        <f t="shared" si="87"/>
        <v>1.7691117647058825</v>
      </c>
    </row>
    <row r="729" spans="1:6" ht="13" x14ac:dyDescent="0.15">
      <c r="A729" s="35">
        <v>7</v>
      </c>
      <c r="B729" s="36" t="s">
        <v>611</v>
      </c>
      <c r="C729" s="36">
        <v>2E-3</v>
      </c>
      <c r="D729" s="37" t="s">
        <v>183</v>
      </c>
      <c r="E729" s="37">
        <f t="shared" si="88"/>
        <v>11.5</v>
      </c>
      <c r="F729" s="37">
        <f t="shared" si="87"/>
        <v>2.3E-2</v>
      </c>
    </row>
    <row r="730" spans="1:6" ht="13" x14ac:dyDescent="0.15">
      <c r="A730" s="35">
        <v>8</v>
      </c>
      <c r="B730" s="36" t="s">
        <v>843</v>
      </c>
      <c r="C730" s="36">
        <v>0.1</v>
      </c>
      <c r="D730" s="37" t="s">
        <v>183</v>
      </c>
      <c r="E730" s="37">
        <f t="shared" si="88"/>
        <v>8.1999999999999993</v>
      </c>
      <c r="F730" s="37">
        <f t="shared" si="87"/>
        <v>0.82</v>
      </c>
    </row>
    <row r="731" spans="1:6" ht="13" x14ac:dyDescent="0.15">
      <c r="A731" s="35">
        <v>9</v>
      </c>
      <c r="B731" s="36" t="s">
        <v>883</v>
      </c>
      <c r="C731" s="36">
        <v>0.01</v>
      </c>
      <c r="D731" s="37" t="s">
        <v>183</v>
      </c>
      <c r="E731" s="37">
        <f t="shared" si="88"/>
        <v>39.200000000000003</v>
      </c>
      <c r="F731" s="37">
        <f t="shared" si="87"/>
        <v>0.39200000000000002</v>
      </c>
    </row>
    <row r="732" spans="1:6" ht="13" x14ac:dyDescent="0.15">
      <c r="A732" s="21"/>
      <c r="B732" s="21"/>
      <c r="C732" s="38"/>
      <c r="D732" s="180" t="s">
        <v>777</v>
      </c>
      <c r="E732" s="179"/>
      <c r="F732" s="39">
        <f>SUM(F723:F731)</f>
        <v>9.3146290060851928</v>
      </c>
    </row>
    <row r="736" spans="1:6" ht="13" x14ac:dyDescent="0.15">
      <c r="A736" s="172" t="s">
        <v>86</v>
      </c>
      <c r="B736" s="173"/>
      <c r="C736" s="171"/>
      <c r="D736" s="34"/>
      <c r="E736" s="34"/>
      <c r="F736" s="34"/>
    </row>
    <row r="737" spans="1:6" ht="13" x14ac:dyDescent="0.15">
      <c r="A737" s="177" t="s">
        <v>773</v>
      </c>
      <c r="B737" s="178" t="s">
        <v>774</v>
      </c>
      <c r="C737" s="178" t="s">
        <v>775</v>
      </c>
      <c r="D737" s="178" t="s">
        <v>719</v>
      </c>
      <c r="E737" s="178" t="s">
        <v>776</v>
      </c>
      <c r="F737" s="178" t="s">
        <v>777</v>
      </c>
    </row>
    <row r="738" spans="1:6" ht="13" x14ac:dyDescent="0.15">
      <c r="A738" s="169"/>
      <c r="B738" s="179"/>
      <c r="C738" s="179"/>
      <c r="D738" s="179"/>
      <c r="E738" s="179"/>
      <c r="F738" s="179"/>
    </row>
    <row r="739" spans="1:6" ht="13" x14ac:dyDescent="0.15">
      <c r="A739" s="35">
        <v>1</v>
      </c>
      <c r="B739" s="36" t="s">
        <v>953</v>
      </c>
      <c r="C739" s="36">
        <v>1</v>
      </c>
      <c r="D739" s="37" t="s">
        <v>350</v>
      </c>
      <c r="E739" s="37">
        <f>'Item list'!B10</f>
        <v>2.0792454361054769</v>
      </c>
      <c r="F739" s="37">
        <f t="shared" ref="F739:F746" si="89">E739*C739</f>
        <v>2.0792454361054769</v>
      </c>
    </row>
    <row r="740" spans="1:6" ht="13" x14ac:dyDescent="0.15">
      <c r="A740" s="35">
        <v>2</v>
      </c>
      <c r="B740" s="36" t="s">
        <v>948</v>
      </c>
      <c r="C740" s="36">
        <v>0.04</v>
      </c>
      <c r="D740" s="37" t="s">
        <v>183</v>
      </c>
      <c r="E740" s="37">
        <f>E725</f>
        <v>40.75</v>
      </c>
      <c r="F740" s="37">
        <f t="shared" si="89"/>
        <v>1.6300000000000001</v>
      </c>
    </row>
    <row r="741" spans="1:6" ht="13" x14ac:dyDescent="0.15">
      <c r="A741" s="35">
        <v>3</v>
      </c>
      <c r="B741" s="36" t="s">
        <v>67</v>
      </c>
      <c r="C741" s="36">
        <v>1.4999999999999999E-2</v>
      </c>
      <c r="D741" s="37" t="s">
        <v>183</v>
      </c>
      <c r="E741" s="37">
        <f>E684</f>
        <v>4.8</v>
      </c>
      <c r="F741" s="37">
        <f t="shared" si="89"/>
        <v>7.1999999999999995E-2</v>
      </c>
    </row>
    <row r="742" spans="1:6" ht="13" x14ac:dyDescent="0.15">
      <c r="A742" s="35">
        <v>4</v>
      </c>
      <c r="B742" s="36" t="s">
        <v>820</v>
      </c>
      <c r="C742" s="36">
        <v>0.06</v>
      </c>
      <c r="D742" s="37" t="s">
        <v>183</v>
      </c>
      <c r="E742" s="37">
        <f>'Master Price list'!G166</f>
        <v>17</v>
      </c>
      <c r="F742" s="37">
        <f t="shared" si="89"/>
        <v>1.02</v>
      </c>
    </row>
    <row r="743" spans="1:6" ht="13" x14ac:dyDescent="0.15">
      <c r="A743" s="35">
        <v>5</v>
      </c>
      <c r="B743" s="36" t="s">
        <v>954</v>
      </c>
      <c r="C743" s="36">
        <v>0.04</v>
      </c>
      <c r="D743" s="37" t="s">
        <v>183</v>
      </c>
      <c r="E743" s="37">
        <f>'Master Price list'!G10</f>
        <v>42.94</v>
      </c>
      <c r="F743" s="37">
        <f t="shared" si="89"/>
        <v>1.7176</v>
      </c>
    </row>
    <row r="744" spans="1:6" ht="13" x14ac:dyDescent="0.15">
      <c r="A744" s="35">
        <v>6</v>
      </c>
      <c r="B744" s="36" t="s">
        <v>741</v>
      </c>
      <c r="C744" s="36">
        <v>1</v>
      </c>
      <c r="D744" s="37" t="s">
        <v>721</v>
      </c>
      <c r="E744" s="37">
        <f t="shared" ref="E744:E745" si="90">E728</f>
        <v>1.7691117647058825</v>
      </c>
      <c r="F744" s="37">
        <f t="shared" si="89"/>
        <v>1.7691117647058825</v>
      </c>
    </row>
    <row r="745" spans="1:6" ht="13" x14ac:dyDescent="0.15">
      <c r="A745" s="35">
        <v>7</v>
      </c>
      <c r="B745" s="36" t="s">
        <v>611</v>
      </c>
      <c r="C745" s="36">
        <v>2E-3</v>
      </c>
      <c r="D745" s="37" t="s">
        <v>183</v>
      </c>
      <c r="E745" s="37">
        <f t="shared" si="90"/>
        <v>11.5</v>
      </c>
      <c r="F745" s="37">
        <f t="shared" si="89"/>
        <v>2.3E-2</v>
      </c>
    </row>
    <row r="746" spans="1:6" ht="13" x14ac:dyDescent="0.15">
      <c r="A746" s="35">
        <v>8</v>
      </c>
      <c r="B746" s="36" t="s">
        <v>748</v>
      </c>
      <c r="C746" s="36">
        <v>0.01</v>
      </c>
      <c r="D746" s="37" t="s">
        <v>183</v>
      </c>
      <c r="E746" s="37">
        <f>'Item list'!B38</f>
        <v>46.530916666666656</v>
      </c>
      <c r="F746" s="37">
        <f t="shared" si="89"/>
        <v>0.46530916666666655</v>
      </c>
    </row>
    <row r="747" spans="1:6" ht="13" x14ac:dyDescent="0.15">
      <c r="A747" s="21"/>
      <c r="B747" s="21"/>
      <c r="C747" s="38"/>
      <c r="D747" s="180" t="s">
        <v>777</v>
      </c>
      <c r="E747" s="179"/>
      <c r="F747" s="39">
        <f>SUM(F739:F746)</f>
        <v>8.7762663674780246</v>
      </c>
    </row>
    <row r="750" spans="1:6" ht="13" x14ac:dyDescent="0.15">
      <c r="A750" s="172" t="s">
        <v>87</v>
      </c>
      <c r="B750" s="173"/>
      <c r="C750" s="171"/>
      <c r="D750" s="34"/>
      <c r="E750" s="34"/>
      <c r="F750" s="34"/>
    </row>
    <row r="751" spans="1:6" ht="13" x14ac:dyDescent="0.15">
      <c r="A751" s="177" t="s">
        <v>773</v>
      </c>
      <c r="B751" s="178" t="s">
        <v>774</v>
      </c>
      <c r="C751" s="178" t="s">
        <v>775</v>
      </c>
      <c r="D751" s="178" t="s">
        <v>719</v>
      </c>
      <c r="E751" s="178" t="s">
        <v>776</v>
      </c>
      <c r="F751" s="178" t="s">
        <v>777</v>
      </c>
    </row>
    <row r="752" spans="1:6" ht="13" x14ac:dyDescent="0.15">
      <c r="A752" s="169"/>
      <c r="B752" s="179"/>
      <c r="C752" s="179"/>
      <c r="D752" s="179"/>
      <c r="E752" s="179"/>
      <c r="F752" s="179"/>
    </row>
    <row r="753" spans="1:6" ht="13" x14ac:dyDescent="0.15">
      <c r="A753" s="35">
        <v>1</v>
      </c>
      <c r="B753" s="36" t="s">
        <v>953</v>
      </c>
      <c r="C753" s="36">
        <v>1</v>
      </c>
      <c r="D753" s="37" t="s">
        <v>350</v>
      </c>
      <c r="E753" s="37">
        <f>E739</f>
        <v>2.0792454361054769</v>
      </c>
      <c r="F753" s="37">
        <f t="shared" ref="F753:F758" si="91">E753*C753</f>
        <v>2.0792454361054769</v>
      </c>
    </row>
    <row r="754" spans="1:6" ht="13" x14ac:dyDescent="0.15">
      <c r="A754" s="35">
        <v>2</v>
      </c>
      <c r="B754" s="36" t="s">
        <v>872</v>
      </c>
      <c r="C754" s="36">
        <v>1.4999999999999999E-2</v>
      </c>
      <c r="D754" s="37" t="s">
        <v>183</v>
      </c>
      <c r="E754" s="37">
        <f>E679</f>
        <v>11.333333333333334</v>
      </c>
      <c r="F754" s="37">
        <f t="shared" si="91"/>
        <v>0.17</v>
      </c>
    </row>
    <row r="755" spans="1:6" ht="13" x14ac:dyDescent="0.15">
      <c r="A755" s="35">
        <v>3</v>
      </c>
      <c r="B755" s="36" t="s">
        <v>76</v>
      </c>
      <c r="C755" s="36">
        <v>2</v>
      </c>
      <c r="D755" s="37" t="s">
        <v>350</v>
      </c>
      <c r="E755" s="37">
        <f>'Master Price list'!G207</f>
        <v>0.5</v>
      </c>
      <c r="F755" s="37">
        <f t="shared" si="91"/>
        <v>1</v>
      </c>
    </row>
    <row r="756" spans="1:6" ht="13" x14ac:dyDescent="0.15">
      <c r="A756" s="35">
        <v>4</v>
      </c>
      <c r="B756" s="36" t="s">
        <v>68</v>
      </c>
      <c r="C756" s="36">
        <v>7.4999999999999997E-2</v>
      </c>
      <c r="D756" s="37" t="s">
        <v>183</v>
      </c>
      <c r="E756" s="37">
        <f>'Master Price list'!G7</f>
        <v>45.7</v>
      </c>
      <c r="F756" s="37">
        <f t="shared" si="91"/>
        <v>3.4275000000000002</v>
      </c>
    </row>
    <row r="757" spans="1:6" ht="13" x14ac:dyDescent="0.15">
      <c r="A757" s="35">
        <v>5</v>
      </c>
      <c r="B757" s="36" t="s">
        <v>741</v>
      </c>
      <c r="C757" s="36">
        <v>1</v>
      </c>
      <c r="D757" s="37" t="s">
        <v>721</v>
      </c>
      <c r="E757" s="37">
        <f t="shared" ref="E757:E758" si="92">E744</f>
        <v>1.7691117647058825</v>
      </c>
      <c r="F757" s="37">
        <f t="shared" si="91"/>
        <v>1.7691117647058825</v>
      </c>
    </row>
    <row r="758" spans="1:6" ht="13" x14ac:dyDescent="0.15">
      <c r="A758" s="35">
        <v>6</v>
      </c>
      <c r="B758" s="36" t="s">
        <v>611</v>
      </c>
      <c r="C758" s="36">
        <v>2E-3</v>
      </c>
      <c r="D758" s="37" t="s">
        <v>183</v>
      </c>
      <c r="E758" s="37">
        <f t="shared" si="92"/>
        <v>11.5</v>
      </c>
      <c r="F758" s="37">
        <f t="shared" si="91"/>
        <v>2.3E-2</v>
      </c>
    </row>
    <row r="759" spans="1:6" ht="13" x14ac:dyDescent="0.15">
      <c r="A759" s="21"/>
      <c r="B759" s="21"/>
      <c r="C759" s="38"/>
      <c r="D759" s="180" t="s">
        <v>777</v>
      </c>
      <c r="E759" s="179"/>
      <c r="F759" s="39">
        <f>SUM(F753:F758)</f>
        <v>8.4688572008113603</v>
      </c>
    </row>
    <row r="762" spans="1:6" ht="13" x14ac:dyDescent="0.15">
      <c r="A762" s="172" t="s">
        <v>88</v>
      </c>
      <c r="B762" s="173"/>
      <c r="C762" s="171"/>
      <c r="D762" s="34"/>
      <c r="E762" s="34"/>
      <c r="F762" s="34"/>
    </row>
    <row r="763" spans="1:6" ht="13" x14ac:dyDescent="0.15">
      <c r="A763" s="177" t="s">
        <v>773</v>
      </c>
      <c r="B763" s="178" t="s">
        <v>774</v>
      </c>
      <c r="C763" s="178" t="s">
        <v>775</v>
      </c>
      <c r="D763" s="178" t="s">
        <v>719</v>
      </c>
      <c r="E763" s="178" t="s">
        <v>776</v>
      </c>
      <c r="F763" s="178" t="s">
        <v>777</v>
      </c>
    </row>
    <row r="764" spans="1:6" ht="13" x14ac:dyDescent="0.15">
      <c r="A764" s="169"/>
      <c r="B764" s="179"/>
      <c r="C764" s="179"/>
      <c r="D764" s="179"/>
      <c r="E764" s="179"/>
      <c r="F764" s="179"/>
    </row>
    <row r="765" spans="1:6" ht="13" x14ac:dyDescent="0.15">
      <c r="A765" s="35">
        <v>1</v>
      </c>
      <c r="B765" s="36" t="s">
        <v>953</v>
      </c>
      <c r="C765" s="36">
        <v>1</v>
      </c>
      <c r="D765" s="37" t="s">
        <v>350</v>
      </c>
      <c r="E765" s="37">
        <f>E753</f>
        <v>2.0792454361054769</v>
      </c>
      <c r="F765" s="37">
        <f t="shared" ref="F765:F770" si="93">E765*C765</f>
        <v>2.0792454361054769</v>
      </c>
    </row>
    <row r="766" spans="1:6" ht="13" x14ac:dyDescent="0.15">
      <c r="A766" s="35">
        <v>2</v>
      </c>
      <c r="B766" s="36" t="s">
        <v>955</v>
      </c>
      <c r="C766" s="36">
        <v>0.03</v>
      </c>
      <c r="D766" s="37" t="s">
        <v>183</v>
      </c>
      <c r="E766" s="37">
        <f>'Master Price list'!G22</f>
        <v>37.888888888888886</v>
      </c>
      <c r="F766" s="37">
        <f t="shared" si="93"/>
        <v>1.1366666666666665</v>
      </c>
    </row>
    <row r="767" spans="1:6" ht="13" x14ac:dyDescent="0.15">
      <c r="A767" s="35">
        <v>3</v>
      </c>
      <c r="B767" s="36" t="s">
        <v>69</v>
      </c>
      <c r="C767" s="36">
        <v>0.04</v>
      </c>
      <c r="D767" s="37" t="s">
        <v>350</v>
      </c>
      <c r="E767" s="37">
        <f>'Master Price list'!G8</f>
        <v>39.380000000000003</v>
      </c>
      <c r="F767" s="37">
        <f t="shared" si="93"/>
        <v>1.5752000000000002</v>
      </c>
    </row>
    <row r="768" spans="1:6" ht="13" x14ac:dyDescent="0.15">
      <c r="A768" s="35">
        <v>4</v>
      </c>
      <c r="B768" s="36" t="s">
        <v>67</v>
      </c>
      <c r="C768" s="36">
        <v>0.04</v>
      </c>
      <c r="D768" s="37" t="s">
        <v>183</v>
      </c>
      <c r="E768" s="37">
        <f>E741</f>
        <v>4.8</v>
      </c>
      <c r="F768" s="37">
        <f t="shared" si="93"/>
        <v>0.192</v>
      </c>
    </row>
    <row r="769" spans="1:6" ht="13" x14ac:dyDescent="0.15">
      <c r="A769" s="35">
        <v>5</v>
      </c>
      <c r="B769" s="36" t="s">
        <v>741</v>
      </c>
      <c r="C769" s="36">
        <v>1</v>
      </c>
      <c r="D769" s="37" t="s">
        <v>721</v>
      </c>
      <c r="E769" s="37">
        <f t="shared" ref="E769:E770" si="94">E757</f>
        <v>1.7691117647058825</v>
      </c>
      <c r="F769" s="37">
        <f t="shared" si="93"/>
        <v>1.7691117647058825</v>
      </c>
    </row>
    <row r="770" spans="1:6" ht="13" x14ac:dyDescent="0.15">
      <c r="A770" s="35">
        <v>6</v>
      </c>
      <c r="B770" s="36" t="s">
        <v>611</v>
      </c>
      <c r="C770" s="36">
        <v>2E-3</v>
      </c>
      <c r="D770" s="37" t="s">
        <v>183</v>
      </c>
      <c r="E770" s="37">
        <f t="shared" si="94"/>
        <v>11.5</v>
      </c>
      <c r="F770" s="37">
        <f t="shared" si="93"/>
        <v>2.3E-2</v>
      </c>
    </row>
    <row r="771" spans="1:6" ht="13" x14ac:dyDescent="0.15">
      <c r="A771" s="21"/>
      <c r="B771" s="21"/>
      <c r="C771" s="38"/>
      <c r="D771" s="180" t="s">
        <v>777</v>
      </c>
      <c r="E771" s="179"/>
      <c r="F771" s="39">
        <f>SUM(F765:F770)</f>
        <v>6.775223867478025</v>
      </c>
    </row>
    <row r="774" spans="1:6" ht="13" x14ac:dyDescent="0.15">
      <c r="A774" s="172" t="s">
        <v>89</v>
      </c>
      <c r="B774" s="173"/>
      <c r="C774" s="171"/>
      <c r="D774" s="34"/>
      <c r="E774" s="34"/>
      <c r="F774" s="34"/>
    </row>
    <row r="775" spans="1:6" ht="13" x14ac:dyDescent="0.15">
      <c r="A775" s="177" t="s">
        <v>773</v>
      </c>
      <c r="B775" s="178" t="s">
        <v>774</v>
      </c>
      <c r="C775" s="178" t="s">
        <v>775</v>
      </c>
      <c r="D775" s="178" t="s">
        <v>719</v>
      </c>
      <c r="E775" s="178" t="s">
        <v>776</v>
      </c>
      <c r="F775" s="178" t="s">
        <v>777</v>
      </c>
    </row>
    <row r="776" spans="1:6" ht="13" x14ac:dyDescent="0.15">
      <c r="A776" s="169"/>
      <c r="B776" s="179"/>
      <c r="C776" s="179"/>
      <c r="D776" s="179"/>
      <c r="E776" s="179"/>
      <c r="F776" s="179"/>
    </row>
    <row r="777" spans="1:6" ht="13" x14ac:dyDescent="0.15">
      <c r="A777" s="35">
        <v>1</v>
      </c>
      <c r="B777" s="36" t="s">
        <v>953</v>
      </c>
      <c r="C777" s="36">
        <v>1</v>
      </c>
      <c r="D777" s="37" t="s">
        <v>350</v>
      </c>
      <c r="E777" s="37">
        <f t="shared" ref="E777:E778" si="95">E765</f>
        <v>2.0792454361054769</v>
      </c>
      <c r="F777" s="37">
        <f t="shared" ref="F777:F784" si="96">E777*C777</f>
        <v>2.0792454361054769</v>
      </c>
    </row>
    <row r="778" spans="1:6" ht="13" x14ac:dyDescent="0.15">
      <c r="A778" s="35">
        <v>2</v>
      </c>
      <c r="B778" s="36" t="s">
        <v>955</v>
      </c>
      <c r="C778" s="36">
        <v>0.03</v>
      </c>
      <c r="D778" s="37" t="s">
        <v>183</v>
      </c>
      <c r="E778" s="37">
        <f t="shared" si="95"/>
        <v>37.888888888888886</v>
      </c>
      <c r="F778" s="37">
        <f t="shared" si="96"/>
        <v>1.1366666666666665</v>
      </c>
    </row>
    <row r="779" spans="1:6" ht="13" x14ac:dyDescent="0.15">
      <c r="A779" s="35">
        <v>3</v>
      </c>
      <c r="B779" s="36" t="s">
        <v>842</v>
      </c>
      <c r="C779" s="36">
        <v>0.05</v>
      </c>
      <c r="D779" s="37" t="s">
        <v>350</v>
      </c>
      <c r="E779" s="37">
        <f>'Master Price list'!G17</f>
        <v>128</v>
      </c>
      <c r="F779" s="37">
        <f t="shared" si="96"/>
        <v>6.4</v>
      </c>
    </row>
    <row r="780" spans="1:6" ht="13" x14ac:dyDescent="0.15">
      <c r="A780" s="35">
        <v>4</v>
      </c>
      <c r="B780" s="36" t="s">
        <v>379</v>
      </c>
      <c r="C780" s="36">
        <v>0.01</v>
      </c>
      <c r="D780" s="37" t="s">
        <v>183</v>
      </c>
      <c r="E780" s="37">
        <f>'Master Price list'!G76</f>
        <v>42.200854700854705</v>
      </c>
      <c r="F780" s="37">
        <f t="shared" si="96"/>
        <v>0.42200854700854706</v>
      </c>
    </row>
    <row r="781" spans="1:6" ht="13" x14ac:dyDescent="0.15">
      <c r="A781" s="35">
        <v>5</v>
      </c>
      <c r="B781" s="36" t="s">
        <v>833</v>
      </c>
      <c r="C781" s="36">
        <v>0.01</v>
      </c>
      <c r="D781" s="37" t="s">
        <v>183</v>
      </c>
      <c r="E781" s="37">
        <f>'Master Price list'!G189</f>
        <v>3.3</v>
      </c>
      <c r="F781" s="37">
        <f t="shared" si="96"/>
        <v>3.3000000000000002E-2</v>
      </c>
    </row>
    <row r="782" spans="1:6" ht="13" x14ac:dyDescent="0.15">
      <c r="A782" s="35">
        <v>6</v>
      </c>
      <c r="B782" s="36" t="s">
        <v>741</v>
      </c>
      <c r="C782" s="36">
        <v>1</v>
      </c>
      <c r="D782" s="37" t="s">
        <v>721</v>
      </c>
      <c r="E782" s="37">
        <f>E769</f>
        <v>1.7691117647058825</v>
      </c>
      <c r="F782" s="37">
        <f t="shared" si="96"/>
        <v>1.7691117647058825</v>
      </c>
    </row>
    <row r="783" spans="1:6" ht="13" x14ac:dyDescent="0.15">
      <c r="A783" s="35">
        <v>7</v>
      </c>
      <c r="B783" s="36" t="s">
        <v>834</v>
      </c>
      <c r="C783" s="36">
        <v>5.0000000000000001E-3</v>
      </c>
      <c r="D783" s="37" t="s">
        <v>183</v>
      </c>
      <c r="E783" s="37">
        <f>'Master Price list'!G174</f>
        <v>15</v>
      </c>
      <c r="F783" s="37">
        <f t="shared" si="96"/>
        <v>7.4999999999999997E-2</v>
      </c>
    </row>
    <row r="784" spans="1:6" ht="13" x14ac:dyDescent="0.15">
      <c r="A784" s="35">
        <v>8</v>
      </c>
      <c r="B784" s="36" t="s">
        <v>611</v>
      </c>
      <c r="C784" s="36">
        <v>2E-3</v>
      </c>
      <c r="D784" s="37" t="s">
        <v>183</v>
      </c>
      <c r="E784" s="37">
        <f>E770</f>
        <v>11.5</v>
      </c>
      <c r="F784" s="37">
        <f t="shared" si="96"/>
        <v>2.3E-2</v>
      </c>
    </row>
    <row r="785" spans="1:6" ht="13" x14ac:dyDescent="0.15">
      <c r="A785" s="21"/>
      <c r="B785" s="21"/>
      <c r="C785" s="38"/>
      <c r="D785" s="180" t="s">
        <v>777</v>
      </c>
      <c r="E785" s="179"/>
      <c r="F785" s="39">
        <f>SUM(F777:F784)</f>
        <v>11.938032414486571</v>
      </c>
    </row>
    <row r="788" spans="1:6" ht="13" x14ac:dyDescent="0.15">
      <c r="A788" s="172" t="s">
        <v>90</v>
      </c>
      <c r="B788" s="173"/>
      <c r="C788" s="171"/>
      <c r="D788" s="34"/>
      <c r="E788" s="34"/>
      <c r="F788" s="34"/>
    </row>
    <row r="789" spans="1:6" ht="13" x14ac:dyDescent="0.15">
      <c r="A789" s="177" t="s">
        <v>773</v>
      </c>
      <c r="B789" s="178" t="s">
        <v>774</v>
      </c>
      <c r="C789" s="178" t="s">
        <v>775</v>
      </c>
      <c r="D789" s="178" t="s">
        <v>719</v>
      </c>
      <c r="E789" s="178" t="s">
        <v>776</v>
      </c>
      <c r="F789" s="178" t="s">
        <v>777</v>
      </c>
    </row>
    <row r="790" spans="1:6" ht="13" x14ac:dyDescent="0.15">
      <c r="A790" s="169"/>
      <c r="B790" s="179"/>
      <c r="C790" s="179"/>
      <c r="D790" s="179"/>
      <c r="E790" s="179"/>
      <c r="F790" s="179"/>
    </row>
    <row r="791" spans="1:6" ht="13" x14ac:dyDescent="0.15">
      <c r="A791" s="35">
        <v>1</v>
      </c>
      <c r="B791" s="36" t="s">
        <v>770</v>
      </c>
      <c r="C791" s="36">
        <v>1</v>
      </c>
      <c r="D791" s="37" t="s">
        <v>350</v>
      </c>
      <c r="E791" s="37">
        <f>'Item list'!B61</f>
        <v>2.2885682814302193</v>
      </c>
      <c r="F791" s="37">
        <f t="shared" ref="F791:F795" si="97">E791*C791</f>
        <v>2.2885682814302193</v>
      </c>
    </row>
    <row r="792" spans="1:6" ht="13" x14ac:dyDescent="0.15">
      <c r="A792" s="35">
        <v>2</v>
      </c>
      <c r="B792" s="36" t="s">
        <v>754</v>
      </c>
      <c r="C792" s="36">
        <v>0.03</v>
      </c>
      <c r="D792" s="37" t="s">
        <v>183</v>
      </c>
      <c r="E792" s="37">
        <f>'Item list'!B44</f>
        <v>113.1349705882353</v>
      </c>
      <c r="F792" s="37">
        <f t="shared" si="97"/>
        <v>3.3940491176470591</v>
      </c>
    </row>
    <row r="793" spans="1:6" ht="13" x14ac:dyDescent="0.15">
      <c r="A793" s="35">
        <v>3</v>
      </c>
      <c r="B793" s="36" t="s">
        <v>956</v>
      </c>
      <c r="C793" s="36">
        <v>0.01</v>
      </c>
      <c r="D793" s="37" t="s">
        <v>183</v>
      </c>
      <c r="E793" s="37">
        <f>'Master Price list'!G199</f>
        <v>105</v>
      </c>
      <c r="F793" s="37">
        <f t="shared" si="97"/>
        <v>1.05</v>
      </c>
    </row>
    <row r="794" spans="1:6" ht="13" x14ac:dyDescent="0.15">
      <c r="A794" s="35">
        <v>4</v>
      </c>
      <c r="B794" s="36" t="s">
        <v>957</v>
      </c>
      <c r="C794" s="36">
        <v>1.4999999999999999E-2</v>
      </c>
      <c r="D794" s="37" t="s">
        <v>183</v>
      </c>
      <c r="E794" s="37">
        <f>'Master Price list'!G31</f>
        <v>38.1</v>
      </c>
      <c r="F794" s="37">
        <f t="shared" si="97"/>
        <v>0.57150000000000001</v>
      </c>
    </row>
    <row r="795" spans="1:6" ht="13" x14ac:dyDescent="0.15">
      <c r="A795" s="35">
        <v>5</v>
      </c>
      <c r="B795" s="36" t="s">
        <v>916</v>
      </c>
      <c r="C795" s="36">
        <v>0.01</v>
      </c>
      <c r="D795" s="37" t="s">
        <v>183</v>
      </c>
      <c r="E795" s="37">
        <f>'Master Price list'!G37</f>
        <v>55</v>
      </c>
      <c r="F795" s="37">
        <f t="shared" si="97"/>
        <v>0.55000000000000004</v>
      </c>
    </row>
    <row r="796" spans="1:6" ht="13" x14ac:dyDescent="0.15">
      <c r="A796" s="21"/>
      <c r="B796" s="21"/>
      <c r="C796" s="38"/>
      <c r="D796" s="180" t="s">
        <v>777</v>
      </c>
      <c r="E796" s="179"/>
      <c r="F796" s="39">
        <f>SUM(F791:F795)</f>
        <v>7.8541173990772783</v>
      </c>
    </row>
    <row r="799" spans="1:6" ht="13" x14ac:dyDescent="0.15">
      <c r="A799" s="172" t="s">
        <v>91</v>
      </c>
      <c r="B799" s="173"/>
      <c r="C799" s="171"/>
      <c r="D799" s="34"/>
      <c r="E799" s="34"/>
      <c r="F799" s="34"/>
    </row>
    <row r="800" spans="1:6" ht="13" x14ac:dyDescent="0.15">
      <c r="A800" s="177" t="s">
        <v>773</v>
      </c>
      <c r="B800" s="178" t="s">
        <v>774</v>
      </c>
      <c r="C800" s="178" t="s">
        <v>775</v>
      </c>
      <c r="D800" s="178" t="s">
        <v>719</v>
      </c>
      <c r="E800" s="178" t="s">
        <v>776</v>
      </c>
      <c r="F800" s="178" t="s">
        <v>777</v>
      </c>
    </row>
    <row r="801" spans="1:6" ht="13" x14ac:dyDescent="0.15">
      <c r="A801" s="169"/>
      <c r="B801" s="179"/>
      <c r="C801" s="179"/>
      <c r="D801" s="179"/>
      <c r="E801" s="179"/>
      <c r="F801" s="179"/>
    </row>
    <row r="802" spans="1:6" ht="13" x14ac:dyDescent="0.15">
      <c r="A802" s="35">
        <v>1</v>
      </c>
      <c r="B802" s="36" t="s">
        <v>953</v>
      </c>
      <c r="C802" s="36">
        <v>1</v>
      </c>
      <c r="D802" s="37" t="s">
        <v>350</v>
      </c>
      <c r="E802" s="37">
        <f t="shared" ref="E802:E803" si="98">E777</f>
        <v>2.0792454361054769</v>
      </c>
      <c r="F802" s="37">
        <f t="shared" ref="F802:F803" si="99">E802*C802</f>
        <v>2.0792454361054769</v>
      </c>
    </row>
    <row r="803" spans="1:6" ht="13" x14ac:dyDescent="0.15">
      <c r="A803" s="35">
        <v>2</v>
      </c>
      <c r="B803" s="36" t="s">
        <v>955</v>
      </c>
      <c r="C803" s="36">
        <v>0.03</v>
      </c>
      <c r="D803" s="37" t="s">
        <v>183</v>
      </c>
      <c r="E803" s="37">
        <f t="shared" si="98"/>
        <v>37.888888888888886</v>
      </c>
      <c r="F803" s="37">
        <f t="shared" si="99"/>
        <v>1.1366666666666665</v>
      </c>
    </row>
    <row r="804" spans="1:6" ht="13" x14ac:dyDescent="0.15">
      <c r="A804" s="21"/>
      <c r="B804" s="21"/>
      <c r="C804" s="38"/>
      <c r="D804" s="180" t="s">
        <v>777</v>
      </c>
      <c r="E804" s="179"/>
      <c r="F804" s="39">
        <f>SUM(F802:F803)</f>
        <v>3.2159121027721431</v>
      </c>
    </row>
    <row r="805" spans="1:6" ht="13" x14ac:dyDescent="0.15">
      <c r="A805" s="21"/>
      <c r="B805" s="21"/>
      <c r="C805" s="21"/>
      <c r="D805" s="30"/>
      <c r="E805" s="30"/>
      <c r="F805" s="40"/>
    </row>
    <row r="806" spans="1:6" ht="13" x14ac:dyDescent="0.15">
      <c r="A806" s="21"/>
      <c r="B806" s="21"/>
      <c r="C806" s="21"/>
      <c r="D806" s="30"/>
      <c r="E806" s="30"/>
      <c r="F806" s="40"/>
    </row>
    <row r="807" spans="1:6" ht="13" x14ac:dyDescent="0.15">
      <c r="A807" s="172" t="s">
        <v>93</v>
      </c>
      <c r="B807" s="173"/>
      <c r="C807" s="171"/>
      <c r="D807" s="34"/>
      <c r="E807" s="34"/>
      <c r="F807" s="34"/>
    </row>
    <row r="808" spans="1:6" ht="13" x14ac:dyDescent="0.15">
      <c r="A808" s="177" t="s">
        <v>773</v>
      </c>
      <c r="B808" s="178" t="s">
        <v>774</v>
      </c>
      <c r="C808" s="178" t="s">
        <v>775</v>
      </c>
      <c r="D808" s="178" t="s">
        <v>719</v>
      </c>
      <c r="E808" s="178" t="s">
        <v>776</v>
      </c>
      <c r="F808" s="178" t="s">
        <v>777</v>
      </c>
    </row>
    <row r="809" spans="1:6" ht="13" x14ac:dyDescent="0.15">
      <c r="A809" s="169"/>
      <c r="B809" s="179"/>
      <c r="C809" s="179"/>
      <c r="D809" s="179"/>
      <c r="E809" s="179"/>
      <c r="F809" s="179"/>
    </row>
    <row r="810" spans="1:6" ht="13" x14ac:dyDescent="0.15">
      <c r="A810" s="35">
        <v>1</v>
      </c>
      <c r="B810" s="36" t="s">
        <v>958</v>
      </c>
      <c r="C810" s="36">
        <v>1</v>
      </c>
      <c r="D810" s="37" t="s">
        <v>350</v>
      </c>
      <c r="E810" s="37">
        <f>'Master Price list'!G68</f>
        <v>0.66833333333333333</v>
      </c>
      <c r="F810" s="37">
        <f t="shared" ref="F810:F812" si="100">E810*C810</f>
        <v>0.66833333333333333</v>
      </c>
    </row>
    <row r="811" spans="1:6" ht="13" x14ac:dyDescent="0.15">
      <c r="A811" s="35">
        <v>2</v>
      </c>
      <c r="B811" s="36" t="s">
        <v>883</v>
      </c>
      <c r="C811" s="41">
        <v>0.01</v>
      </c>
      <c r="D811" s="37" t="s">
        <v>183</v>
      </c>
      <c r="E811" s="37">
        <f>'Master Price list'!G21</f>
        <v>39.200000000000003</v>
      </c>
      <c r="F811" s="37">
        <f t="shared" si="100"/>
        <v>0.39200000000000002</v>
      </c>
    </row>
    <row r="812" spans="1:6" ht="13" x14ac:dyDescent="0.15">
      <c r="A812" s="35">
        <v>3</v>
      </c>
      <c r="B812" s="36" t="s">
        <v>765</v>
      </c>
      <c r="C812" s="36">
        <v>1.4999999999999999E-2</v>
      </c>
      <c r="D812" s="37" t="s">
        <v>183</v>
      </c>
      <c r="E812" s="37">
        <f>'Item list'!B55</f>
        <v>35.526000000000003</v>
      </c>
      <c r="F812" s="37">
        <f t="shared" si="100"/>
        <v>0.53289000000000009</v>
      </c>
    </row>
    <row r="813" spans="1:6" ht="13" x14ac:dyDescent="0.15">
      <c r="A813" s="21"/>
      <c r="B813" s="21"/>
      <c r="C813" s="38"/>
      <c r="D813" s="180" t="s">
        <v>777</v>
      </c>
      <c r="E813" s="179"/>
      <c r="F813" s="39">
        <f>SUM(F810:F812)</f>
        <v>1.5932233333333334</v>
      </c>
    </row>
    <row r="814" spans="1:6" ht="13" x14ac:dyDescent="0.15">
      <c r="A814" s="21"/>
      <c r="B814" s="21"/>
      <c r="C814" s="21"/>
      <c r="D814" s="30"/>
      <c r="E814" s="30"/>
      <c r="F814" s="40"/>
    </row>
    <row r="815" spans="1:6" ht="13" x14ac:dyDescent="0.15">
      <c r="A815" s="21"/>
      <c r="B815" s="21"/>
      <c r="C815" s="21"/>
      <c r="D815" s="30"/>
      <c r="E815" s="30"/>
      <c r="F815" s="40"/>
    </row>
    <row r="816" spans="1:6" ht="13" x14ac:dyDescent="0.15">
      <c r="A816" s="172" t="s">
        <v>94</v>
      </c>
      <c r="B816" s="173"/>
      <c r="C816" s="171"/>
      <c r="D816" s="34"/>
      <c r="E816" s="34"/>
      <c r="F816" s="34"/>
    </row>
    <row r="817" spans="1:6" ht="13" x14ac:dyDescent="0.15">
      <c r="A817" s="177" t="s">
        <v>773</v>
      </c>
      <c r="B817" s="178" t="s">
        <v>774</v>
      </c>
      <c r="C817" s="178" t="s">
        <v>775</v>
      </c>
      <c r="D817" s="178" t="s">
        <v>719</v>
      </c>
      <c r="E817" s="178" t="s">
        <v>776</v>
      </c>
      <c r="F817" s="178" t="s">
        <v>777</v>
      </c>
    </row>
    <row r="818" spans="1:6" ht="13" x14ac:dyDescent="0.15">
      <c r="A818" s="169"/>
      <c r="B818" s="179"/>
      <c r="C818" s="179"/>
      <c r="D818" s="179"/>
      <c r="E818" s="179"/>
      <c r="F818" s="179"/>
    </row>
    <row r="819" spans="1:6" ht="13" x14ac:dyDescent="0.15">
      <c r="A819" s="35">
        <v>1</v>
      </c>
      <c r="B819" s="36" t="s">
        <v>958</v>
      </c>
      <c r="C819" s="36">
        <v>1</v>
      </c>
      <c r="D819" s="37" t="s">
        <v>350</v>
      </c>
      <c r="E819" s="37">
        <f>'Master Price list'!G68</f>
        <v>0.66833333333333333</v>
      </c>
      <c r="F819" s="37">
        <f t="shared" ref="F819:F822" si="101">E819*C819</f>
        <v>0.66833333333333333</v>
      </c>
    </row>
    <row r="820" spans="1:6" ht="13" x14ac:dyDescent="0.15">
      <c r="A820" s="35">
        <v>2</v>
      </c>
      <c r="B820" s="36" t="s">
        <v>771</v>
      </c>
      <c r="C820" s="36">
        <v>1</v>
      </c>
      <c r="D820" s="37" t="s">
        <v>721</v>
      </c>
      <c r="E820" s="37">
        <f>'Item list'!B2</f>
        <v>3.6284444444444444</v>
      </c>
      <c r="F820" s="37">
        <f t="shared" si="101"/>
        <v>3.6284444444444444</v>
      </c>
    </row>
    <row r="821" spans="1:6" ht="13" x14ac:dyDescent="0.15">
      <c r="A821" s="35">
        <v>3</v>
      </c>
      <c r="B821" s="36" t="s">
        <v>62</v>
      </c>
      <c r="C821" s="36">
        <v>0.01</v>
      </c>
      <c r="D821" s="37" t="s">
        <v>183</v>
      </c>
      <c r="E821" s="37">
        <f>'Master Price list'!G194</f>
        <v>55</v>
      </c>
      <c r="F821" s="37">
        <f t="shared" si="101"/>
        <v>0.55000000000000004</v>
      </c>
    </row>
    <row r="822" spans="1:6" ht="13" x14ac:dyDescent="0.15">
      <c r="A822" s="35">
        <v>4</v>
      </c>
      <c r="B822" s="36" t="s">
        <v>913</v>
      </c>
      <c r="C822" s="36">
        <v>7.4999999999999997E-2</v>
      </c>
      <c r="D822" s="37" t="s">
        <v>183</v>
      </c>
      <c r="E822" s="37">
        <f>'Master Price list'!G14</f>
        <v>45.7</v>
      </c>
      <c r="F822" s="37">
        <f t="shared" si="101"/>
        <v>3.4275000000000002</v>
      </c>
    </row>
    <row r="823" spans="1:6" ht="13" x14ac:dyDescent="0.15">
      <c r="A823" s="21"/>
      <c r="B823" s="21"/>
      <c r="C823" s="38"/>
      <c r="D823" s="180" t="s">
        <v>777</v>
      </c>
      <c r="E823" s="179"/>
      <c r="F823" s="39">
        <f>SUM(F819:F822)</f>
        <v>8.2742777777777778</v>
      </c>
    </row>
    <row r="824" spans="1:6" ht="13" x14ac:dyDescent="0.15">
      <c r="A824" s="21"/>
      <c r="B824" s="21"/>
      <c r="C824" s="21"/>
      <c r="D824" s="30"/>
      <c r="E824" s="30"/>
      <c r="F824" s="40"/>
    </row>
    <row r="825" spans="1:6" ht="13" x14ac:dyDescent="0.15">
      <c r="A825" s="21"/>
      <c r="B825" s="21"/>
      <c r="C825" s="21"/>
      <c r="D825" s="30"/>
      <c r="E825" s="30"/>
      <c r="F825" s="40"/>
    </row>
    <row r="826" spans="1:6" ht="13" x14ac:dyDescent="0.15">
      <c r="A826" s="172" t="s">
        <v>95</v>
      </c>
      <c r="B826" s="173"/>
      <c r="C826" s="171"/>
      <c r="D826" s="34"/>
      <c r="E826" s="34"/>
      <c r="F826" s="34"/>
    </row>
    <row r="827" spans="1:6" ht="13" x14ac:dyDescent="0.15">
      <c r="A827" s="177" t="s">
        <v>773</v>
      </c>
      <c r="B827" s="178" t="s">
        <v>774</v>
      </c>
      <c r="C827" s="178" t="s">
        <v>775</v>
      </c>
      <c r="D827" s="178" t="s">
        <v>719</v>
      </c>
      <c r="E827" s="178" t="s">
        <v>776</v>
      </c>
      <c r="F827" s="178" t="s">
        <v>777</v>
      </c>
    </row>
    <row r="828" spans="1:6" ht="13" x14ac:dyDescent="0.15">
      <c r="A828" s="169"/>
      <c r="B828" s="179"/>
      <c r="C828" s="179"/>
      <c r="D828" s="179"/>
      <c r="E828" s="179"/>
      <c r="F828" s="179"/>
    </row>
    <row r="829" spans="1:6" ht="13" x14ac:dyDescent="0.15">
      <c r="A829" s="35">
        <v>1</v>
      </c>
      <c r="B829" s="36" t="s">
        <v>958</v>
      </c>
      <c r="C829" s="36">
        <v>1</v>
      </c>
      <c r="D829" s="37" t="s">
        <v>350</v>
      </c>
      <c r="E829" s="37">
        <f t="shared" ref="E829:E831" si="102">E819</f>
        <v>0.66833333333333333</v>
      </c>
      <c r="F829" s="37">
        <f t="shared" ref="F829:F832" si="103">E829*C829</f>
        <v>0.66833333333333333</v>
      </c>
    </row>
    <row r="830" spans="1:6" ht="13" x14ac:dyDescent="0.15">
      <c r="A830" s="35">
        <v>2</v>
      </c>
      <c r="B830" s="36" t="s">
        <v>771</v>
      </c>
      <c r="C830" s="36">
        <v>1</v>
      </c>
      <c r="D830" s="37" t="s">
        <v>721</v>
      </c>
      <c r="E830" s="37">
        <f t="shared" si="102"/>
        <v>3.6284444444444444</v>
      </c>
      <c r="F830" s="37">
        <f t="shared" si="103"/>
        <v>3.6284444444444444</v>
      </c>
    </row>
    <row r="831" spans="1:6" ht="13" x14ac:dyDescent="0.15">
      <c r="A831" s="35">
        <v>3</v>
      </c>
      <c r="B831" s="36" t="s">
        <v>62</v>
      </c>
      <c r="C831" s="36">
        <v>0.01</v>
      </c>
      <c r="D831" s="37" t="s">
        <v>183</v>
      </c>
      <c r="E831" s="37">
        <f t="shared" si="102"/>
        <v>55</v>
      </c>
      <c r="F831" s="37">
        <f t="shared" si="103"/>
        <v>0.55000000000000004</v>
      </c>
    </row>
    <row r="832" spans="1:6" ht="13" x14ac:dyDescent="0.15">
      <c r="A832" s="35">
        <v>4</v>
      </c>
      <c r="B832" s="36" t="s">
        <v>200</v>
      </c>
      <c r="C832" s="36">
        <v>7.4999999999999997E-2</v>
      </c>
      <c r="D832" s="37" t="s">
        <v>183</v>
      </c>
      <c r="E832" s="37">
        <f>'Master Price list'!G9</f>
        <v>50.92</v>
      </c>
      <c r="F832" s="37">
        <f t="shared" si="103"/>
        <v>3.819</v>
      </c>
    </row>
    <row r="833" spans="1:6" ht="13" x14ac:dyDescent="0.15">
      <c r="A833" s="21"/>
      <c r="B833" s="21"/>
      <c r="C833" s="38"/>
      <c r="D833" s="180" t="s">
        <v>777</v>
      </c>
      <c r="E833" s="179"/>
      <c r="F833" s="39">
        <f>SUM(F829:F832)</f>
        <v>8.6657777777777767</v>
      </c>
    </row>
    <row r="834" spans="1:6" ht="13" x14ac:dyDescent="0.15">
      <c r="A834" s="21"/>
      <c r="B834" s="21"/>
      <c r="C834" s="21"/>
      <c r="D834" s="30"/>
      <c r="E834" s="30"/>
      <c r="F834" s="40"/>
    </row>
    <row r="835" spans="1:6" ht="13" x14ac:dyDescent="0.15">
      <c r="A835" s="21"/>
      <c r="B835" s="21"/>
      <c r="C835" s="21"/>
      <c r="D835" s="30"/>
      <c r="E835" s="30"/>
      <c r="F835" s="40"/>
    </row>
    <row r="836" spans="1:6" ht="13" x14ac:dyDescent="0.15">
      <c r="A836" s="172" t="s">
        <v>96</v>
      </c>
      <c r="B836" s="173"/>
      <c r="C836" s="171"/>
      <c r="D836" s="34"/>
      <c r="E836" s="34"/>
      <c r="F836" s="34"/>
    </row>
    <row r="837" spans="1:6" ht="13" x14ac:dyDescent="0.15">
      <c r="A837" s="177" t="s">
        <v>773</v>
      </c>
      <c r="B837" s="178" t="s">
        <v>774</v>
      </c>
      <c r="C837" s="178" t="s">
        <v>775</v>
      </c>
      <c r="D837" s="178" t="s">
        <v>719</v>
      </c>
      <c r="E837" s="178" t="s">
        <v>776</v>
      </c>
      <c r="F837" s="178" t="s">
        <v>777</v>
      </c>
    </row>
    <row r="838" spans="1:6" ht="13" x14ac:dyDescent="0.15">
      <c r="A838" s="169"/>
      <c r="B838" s="179"/>
      <c r="C838" s="179"/>
      <c r="D838" s="179"/>
      <c r="E838" s="179"/>
      <c r="F838" s="179"/>
    </row>
    <row r="839" spans="1:6" ht="13" x14ac:dyDescent="0.15">
      <c r="A839" s="35">
        <v>1</v>
      </c>
      <c r="B839" s="36" t="s">
        <v>958</v>
      </c>
      <c r="C839" s="36">
        <v>1</v>
      </c>
      <c r="D839" s="37" t="s">
        <v>350</v>
      </c>
      <c r="E839" s="37">
        <f t="shared" ref="E839:E841" si="104">E829</f>
        <v>0.66833333333333333</v>
      </c>
      <c r="F839" s="37">
        <f t="shared" ref="F839:F842" si="105">E839*C839</f>
        <v>0.66833333333333333</v>
      </c>
    </row>
    <row r="840" spans="1:6" ht="13" x14ac:dyDescent="0.15">
      <c r="A840" s="35">
        <v>2</v>
      </c>
      <c r="B840" s="36" t="s">
        <v>771</v>
      </c>
      <c r="C840" s="36">
        <v>1</v>
      </c>
      <c r="D840" s="37" t="s">
        <v>721</v>
      </c>
      <c r="E840" s="37">
        <f t="shared" si="104"/>
        <v>3.6284444444444444</v>
      </c>
      <c r="F840" s="37">
        <f t="shared" si="105"/>
        <v>3.6284444444444444</v>
      </c>
    </row>
    <row r="841" spans="1:6" ht="13" x14ac:dyDescent="0.15">
      <c r="A841" s="35">
        <v>3</v>
      </c>
      <c r="B841" s="36" t="s">
        <v>62</v>
      </c>
      <c r="C841" s="36">
        <v>0.01</v>
      </c>
      <c r="D841" s="37" t="s">
        <v>183</v>
      </c>
      <c r="E841" s="37">
        <f t="shared" si="104"/>
        <v>55</v>
      </c>
      <c r="F841" s="37">
        <f t="shared" si="105"/>
        <v>0.55000000000000004</v>
      </c>
    </row>
    <row r="842" spans="1:6" ht="13" x14ac:dyDescent="0.15">
      <c r="A842" s="35">
        <v>4</v>
      </c>
      <c r="B842" s="36" t="s">
        <v>914</v>
      </c>
      <c r="C842" s="36">
        <v>7.4999999999999997E-2</v>
      </c>
      <c r="D842" s="37" t="s">
        <v>183</v>
      </c>
      <c r="E842" s="37">
        <f>'Master Price list'!G11</f>
        <v>45.7</v>
      </c>
      <c r="F842" s="37">
        <f t="shared" si="105"/>
        <v>3.4275000000000002</v>
      </c>
    </row>
    <row r="843" spans="1:6" ht="13" x14ac:dyDescent="0.15">
      <c r="A843" s="21"/>
      <c r="B843" s="21"/>
      <c r="C843" s="38"/>
      <c r="D843" s="180" t="s">
        <v>777</v>
      </c>
      <c r="E843" s="179"/>
      <c r="F843" s="39">
        <f>SUM(F839:F842)</f>
        <v>8.2742777777777778</v>
      </c>
    </row>
    <row r="844" spans="1:6" ht="13" x14ac:dyDescent="0.15">
      <c r="A844" s="21"/>
      <c r="B844" s="21"/>
      <c r="C844" s="21"/>
      <c r="D844" s="30"/>
      <c r="E844" s="30"/>
      <c r="F844" s="40"/>
    </row>
    <row r="845" spans="1:6" ht="13" x14ac:dyDescent="0.15">
      <c r="A845" s="21"/>
      <c r="B845" s="21"/>
      <c r="C845" s="21"/>
      <c r="D845" s="30"/>
      <c r="E845" s="30"/>
      <c r="F845" s="40"/>
    </row>
    <row r="846" spans="1:6" ht="13" x14ac:dyDescent="0.15">
      <c r="A846" s="172" t="s">
        <v>97</v>
      </c>
      <c r="B846" s="173"/>
      <c r="C846" s="171"/>
      <c r="D846" s="34"/>
      <c r="E846" s="34"/>
      <c r="F846" s="34"/>
    </row>
    <row r="847" spans="1:6" ht="13" x14ac:dyDescent="0.15">
      <c r="A847" s="177" t="s">
        <v>773</v>
      </c>
      <c r="B847" s="178" t="s">
        <v>774</v>
      </c>
      <c r="C847" s="178" t="s">
        <v>775</v>
      </c>
      <c r="D847" s="178" t="s">
        <v>719</v>
      </c>
      <c r="E847" s="178" t="s">
        <v>776</v>
      </c>
      <c r="F847" s="178" t="s">
        <v>777</v>
      </c>
    </row>
    <row r="848" spans="1:6" ht="13" x14ac:dyDescent="0.15">
      <c r="A848" s="169"/>
      <c r="B848" s="179"/>
      <c r="C848" s="179"/>
      <c r="D848" s="179"/>
      <c r="E848" s="179"/>
      <c r="F848" s="179"/>
    </row>
    <row r="849" spans="1:6" ht="13" x14ac:dyDescent="0.15">
      <c r="A849" s="35">
        <v>1</v>
      </c>
      <c r="B849" s="36" t="s">
        <v>958</v>
      </c>
      <c r="C849" s="36">
        <v>1</v>
      </c>
      <c r="D849" s="37" t="s">
        <v>350</v>
      </c>
      <c r="E849" s="37">
        <f t="shared" ref="E849:E851" si="106">E839</f>
        <v>0.66833333333333333</v>
      </c>
      <c r="F849" s="37">
        <f t="shared" ref="F849:F852" si="107">E849*C849</f>
        <v>0.66833333333333333</v>
      </c>
    </row>
    <row r="850" spans="1:6" ht="13" x14ac:dyDescent="0.15">
      <c r="A850" s="35">
        <v>2</v>
      </c>
      <c r="B850" s="36" t="s">
        <v>771</v>
      </c>
      <c r="C850" s="36">
        <v>1</v>
      </c>
      <c r="D850" s="37" t="s">
        <v>721</v>
      </c>
      <c r="E850" s="37">
        <f t="shared" si="106"/>
        <v>3.6284444444444444</v>
      </c>
      <c r="F850" s="37">
        <f t="shared" si="107"/>
        <v>3.6284444444444444</v>
      </c>
    </row>
    <row r="851" spans="1:6" ht="13" x14ac:dyDescent="0.15">
      <c r="A851" s="35">
        <v>3</v>
      </c>
      <c r="B851" s="36" t="s">
        <v>62</v>
      </c>
      <c r="C851" s="36">
        <v>0.01</v>
      </c>
      <c r="D851" s="37" t="s">
        <v>183</v>
      </c>
      <c r="E851" s="37">
        <f t="shared" si="106"/>
        <v>55</v>
      </c>
      <c r="F851" s="37">
        <f t="shared" si="107"/>
        <v>0.55000000000000004</v>
      </c>
    </row>
    <row r="852" spans="1:6" ht="13" x14ac:dyDescent="0.15">
      <c r="A852" s="35">
        <v>4</v>
      </c>
      <c r="B852" s="36" t="s">
        <v>68</v>
      </c>
      <c r="C852" s="36">
        <v>7.4999999999999997E-2</v>
      </c>
      <c r="D852" s="37" t="s">
        <v>183</v>
      </c>
      <c r="E852" s="37">
        <f>'Master Price list'!G7</f>
        <v>45.7</v>
      </c>
      <c r="F852" s="37">
        <f t="shared" si="107"/>
        <v>3.4275000000000002</v>
      </c>
    </row>
    <row r="853" spans="1:6" ht="13" x14ac:dyDescent="0.15">
      <c r="A853" s="21"/>
      <c r="B853" s="21"/>
      <c r="C853" s="38"/>
      <c r="D853" s="180" t="s">
        <v>777</v>
      </c>
      <c r="E853" s="179"/>
      <c r="F853" s="39">
        <f>SUM(F849:F852)</f>
        <v>8.2742777777777778</v>
      </c>
    </row>
    <row r="854" spans="1:6" ht="13" x14ac:dyDescent="0.15">
      <c r="A854" s="21"/>
      <c r="B854" s="21"/>
      <c r="C854" s="21"/>
      <c r="D854" s="30"/>
      <c r="E854" s="30"/>
      <c r="F854" s="40"/>
    </row>
    <row r="855" spans="1:6" ht="13" x14ac:dyDescent="0.15">
      <c r="A855" s="21"/>
      <c r="B855" s="21"/>
      <c r="C855" s="21"/>
      <c r="D855" s="30"/>
      <c r="E855" s="30"/>
      <c r="F855" s="40"/>
    </row>
    <row r="856" spans="1:6" ht="13" x14ac:dyDescent="0.15">
      <c r="A856" s="172" t="s">
        <v>99</v>
      </c>
      <c r="B856" s="173"/>
      <c r="C856" s="171"/>
      <c r="D856" s="34"/>
      <c r="E856" s="34"/>
      <c r="F856" s="34"/>
    </row>
    <row r="857" spans="1:6" ht="13" x14ac:dyDescent="0.15">
      <c r="A857" s="177" t="s">
        <v>773</v>
      </c>
      <c r="B857" s="178" t="s">
        <v>774</v>
      </c>
      <c r="C857" s="178" t="s">
        <v>775</v>
      </c>
      <c r="D857" s="178" t="s">
        <v>719</v>
      </c>
      <c r="E857" s="178" t="s">
        <v>776</v>
      </c>
      <c r="F857" s="178" t="s">
        <v>777</v>
      </c>
    </row>
    <row r="858" spans="1:6" ht="13" x14ac:dyDescent="0.15">
      <c r="A858" s="169"/>
      <c r="B858" s="179"/>
      <c r="C858" s="179"/>
      <c r="D858" s="179"/>
      <c r="E858" s="179"/>
      <c r="F858" s="179"/>
    </row>
    <row r="859" spans="1:6" ht="13" x14ac:dyDescent="0.15">
      <c r="A859" s="35">
        <v>1</v>
      </c>
      <c r="B859" s="36" t="s">
        <v>947</v>
      </c>
      <c r="C859" s="36">
        <v>0.04</v>
      </c>
      <c r="D859" s="37" t="s">
        <v>183</v>
      </c>
      <c r="E859" s="37">
        <f>'Master Price list'!G164</f>
        <v>3.6</v>
      </c>
      <c r="F859" s="37">
        <f t="shared" ref="F859:F865" si="108">E859*C859</f>
        <v>0.14400000000000002</v>
      </c>
    </row>
    <row r="860" spans="1:6" ht="13" x14ac:dyDescent="0.15">
      <c r="A860" s="35">
        <v>2</v>
      </c>
      <c r="B860" s="36" t="s">
        <v>586</v>
      </c>
      <c r="C860" s="36">
        <v>8.0000000000000002E-3</v>
      </c>
      <c r="D860" s="37" t="s">
        <v>183</v>
      </c>
      <c r="E860" s="37">
        <f>'Master Price list'!G157</f>
        <v>55</v>
      </c>
      <c r="F860" s="37">
        <f t="shared" si="108"/>
        <v>0.44</v>
      </c>
    </row>
    <row r="861" spans="1:6" ht="13" x14ac:dyDescent="0.15">
      <c r="A861" s="35">
        <v>3</v>
      </c>
      <c r="B861" s="36" t="s">
        <v>74</v>
      </c>
      <c r="C861" s="36">
        <v>0.5</v>
      </c>
      <c r="D861" s="37" t="s">
        <v>721</v>
      </c>
      <c r="E861" s="37">
        <f>'Item list'!B16</f>
        <v>2.0735288888888888</v>
      </c>
      <c r="F861" s="37">
        <f t="shared" si="108"/>
        <v>1.0367644444444444</v>
      </c>
    </row>
    <row r="862" spans="1:6" ht="13" x14ac:dyDescent="0.15">
      <c r="A862" s="35">
        <v>4</v>
      </c>
      <c r="B862" s="36" t="s">
        <v>752</v>
      </c>
      <c r="C862" s="36">
        <v>1.4999999999999999E-2</v>
      </c>
      <c r="D862" s="37" t="s">
        <v>183</v>
      </c>
      <c r="E862" s="37">
        <f>'Item list'!B42</f>
        <v>20.517178571428573</v>
      </c>
      <c r="F862" s="37">
        <f t="shared" si="108"/>
        <v>0.30775767857142861</v>
      </c>
    </row>
    <row r="863" spans="1:6" ht="13" x14ac:dyDescent="0.15">
      <c r="A863" s="35">
        <v>5</v>
      </c>
      <c r="B863" s="36" t="s">
        <v>67</v>
      </c>
      <c r="C863" s="36">
        <v>0.01</v>
      </c>
      <c r="D863" s="37" t="s">
        <v>183</v>
      </c>
      <c r="E863" s="37">
        <f>'Master Price list'!G202</f>
        <v>4.8</v>
      </c>
      <c r="F863" s="37">
        <f t="shared" si="108"/>
        <v>4.8000000000000001E-2</v>
      </c>
    </row>
    <row r="864" spans="1:6" ht="13" x14ac:dyDescent="0.15">
      <c r="A864" s="35">
        <v>6</v>
      </c>
      <c r="B864" s="36" t="s">
        <v>833</v>
      </c>
      <c r="C864" s="36">
        <v>0.02</v>
      </c>
      <c r="D864" s="37" t="s">
        <v>183</v>
      </c>
      <c r="E864" s="37">
        <f>'Master Price list'!G189</f>
        <v>3.3</v>
      </c>
      <c r="F864" s="37">
        <f t="shared" si="108"/>
        <v>6.6000000000000003E-2</v>
      </c>
    </row>
    <row r="865" spans="1:6" ht="13" x14ac:dyDescent="0.15">
      <c r="A865" s="35">
        <v>7</v>
      </c>
      <c r="B865" s="36" t="s">
        <v>834</v>
      </c>
      <c r="C865" s="36">
        <v>2E-3</v>
      </c>
      <c r="D865" s="37" t="s">
        <v>183</v>
      </c>
      <c r="E865" s="37">
        <f>'Master Price list'!G174</f>
        <v>15</v>
      </c>
      <c r="F865" s="37">
        <f t="shared" si="108"/>
        <v>0.03</v>
      </c>
    </row>
    <row r="866" spans="1:6" ht="13" x14ac:dyDescent="0.15">
      <c r="A866" s="21"/>
      <c r="B866" s="21"/>
      <c r="C866" s="38"/>
      <c r="D866" s="180" t="s">
        <v>777</v>
      </c>
      <c r="E866" s="179"/>
      <c r="F866" s="39">
        <f>SUM(F859:F865)</f>
        <v>2.0725221230158728</v>
      </c>
    </row>
    <row r="867" spans="1:6" ht="13" x14ac:dyDescent="0.15">
      <c r="A867" s="21"/>
      <c r="B867" s="21"/>
      <c r="C867" s="21"/>
      <c r="D867" s="30"/>
      <c r="E867" s="30"/>
      <c r="F867" s="40"/>
    </row>
    <row r="868" spans="1:6" ht="13" x14ac:dyDescent="0.15">
      <c r="A868" s="21"/>
      <c r="B868" s="21"/>
      <c r="C868" s="21"/>
      <c r="D868" s="30"/>
      <c r="E868" s="30"/>
      <c r="F868" s="40"/>
    </row>
    <row r="869" spans="1:6" ht="13" x14ac:dyDescent="0.15">
      <c r="A869" s="172" t="s">
        <v>100</v>
      </c>
      <c r="B869" s="173"/>
      <c r="C869" s="171"/>
      <c r="D869" s="34"/>
      <c r="E869" s="34"/>
      <c r="F869" s="34"/>
    </row>
    <row r="870" spans="1:6" ht="13" x14ac:dyDescent="0.15">
      <c r="A870" s="177" t="s">
        <v>773</v>
      </c>
      <c r="B870" s="178" t="s">
        <v>774</v>
      </c>
      <c r="C870" s="178" t="s">
        <v>775</v>
      </c>
      <c r="D870" s="178" t="s">
        <v>719</v>
      </c>
      <c r="E870" s="178" t="s">
        <v>776</v>
      </c>
      <c r="F870" s="178" t="s">
        <v>777</v>
      </c>
    </row>
    <row r="871" spans="1:6" ht="13" x14ac:dyDescent="0.15">
      <c r="A871" s="169"/>
      <c r="B871" s="179"/>
      <c r="C871" s="179"/>
      <c r="D871" s="179"/>
      <c r="E871" s="179"/>
      <c r="F871" s="179"/>
    </row>
    <row r="872" spans="1:6" ht="13" x14ac:dyDescent="0.15">
      <c r="A872" s="35">
        <v>1</v>
      </c>
      <c r="B872" s="36" t="s">
        <v>744</v>
      </c>
      <c r="C872" s="36">
        <v>0.15</v>
      </c>
      <c r="D872" s="37" t="s">
        <v>183</v>
      </c>
      <c r="E872" s="37">
        <f>'Item list'!B34</f>
        <v>14.069831018518519</v>
      </c>
      <c r="F872" s="37">
        <f t="shared" ref="F872:F874" si="109">E872*C872</f>
        <v>2.1104746527777776</v>
      </c>
    </row>
    <row r="873" spans="1:6" ht="13" x14ac:dyDescent="0.15">
      <c r="A873" s="35">
        <v>2</v>
      </c>
      <c r="B873" s="36" t="s">
        <v>256</v>
      </c>
      <c r="C873" s="36">
        <v>0.01</v>
      </c>
      <c r="D873" s="37" t="s">
        <v>183</v>
      </c>
      <c r="E873" s="37">
        <f>'Master Price list'!G29</f>
        <v>85</v>
      </c>
      <c r="F873" s="37">
        <f t="shared" si="109"/>
        <v>0.85</v>
      </c>
    </row>
    <row r="874" spans="1:6" ht="13" x14ac:dyDescent="0.15">
      <c r="A874" s="35">
        <v>3</v>
      </c>
      <c r="B874" s="36" t="s">
        <v>834</v>
      </c>
      <c r="C874" s="36">
        <v>2E-3</v>
      </c>
      <c r="D874" s="37" t="s">
        <v>183</v>
      </c>
      <c r="E874" s="37">
        <f>E865</f>
        <v>15</v>
      </c>
      <c r="F874" s="37">
        <f t="shared" si="109"/>
        <v>0.03</v>
      </c>
    </row>
    <row r="875" spans="1:6" ht="13" x14ac:dyDescent="0.15">
      <c r="A875" s="21"/>
      <c r="B875" s="21"/>
      <c r="C875" s="38"/>
      <c r="D875" s="180" t="s">
        <v>777</v>
      </c>
      <c r="E875" s="179"/>
      <c r="F875" s="39">
        <f>SUM(F872:F874)</f>
        <v>2.9904746527777775</v>
      </c>
    </row>
    <row r="876" spans="1:6" ht="13" x14ac:dyDescent="0.15">
      <c r="A876" s="21"/>
      <c r="B876" s="21"/>
      <c r="C876" s="21"/>
      <c r="D876" s="30"/>
      <c r="E876" s="30"/>
      <c r="F876" s="40"/>
    </row>
    <row r="877" spans="1:6" ht="13" x14ac:dyDescent="0.15">
      <c r="A877" s="21"/>
      <c r="B877" s="21"/>
      <c r="C877" s="21"/>
      <c r="D877" s="30"/>
      <c r="E877" s="30"/>
      <c r="F877" s="40"/>
    </row>
    <row r="878" spans="1:6" ht="13" x14ac:dyDescent="0.15">
      <c r="A878" s="172" t="s">
        <v>101</v>
      </c>
      <c r="B878" s="173"/>
      <c r="C878" s="171"/>
      <c r="D878" s="34"/>
      <c r="E878" s="34"/>
      <c r="F878" s="34"/>
    </row>
    <row r="879" spans="1:6" ht="13" x14ac:dyDescent="0.15">
      <c r="A879" s="177" t="s">
        <v>773</v>
      </c>
      <c r="B879" s="178" t="s">
        <v>774</v>
      </c>
      <c r="C879" s="178" t="s">
        <v>775</v>
      </c>
      <c r="D879" s="178" t="s">
        <v>719</v>
      </c>
      <c r="E879" s="178" t="s">
        <v>776</v>
      </c>
      <c r="F879" s="178" t="s">
        <v>777</v>
      </c>
    </row>
    <row r="880" spans="1:6" ht="13" x14ac:dyDescent="0.15">
      <c r="A880" s="169"/>
      <c r="B880" s="179"/>
      <c r="C880" s="179"/>
      <c r="D880" s="179"/>
      <c r="E880" s="179"/>
      <c r="F880" s="179"/>
    </row>
    <row r="881" spans="1:6" ht="13" x14ac:dyDescent="0.15">
      <c r="A881" s="35">
        <v>1</v>
      </c>
      <c r="B881" s="36" t="s">
        <v>959</v>
      </c>
      <c r="C881" s="36">
        <v>1</v>
      </c>
      <c r="D881" s="37" t="s">
        <v>721</v>
      </c>
      <c r="E881" s="37">
        <f>'Item list'!B35</f>
        <v>1.9002142857142859</v>
      </c>
      <c r="F881" s="37">
        <f t="shared" ref="F881:F884" si="110">E881*C881</f>
        <v>1.9002142857142859</v>
      </c>
    </row>
    <row r="882" spans="1:6" ht="13" x14ac:dyDescent="0.15">
      <c r="A882" s="35">
        <v>2</v>
      </c>
      <c r="B882" s="36" t="s">
        <v>586</v>
      </c>
      <c r="C882" s="36">
        <v>5.0000000000000001E-3</v>
      </c>
      <c r="D882" s="37" t="s">
        <v>183</v>
      </c>
      <c r="E882" s="37">
        <f>'Master Price list'!G157</f>
        <v>55</v>
      </c>
      <c r="F882" s="37">
        <f t="shared" si="110"/>
        <v>0.27500000000000002</v>
      </c>
    </row>
    <row r="883" spans="1:6" ht="13" x14ac:dyDescent="0.15">
      <c r="A883" s="35">
        <v>3</v>
      </c>
      <c r="B883" s="36" t="s">
        <v>960</v>
      </c>
      <c r="C883" s="36">
        <v>5.0000000000000001E-3</v>
      </c>
      <c r="D883" s="37" t="s">
        <v>183</v>
      </c>
      <c r="E883" s="37">
        <f>'Master Price list'!G134</f>
        <v>168.25</v>
      </c>
      <c r="F883" s="37">
        <f t="shared" si="110"/>
        <v>0.84125000000000005</v>
      </c>
    </row>
    <row r="884" spans="1:6" ht="13" x14ac:dyDescent="0.15">
      <c r="A884" s="35">
        <v>4</v>
      </c>
      <c r="B884" s="36" t="s">
        <v>935</v>
      </c>
      <c r="C884" s="36">
        <v>1.4999999999999999E-2</v>
      </c>
      <c r="D884" s="37" t="s">
        <v>183</v>
      </c>
      <c r="E884" s="37">
        <f>E873</f>
        <v>85</v>
      </c>
      <c r="F884" s="37">
        <f t="shared" si="110"/>
        <v>1.2749999999999999</v>
      </c>
    </row>
    <row r="885" spans="1:6" ht="13" x14ac:dyDescent="0.15">
      <c r="A885" s="21"/>
      <c r="B885" s="21"/>
      <c r="C885" s="38"/>
      <c r="D885" s="180" t="s">
        <v>777</v>
      </c>
      <c r="E885" s="179"/>
      <c r="F885" s="39">
        <f>SUM(F881:F884)</f>
        <v>4.2914642857142855</v>
      </c>
    </row>
    <row r="886" spans="1:6" ht="13" x14ac:dyDescent="0.15">
      <c r="A886" s="21"/>
      <c r="B886" s="21"/>
      <c r="C886" s="21"/>
      <c r="D886" s="30"/>
      <c r="E886" s="30"/>
      <c r="F886" s="40"/>
    </row>
    <row r="887" spans="1:6" ht="13" x14ac:dyDescent="0.15">
      <c r="A887" s="21"/>
      <c r="B887" s="21"/>
      <c r="C887" s="21"/>
      <c r="D887" s="30"/>
      <c r="E887" s="30"/>
      <c r="F887" s="40"/>
    </row>
    <row r="888" spans="1:6" ht="13" x14ac:dyDescent="0.15">
      <c r="A888" s="172" t="s">
        <v>102</v>
      </c>
      <c r="B888" s="173"/>
      <c r="C888" s="171"/>
      <c r="D888" s="34"/>
      <c r="E888" s="34"/>
      <c r="F888" s="34"/>
    </row>
    <row r="889" spans="1:6" ht="13" x14ac:dyDescent="0.15">
      <c r="A889" s="177" t="s">
        <v>773</v>
      </c>
      <c r="B889" s="178" t="s">
        <v>774</v>
      </c>
      <c r="C889" s="178" t="s">
        <v>775</v>
      </c>
      <c r="D889" s="178" t="s">
        <v>719</v>
      </c>
      <c r="E889" s="178" t="s">
        <v>776</v>
      </c>
      <c r="F889" s="178" t="s">
        <v>777</v>
      </c>
    </row>
    <row r="890" spans="1:6" ht="13" x14ac:dyDescent="0.15">
      <c r="A890" s="169"/>
      <c r="B890" s="179"/>
      <c r="C890" s="179"/>
      <c r="D890" s="179"/>
      <c r="E890" s="179"/>
      <c r="F890" s="179"/>
    </row>
    <row r="891" spans="1:6" ht="13" x14ac:dyDescent="0.15">
      <c r="A891" s="35">
        <v>1</v>
      </c>
      <c r="B891" s="36" t="s">
        <v>631</v>
      </c>
      <c r="C891" s="36">
        <v>0.02</v>
      </c>
      <c r="D891" s="37" t="s">
        <v>183</v>
      </c>
      <c r="E891" s="37">
        <f>'Master Price list'!G179</f>
        <v>7</v>
      </c>
      <c r="F891" s="37">
        <f t="shared" ref="F891:F901" si="111">E891*C891</f>
        <v>0.14000000000000001</v>
      </c>
    </row>
    <row r="892" spans="1:6" ht="13" x14ac:dyDescent="0.15">
      <c r="A892" s="35">
        <v>2</v>
      </c>
      <c r="B892" s="36" t="s">
        <v>633</v>
      </c>
      <c r="C892" s="36">
        <v>0.05</v>
      </c>
      <c r="D892" s="37" t="s">
        <v>183</v>
      </c>
      <c r="E892" s="37">
        <f>'Master Price list'!G180</f>
        <v>6.3</v>
      </c>
      <c r="F892" s="37">
        <f t="shared" si="111"/>
        <v>0.315</v>
      </c>
    </row>
    <row r="893" spans="1:6" ht="13" x14ac:dyDescent="0.15">
      <c r="A893" s="35">
        <v>3</v>
      </c>
      <c r="B893" s="36" t="s">
        <v>942</v>
      </c>
      <c r="C893" s="36">
        <v>0.1</v>
      </c>
      <c r="D893" s="37" t="s">
        <v>183</v>
      </c>
      <c r="E893" s="37">
        <f>'Master Price list'!G3</f>
        <v>100</v>
      </c>
      <c r="F893" s="37">
        <f t="shared" si="111"/>
        <v>10</v>
      </c>
    </row>
    <row r="894" spans="1:6" ht="13" x14ac:dyDescent="0.15">
      <c r="A894" s="35">
        <v>4</v>
      </c>
      <c r="B894" s="36" t="s">
        <v>893</v>
      </c>
      <c r="C894" s="36">
        <v>5.0000000000000001E-3</v>
      </c>
      <c r="D894" s="37" t="s">
        <v>183</v>
      </c>
      <c r="E894" s="37">
        <f>'Master Price list'!G94</f>
        <v>11.866666666666667</v>
      </c>
      <c r="F894" s="37">
        <f t="shared" si="111"/>
        <v>5.9333333333333335E-2</v>
      </c>
    </row>
    <row r="895" spans="1:6" ht="13" x14ac:dyDescent="0.15">
      <c r="A895" s="35">
        <v>5</v>
      </c>
      <c r="B895" s="36" t="s">
        <v>880</v>
      </c>
      <c r="C895" s="36">
        <v>5.0000000000000001E-3</v>
      </c>
      <c r="D895" s="37" t="s">
        <v>183</v>
      </c>
      <c r="E895" s="37">
        <f>'Master Price list'!G53</f>
        <v>85.714285714285708</v>
      </c>
      <c r="F895" s="37">
        <f t="shared" si="111"/>
        <v>0.42857142857142855</v>
      </c>
    </row>
    <row r="896" spans="1:6" ht="13" x14ac:dyDescent="0.15">
      <c r="A896" s="35">
        <v>6</v>
      </c>
      <c r="B896" s="36" t="s">
        <v>827</v>
      </c>
      <c r="C896" s="36">
        <v>2.5000000000000001E-3</v>
      </c>
      <c r="D896" s="37" t="s">
        <v>183</v>
      </c>
      <c r="E896" s="37">
        <f>'Master Price list'!G222</f>
        <v>37.799999999999997</v>
      </c>
      <c r="F896" s="37">
        <f t="shared" si="111"/>
        <v>9.4500000000000001E-2</v>
      </c>
    </row>
    <row r="897" spans="1:6" ht="13" x14ac:dyDescent="0.15">
      <c r="A897" s="35">
        <v>7</v>
      </c>
      <c r="B897" s="36" t="s">
        <v>462</v>
      </c>
      <c r="C897" s="36">
        <v>5.0000000000000001E-3</v>
      </c>
      <c r="D897" s="37" t="s">
        <v>183</v>
      </c>
      <c r="E897" s="37">
        <f>'Master Price list'!G107</f>
        <v>6.4</v>
      </c>
      <c r="F897" s="37">
        <f t="shared" si="111"/>
        <v>3.2000000000000001E-2</v>
      </c>
    </row>
    <row r="898" spans="1:6" ht="13" x14ac:dyDescent="0.15">
      <c r="A898" s="35">
        <v>8</v>
      </c>
      <c r="B898" s="36" t="s">
        <v>816</v>
      </c>
      <c r="C898" s="36">
        <v>5.0000000000000001E-3</v>
      </c>
      <c r="D898" s="37" t="s">
        <v>183</v>
      </c>
      <c r="E898" s="37">
        <f>'Master Price list'!G178</f>
        <v>11</v>
      </c>
      <c r="F898" s="37">
        <f t="shared" si="111"/>
        <v>5.5E-2</v>
      </c>
    </row>
    <row r="899" spans="1:6" ht="13" x14ac:dyDescent="0.15">
      <c r="A899" s="35">
        <v>9</v>
      </c>
      <c r="B899" s="36" t="s">
        <v>834</v>
      </c>
      <c r="C899" s="36">
        <v>2E-3</v>
      </c>
      <c r="D899" s="37" t="s">
        <v>183</v>
      </c>
      <c r="E899" s="37">
        <f>'Master Price list'!G174</f>
        <v>15</v>
      </c>
      <c r="F899" s="37">
        <f t="shared" si="111"/>
        <v>0.03</v>
      </c>
    </row>
    <row r="900" spans="1:6" ht="13" x14ac:dyDescent="0.15">
      <c r="A900" s="35">
        <v>10</v>
      </c>
      <c r="B900" s="36" t="s">
        <v>887</v>
      </c>
      <c r="C900" s="36">
        <v>0.03</v>
      </c>
      <c r="D900" s="37" t="s">
        <v>183</v>
      </c>
      <c r="E900" s="37">
        <f>'Master Price list'!G170</f>
        <v>11</v>
      </c>
      <c r="F900" s="37">
        <f t="shared" si="111"/>
        <v>0.32999999999999996</v>
      </c>
    </row>
    <row r="901" spans="1:6" ht="13" x14ac:dyDescent="0.15">
      <c r="A901" s="35">
        <v>11</v>
      </c>
      <c r="B901" s="36" t="s">
        <v>641</v>
      </c>
      <c r="C901" s="36">
        <v>2E-3</v>
      </c>
      <c r="D901" s="37" t="s">
        <v>183</v>
      </c>
      <c r="E901" s="37">
        <f>'Master Price list'!G184</f>
        <v>5</v>
      </c>
      <c r="F901" s="37">
        <f t="shared" si="111"/>
        <v>0.01</v>
      </c>
    </row>
    <row r="902" spans="1:6" ht="13" x14ac:dyDescent="0.15">
      <c r="A902" s="21"/>
      <c r="B902" s="21"/>
      <c r="C902" s="38"/>
      <c r="D902" s="180" t="s">
        <v>777</v>
      </c>
      <c r="E902" s="179"/>
      <c r="F902" s="39">
        <f>SUM(F891:F901)</f>
        <v>11.494404761904761</v>
      </c>
    </row>
    <row r="903" spans="1:6" ht="13" x14ac:dyDescent="0.15">
      <c r="A903" s="21"/>
      <c r="B903" s="21"/>
      <c r="C903" s="21"/>
      <c r="D903" s="30"/>
      <c r="E903" s="30"/>
      <c r="F903" s="40"/>
    </row>
    <row r="904" spans="1:6" ht="13" x14ac:dyDescent="0.15">
      <c r="A904" s="21"/>
      <c r="B904" s="21"/>
      <c r="C904" s="21"/>
      <c r="D904" s="30"/>
      <c r="E904" s="30"/>
      <c r="F904" s="40"/>
    </row>
    <row r="905" spans="1:6" ht="13" x14ac:dyDescent="0.15">
      <c r="A905" s="172" t="s">
        <v>103</v>
      </c>
      <c r="B905" s="173"/>
      <c r="C905" s="171"/>
      <c r="D905" s="34"/>
      <c r="E905" s="34"/>
      <c r="F905" s="34"/>
    </row>
    <row r="906" spans="1:6" ht="13" x14ac:dyDescent="0.15">
      <c r="A906" s="177" t="s">
        <v>773</v>
      </c>
      <c r="B906" s="178" t="s">
        <v>774</v>
      </c>
      <c r="C906" s="178" t="s">
        <v>775</v>
      </c>
      <c r="D906" s="178" t="s">
        <v>719</v>
      </c>
      <c r="E906" s="178" t="s">
        <v>776</v>
      </c>
      <c r="F906" s="178" t="s">
        <v>777</v>
      </c>
    </row>
    <row r="907" spans="1:6" ht="13" x14ac:dyDescent="0.15">
      <c r="A907" s="169"/>
      <c r="B907" s="179"/>
      <c r="C907" s="179"/>
      <c r="D907" s="179"/>
      <c r="E907" s="179"/>
      <c r="F907" s="179"/>
    </row>
    <row r="908" spans="1:6" ht="13" x14ac:dyDescent="0.15">
      <c r="A908" s="35">
        <v>1</v>
      </c>
      <c r="B908" s="36" t="s">
        <v>961</v>
      </c>
      <c r="C908" s="36">
        <v>0.04</v>
      </c>
      <c r="D908" s="37" t="s">
        <v>183</v>
      </c>
      <c r="E908" s="37">
        <f>'Master Price list'!G188</f>
        <v>11.5</v>
      </c>
      <c r="F908" s="37">
        <f t="shared" ref="F908:F913" si="112">E908*C908</f>
        <v>0.46</v>
      </c>
    </row>
    <row r="909" spans="1:6" ht="13" x14ac:dyDescent="0.15">
      <c r="A909" s="35">
        <v>2</v>
      </c>
      <c r="B909" s="36" t="s">
        <v>787</v>
      </c>
      <c r="C909" s="36">
        <v>5.0000000000000001E-3</v>
      </c>
      <c r="D909" s="37" t="s">
        <v>183</v>
      </c>
      <c r="E909" s="37">
        <f>'Master Price list'!G80</f>
        <v>42</v>
      </c>
      <c r="F909" s="37">
        <f t="shared" si="112"/>
        <v>0.21</v>
      </c>
    </row>
    <row r="910" spans="1:6" ht="13" x14ac:dyDescent="0.15">
      <c r="A910" s="35">
        <v>3</v>
      </c>
      <c r="B910" s="36" t="s">
        <v>538</v>
      </c>
      <c r="C910" s="36">
        <v>5.0000000000000001E-3</v>
      </c>
      <c r="D910" s="37" t="s">
        <v>183</v>
      </c>
      <c r="E910" s="37">
        <f>'Master Price list'!G139</f>
        <v>23</v>
      </c>
      <c r="F910" s="37">
        <f t="shared" si="112"/>
        <v>0.115</v>
      </c>
    </row>
    <row r="911" spans="1:6" ht="13" x14ac:dyDescent="0.15">
      <c r="A911" s="35">
        <v>4</v>
      </c>
      <c r="B911" s="36" t="s">
        <v>388</v>
      </c>
      <c r="C911" s="36">
        <v>1.4999999999999999E-2</v>
      </c>
      <c r="D911" s="37" t="s">
        <v>183</v>
      </c>
      <c r="E911" s="37">
        <f>'Master Price list'!G79</f>
        <v>12</v>
      </c>
      <c r="F911" s="37">
        <f t="shared" si="112"/>
        <v>0.18</v>
      </c>
    </row>
    <row r="912" spans="1:6" ht="13" x14ac:dyDescent="0.15">
      <c r="A912" s="35">
        <v>5</v>
      </c>
      <c r="B912" s="36" t="s">
        <v>259</v>
      </c>
      <c r="C912" s="36">
        <v>0.04</v>
      </c>
      <c r="D912" s="37" t="s">
        <v>183</v>
      </c>
      <c r="E912" s="37">
        <f>'Master Price list'!G30</f>
        <v>144.44444444444443</v>
      </c>
      <c r="F912" s="37">
        <f t="shared" si="112"/>
        <v>5.7777777777777777</v>
      </c>
    </row>
    <row r="913" spans="1:6" ht="13" x14ac:dyDescent="0.15">
      <c r="A913" s="35">
        <v>6</v>
      </c>
      <c r="B913" s="36" t="s">
        <v>611</v>
      </c>
      <c r="C913" s="36">
        <v>0.03</v>
      </c>
      <c r="D913" s="37" t="s">
        <v>183</v>
      </c>
      <c r="E913" s="37">
        <f>'Master Price list'!G169</f>
        <v>11.5</v>
      </c>
      <c r="F913" s="37">
        <f t="shared" si="112"/>
        <v>0.34499999999999997</v>
      </c>
    </row>
    <row r="914" spans="1:6" ht="13" x14ac:dyDescent="0.15">
      <c r="A914" s="21"/>
      <c r="B914" s="21"/>
      <c r="C914" s="38"/>
      <c r="D914" s="180" t="s">
        <v>777</v>
      </c>
      <c r="E914" s="179"/>
      <c r="F914" s="39">
        <f>SUM(F908:F913)</f>
        <v>7.0877777777777773</v>
      </c>
    </row>
    <row r="915" spans="1:6" ht="13" x14ac:dyDescent="0.15">
      <c r="A915" s="21"/>
      <c r="B915" s="21"/>
      <c r="C915" s="21"/>
      <c r="D915" s="30"/>
      <c r="E915" s="30"/>
      <c r="F915" s="40"/>
    </row>
    <row r="916" spans="1:6" ht="13" x14ac:dyDescent="0.15">
      <c r="A916" s="21"/>
      <c r="B916" s="21"/>
      <c r="C916" s="21"/>
      <c r="D916" s="30"/>
      <c r="E916" s="30"/>
      <c r="F916" s="40"/>
    </row>
    <row r="917" spans="1:6" ht="13" x14ac:dyDescent="0.15">
      <c r="A917" s="172" t="s">
        <v>106</v>
      </c>
      <c r="B917" s="173"/>
      <c r="C917" s="171"/>
      <c r="D917" s="34"/>
      <c r="E917" s="34"/>
      <c r="F917" s="34"/>
    </row>
    <row r="918" spans="1:6" ht="13" x14ac:dyDescent="0.15">
      <c r="A918" s="177" t="s">
        <v>773</v>
      </c>
      <c r="B918" s="178" t="s">
        <v>774</v>
      </c>
      <c r="C918" s="178" t="s">
        <v>775</v>
      </c>
      <c r="D918" s="178" t="s">
        <v>719</v>
      </c>
      <c r="E918" s="178" t="s">
        <v>776</v>
      </c>
      <c r="F918" s="178" t="s">
        <v>777</v>
      </c>
    </row>
    <row r="919" spans="1:6" ht="13" x14ac:dyDescent="0.15">
      <c r="A919" s="169"/>
      <c r="B919" s="179"/>
      <c r="C919" s="179"/>
      <c r="D919" s="179"/>
      <c r="E919" s="179"/>
      <c r="F919" s="179"/>
    </row>
    <row r="920" spans="1:6" ht="13" x14ac:dyDescent="0.15">
      <c r="A920" s="35">
        <v>1</v>
      </c>
      <c r="B920" s="36" t="s">
        <v>961</v>
      </c>
      <c r="C920" s="36">
        <v>0.03</v>
      </c>
      <c r="D920" s="37" t="s">
        <v>183</v>
      </c>
      <c r="E920" s="37">
        <f>E908</f>
        <v>11.5</v>
      </c>
      <c r="F920" s="37">
        <f t="shared" ref="F920:F927" si="113">E920*C920</f>
        <v>0.34499999999999997</v>
      </c>
    </row>
    <row r="921" spans="1:6" ht="13" x14ac:dyDescent="0.15">
      <c r="A921" s="35">
        <v>2</v>
      </c>
      <c r="B921" s="36" t="s">
        <v>62</v>
      </c>
      <c r="C921" s="36">
        <v>0.01</v>
      </c>
      <c r="D921" s="37" t="s">
        <v>183</v>
      </c>
      <c r="E921" s="37">
        <f>'Master Price list'!G194</f>
        <v>55</v>
      </c>
      <c r="F921" s="37">
        <f t="shared" si="113"/>
        <v>0.55000000000000004</v>
      </c>
    </row>
    <row r="922" spans="1:6" ht="13" x14ac:dyDescent="0.15">
      <c r="A922" s="35">
        <v>3</v>
      </c>
      <c r="B922" s="36" t="s">
        <v>787</v>
      </c>
      <c r="C922" s="36">
        <v>5.0000000000000001E-3</v>
      </c>
      <c r="D922" s="37" t="s">
        <v>183</v>
      </c>
      <c r="E922" s="37">
        <f>'Master Price list'!G80</f>
        <v>42</v>
      </c>
      <c r="F922" s="37">
        <f t="shared" si="113"/>
        <v>0.21</v>
      </c>
    </row>
    <row r="923" spans="1:6" ht="13" x14ac:dyDescent="0.15">
      <c r="A923" s="35">
        <v>4</v>
      </c>
      <c r="B923" s="36" t="s">
        <v>538</v>
      </c>
      <c r="C923" s="36">
        <v>5.0000000000000001E-3</v>
      </c>
      <c r="D923" s="37" t="s">
        <v>183</v>
      </c>
      <c r="E923" s="37">
        <f>'Master Price list'!G139</f>
        <v>23</v>
      </c>
      <c r="F923" s="37">
        <f t="shared" si="113"/>
        <v>0.115</v>
      </c>
    </row>
    <row r="924" spans="1:6" ht="13" x14ac:dyDescent="0.15">
      <c r="A924" s="35">
        <v>5</v>
      </c>
      <c r="B924" s="36" t="s">
        <v>937</v>
      </c>
      <c r="C924" s="36">
        <v>0.01</v>
      </c>
      <c r="D924" s="37" t="s">
        <v>183</v>
      </c>
      <c r="E924" s="37">
        <f>'Master Price list'!G84</f>
        <v>22.727272727272727</v>
      </c>
      <c r="F924" s="37">
        <f t="shared" si="113"/>
        <v>0.22727272727272727</v>
      </c>
    </row>
    <row r="925" spans="1:6" ht="13" x14ac:dyDescent="0.15">
      <c r="A925" s="35">
        <v>6</v>
      </c>
      <c r="B925" s="36" t="s">
        <v>962</v>
      </c>
      <c r="C925" s="36">
        <v>1.4999999999999999E-2</v>
      </c>
      <c r="D925" s="37" t="s">
        <v>183</v>
      </c>
      <c r="E925" s="37">
        <f>'Master Price list'!G29</f>
        <v>85</v>
      </c>
      <c r="F925" s="37">
        <f t="shared" si="113"/>
        <v>1.2749999999999999</v>
      </c>
    </row>
    <row r="926" spans="1:6" ht="13" x14ac:dyDescent="0.15">
      <c r="A926" s="35">
        <v>7</v>
      </c>
      <c r="B926" s="36" t="s">
        <v>963</v>
      </c>
      <c r="C926" s="36">
        <v>0.03</v>
      </c>
      <c r="D926" s="37" t="s">
        <v>183</v>
      </c>
      <c r="E926" s="37">
        <f>'Master Price list'!G188</f>
        <v>11.5</v>
      </c>
      <c r="F926" s="37">
        <f t="shared" si="113"/>
        <v>0.34499999999999997</v>
      </c>
    </row>
    <row r="927" spans="1:6" ht="13" x14ac:dyDescent="0.15">
      <c r="A927" s="35">
        <v>8</v>
      </c>
      <c r="B927" s="36" t="s">
        <v>611</v>
      </c>
      <c r="C927" s="36">
        <v>0.03</v>
      </c>
      <c r="D927" s="37" t="s">
        <v>183</v>
      </c>
      <c r="E927" s="37">
        <f>E913</f>
        <v>11.5</v>
      </c>
      <c r="F927" s="37">
        <f t="shared" si="113"/>
        <v>0.34499999999999997</v>
      </c>
    </row>
    <row r="928" spans="1:6" ht="13" x14ac:dyDescent="0.15">
      <c r="A928" s="21"/>
      <c r="B928" s="21"/>
      <c r="C928" s="38"/>
      <c r="D928" s="180" t="s">
        <v>777</v>
      </c>
      <c r="E928" s="179"/>
      <c r="F928" s="39">
        <f>SUM(F920:F927)</f>
        <v>3.4122727272727271</v>
      </c>
    </row>
    <row r="929" spans="1:6" ht="13" x14ac:dyDescent="0.15">
      <c r="A929" s="21"/>
      <c r="B929" s="21"/>
      <c r="C929" s="21"/>
      <c r="D929" s="30"/>
      <c r="E929" s="30"/>
      <c r="F929" s="40"/>
    </row>
    <row r="930" spans="1:6" ht="13" x14ac:dyDescent="0.15">
      <c r="A930" s="21"/>
      <c r="B930" s="21"/>
      <c r="C930" s="21"/>
      <c r="D930" s="30"/>
      <c r="E930" s="30"/>
      <c r="F930" s="40"/>
    </row>
    <row r="931" spans="1:6" ht="13" x14ac:dyDescent="0.15">
      <c r="A931" s="172" t="s">
        <v>107</v>
      </c>
      <c r="B931" s="173"/>
      <c r="C931" s="171"/>
      <c r="D931" s="34"/>
      <c r="E931" s="34"/>
      <c r="F931" s="34"/>
    </row>
    <row r="932" spans="1:6" ht="13" x14ac:dyDescent="0.15">
      <c r="A932" s="177" t="s">
        <v>773</v>
      </c>
      <c r="B932" s="178" t="s">
        <v>774</v>
      </c>
      <c r="C932" s="178" t="s">
        <v>775</v>
      </c>
      <c r="D932" s="178" t="s">
        <v>719</v>
      </c>
      <c r="E932" s="178" t="s">
        <v>776</v>
      </c>
      <c r="F932" s="178" t="s">
        <v>777</v>
      </c>
    </row>
    <row r="933" spans="1:6" ht="13" x14ac:dyDescent="0.15">
      <c r="A933" s="169"/>
      <c r="B933" s="179"/>
      <c r="C933" s="179"/>
      <c r="D933" s="179"/>
      <c r="E933" s="179"/>
      <c r="F933" s="179"/>
    </row>
    <row r="934" spans="1:6" ht="13" x14ac:dyDescent="0.15">
      <c r="A934" s="35">
        <v>1</v>
      </c>
      <c r="B934" s="36" t="s">
        <v>107</v>
      </c>
      <c r="C934" s="36">
        <v>1</v>
      </c>
      <c r="D934" s="37" t="s">
        <v>229</v>
      </c>
      <c r="E934" s="37">
        <f>'Master Price list'!G20</f>
        <v>15</v>
      </c>
      <c r="F934" s="37">
        <f t="shared" ref="F934:F939" si="114">E934*C934</f>
        <v>15</v>
      </c>
    </row>
    <row r="935" spans="1:6" ht="13" x14ac:dyDescent="0.15">
      <c r="A935" s="35">
        <v>2</v>
      </c>
      <c r="B935" s="36" t="s">
        <v>67</v>
      </c>
      <c r="C935" s="36">
        <v>0.15</v>
      </c>
      <c r="D935" s="37" t="s">
        <v>183</v>
      </c>
      <c r="E935" s="37">
        <f>'Master Price list'!G202</f>
        <v>4.8</v>
      </c>
      <c r="F935" s="37">
        <f t="shared" si="114"/>
        <v>0.72</v>
      </c>
    </row>
    <row r="936" spans="1:6" ht="13" x14ac:dyDescent="0.15">
      <c r="A936" s="35">
        <v>3</v>
      </c>
      <c r="B936" s="36" t="s">
        <v>964</v>
      </c>
      <c r="C936" s="36">
        <v>0.01</v>
      </c>
      <c r="D936" s="37" t="s">
        <v>183</v>
      </c>
      <c r="E936" s="37">
        <f>'Master Price list'!G160</f>
        <v>86</v>
      </c>
      <c r="F936" s="37">
        <f t="shared" si="114"/>
        <v>0.86</v>
      </c>
    </row>
    <row r="937" spans="1:6" ht="13" x14ac:dyDescent="0.15">
      <c r="A937" s="35">
        <v>4</v>
      </c>
      <c r="B937" s="36" t="s">
        <v>965</v>
      </c>
      <c r="C937" s="36">
        <v>5.0000000000000001E-3</v>
      </c>
      <c r="D937" s="37" t="s">
        <v>183</v>
      </c>
      <c r="E937" s="37">
        <f>'Master Price list'!G137</f>
        <v>45.2</v>
      </c>
      <c r="F937" s="37">
        <f t="shared" si="114"/>
        <v>0.22600000000000001</v>
      </c>
    </row>
    <row r="938" spans="1:6" ht="13" x14ac:dyDescent="0.15">
      <c r="A938" s="35">
        <v>5</v>
      </c>
      <c r="B938" s="36" t="s">
        <v>966</v>
      </c>
      <c r="C938" s="36">
        <v>1E-3</v>
      </c>
      <c r="D938" s="37" t="s">
        <v>183</v>
      </c>
      <c r="E938" s="37">
        <f>'Master Price list'!G41</f>
        <v>56</v>
      </c>
      <c r="F938" s="37">
        <f t="shared" si="114"/>
        <v>5.6000000000000001E-2</v>
      </c>
    </row>
    <row r="939" spans="1:6" ht="13" x14ac:dyDescent="0.15">
      <c r="A939" s="35">
        <v>6</v>
      </c>
      <c r="B939" s="36" t="s">
        <v>787</v>
      </c>
      <c r="C939" s="36">
        <v>5.0000000000000001E-3</v>
      </c>
      <c r="D939" s="37" t="s">
        <v>183</v>
      </c>
      <c r="E939" s="37">
        <f>'Master Price list'!G80</f>
        <v>42</v>
      </c>
      <c r="F939" s="37">
        <f t="shared" si="114"/>
        <v>0.21</v>
      </c>
    </row>
    <row r="940" spans="1:6" ht="13" x14ac:dyDescent="0.15">
      <c r="A940" s="21"/>
      <c r="B940" s="21"/>
      <c r="C940" s="38"/>
      <c r="D940" s="180" t="s">
        <v>777</v>
      </c>
      <c r="E940" s="179"/>
      <c r="F940" s="39">
        <f>SUM(F934:F939)</f>
        <v>17.072000000000003</v>
      </c>
    </row>
    <row r="941" spans="1:6" ht="13" x14ac:dyDescent="0.15">
      <c r="A941" s="21"/>
      <c r="B941" s="21"/>
      <c r="C941" s="21"/>
      <c r="D941" s="30"/>
      <c r="E941" s="30"/>
      <c r="F941" s="40"/>
    </row>
    <row r="942" spans="1:6" ht="13" x14ac:dyDescent="0.15">
      <c r="A942" s="21"/>
      <c r="B942" s="21"/>
      <c r="C942" s="21"/>
      <c r="D942" s="30"/>
      <c r="E942" s="30"/>
      <c r="F942" s="40"/>
    </row>
    <row r="943" spans="1:6" ht="13" x14ac:dyDescent="0.15">
      <c r="A943" s="172" t="s">
        <v>108</v>
      </c>
      <c r="B943" s="173"/>
      <c r="C943" s="171"/>
      <c r="D943" s="34"/>
      <c r="E943" s="34"/>
      <c r="F943" s="34"/>
    </row>
    <row r="944" spans="1:6" ht="13" x14ac:dyDescent="0.15">
      <c r="A944" s="177" t="s">
        <v>773</v>
      </c>
      <c r="B944" s="178" t="s">
        <v>774</v>
      </c>
      <c r="C944" s="178" t="s">
        <v>775</v>
      </c>
      <c r="D944" s="178" t="s">
        <v>719</v>
      </c>
      <c r="E944" s="178" t="s">
        <v>776</v>
      </c>
      <c r="F944" s="178" t="s">
        <v>777</v>
      </c>
    </row>
    <row r="945" spans="1:6" ht="13" x14ac:dyDescent="0.15">
      <c r="A945" s="169"/>
      <c r="B945" s="179"/>
      <c r="C945" s="179"/>
      <c r="D945" s="179"/>
      <c r="E945" s="179"/>
      <c r="F945" s="179"/>
    </row>
    <row r="946" spans="1:6" ht="13" x14ac:dyDescent="0.15">
      <c r="A946" s="35">
        <v>1</v>
      </c>
      <c r="B946" s="36" t="s">
        <v>841</v>
      </c>
      <c r="C946" s="36">
        <v>0.12</v>
      </c>
      <c r="D946" s="37" t="s">
        <v>229</v>
      </c>
      <c r="E946" s="37">
        <f>'Master Price list'!G16</f>
        <v>80</v>
      </c>
      <c r="F946" s="37">
        <f t="shared" ref="F946:F952" si="115">E946*C946</f>
        <v>9.6</v>
      </c>
    </row>
    <row r="947" spans="1:6" ht="13" x14ac:dyDescent="0.15">
      <c r="A947" s="35">
        <v>2</v>
      </c>
      <c r="B947" s="36" t="s">
        <v>837</v>
      </c>
      <c r="C947" s="36">
        <v>5.0000000000000001E-3</v>
      </c>
      <c r="D947" s="37" t="s">
        <v>183</v>
      </c>
      <c r="E947" s="37">
        <f>'Master Price list'!G172</f>
        <v>18</v>
      </c>
      <c r="F947" s="37">
        <f t="shared" si="115"/>
        <v>0.09</v>
      </c>
    </row>
    <row r="948" spans="1:6" ht="13" x14ac:dyDescent="0.15">
      <c r="A948" s="35">
        <v>3</v>
      </c>
      <c r="B948" s="36" t="s">
        <v>967</v>
      </c>
      <c r="C948" s="36">
        <v>0.05</v>
      </c>
      <c r="D948" s="37" t="s">
        <v>183</v>
      </c>
      <c r="E948" s="37">
        <f>'Master Price list'!G85</f>
        <v>8.495575221238937</v>
      </c>
      <c r="F948" s="37">
        <f t="shared" si="115"/>
        <v>0.4247787610619469</v>
      </c>
    </row>
    <row r="949" spans="1:6" ht="13" x14ac:dyDescent="0.15">
      <c r="A949" s="35">
        <v>4</v>
      </c>
      <c r="B949" s="36" t="s">
        <v>834</v>
      </c>
      <c r="C949" s="36">
        <v>5.0000000000000001E-3</v>
      </c>
      <c r="D949" s="37" t="s">
        <v>183</v>
      </c>
      <c r="E949" s="37">
        <f>E899</f>
        <v>15</v>
      </c>
      <c r="F949" s="37">
        <f t="shared" si="115"/>
        <v>7.4999999999999997E-2</v>
      </c>
    </row>
    <row r="950" spans="1:6" ht="13" x14ac:dyDescent="0.15">
      <c r="A950" s="35">
        <v>5</v>
      </c>
      <c r="B950" s="36" t="s">
        <v>964</v>
      </c>
      <c r="C950" s="36">
        <v>2E-3</v>
      </c>
      <c r="D950" s="37" t="s">
        <v>183</v>
      </c>
      <c r="E950" s="37">
        <f>E936</f>
        <v>86</v>
      </c>
      <c r="F950" s="37">
        <f t="shared" si="115"/>
        <v>0.17200000000000001</v>
      </c>
    </row>
    <row r="951" spans="1:6" ht="13" x14ac:dyDescent="0.15">
      <c r="A951" s="35">
        <v>6</v>
      </c>
      <c r="B951" s="36" t="s">
        <v>833</v>
      </c>
      <c r="C951" s="36">
        <v>1.4999999999999999E-2</v>
      </c>
      <c r="D951" s="37" t="s">
        <v>183</v>
      </c>
      <c r="E951" s="37">
        <f>E926</f>
        <v>11.5</v>
      </c>
      <c r="F951" s="37">
        <f t="shared" si="115"/>
        <v>0.17249999999999999</v>
      </c>
    </row>
    <row r="952" spans="1:6" ht="13" x14ac:dyDescent="0.15">
      <c r="A952" s="35">
        <v>7</v>
      </c>
      <c r="B952" s="36" t="s">
        <v>968</v>
      </c>
      <c r="C952" s="36">
        <v>0.01</v>
      </c>
      <c r="D952" s="37" t="s">
        <v>183</v>
      </c>
      <c r="E952" s="37">
        <f>'Master Price list'!G176</f>
        <v>13.5</v>
      </c>
      <c r="F952" s="37">
        <f t="shared" si="115"/>
        <v>0.13500000000000001</v>
      </c>
    </row>
    <row r="953" spans="1:6" ht="13" x14ac:dyDescent="0.15">
      <c r="A953" s="21"/>
      <c r="B953" s="21"/>
      <c r="C953" s="38"/>
      <c r="D953" s="180" t="s">
        <v>777</v>
      </c>
      <c r="E953" s="179"/>
      <c r="F953" s="39">
        <f>SUM(F946:F952)</f>
        <v>10.669278761061946</v>
      </c>
    </row>
    <row r="954" spans="1:6" ht="13" x14ac:dyDescent="0.15">
      <c r="A954" s="21"/>
      <c r="B954" s="21"/>
      <c r="C954" s="21"/>
      <c r="D954" s="30"/>
      <c r="E954" s="30"/>
      <c r="F954" s="40"/>
    </row>
    <row r="955" spans="1:6" ht="13" x14ac:dyDescent="0.15">
      <c r="A955" s="21"/>
      <c r="B955" s="21"/>
      <c r="C955" s="21"/>
      <c r="D955" s="30"/>
      <c r="E955" s="30"/>
      <c r="F955" s="40"/>
    </row>
    <row r="956" spans="1:6" ht="13" x14ac:dyDescent="0.15">
      <c r="A956" s="172" t="s">
        <v>109</v>
      </c>
      <c r="B956" s="173"/>
      <c r="C956" s="171"/>
      <c r="D956" s="34"/>
      <c r="E956" s="34"/>
      <c r="F956" s="34"/>
    </row>
    <row r="957" spans="1:6" ht="13" x14ac:dyDescent="0.15">
      <c r="A957" s="177" t="s">
        <v>773</v>
      </c>
      <c r="B957" s="178" t="s">
        <v>774</v>
      </c>
      <c r="C957" s="178" t="s">
        <v>775</v>
      </c>
      <c r="D957" s="178" t="s">
        <v>719</v>
      </c>
      <c r="E957" s="178" t="s">
        <v>776</v>
      </c>
      <c r="F957" s="178" t="s">
        <v>777</v>
      </c>
    </row>
    <row r="958" spans="1:6" ht="13" x14ac:dyDescent="0.15">
      <c r="A958" s="169"/>
      <c r="B958" s="179"/>
      <c r="C958" s="179"/>
      <c r="D958" s="179"/>
      <c r="E958" s="179"/>
      <c r="F958" s="179"/>
    </row>
    <row r="959" spans="1:6" ht="13" x14ac:dyDescent="0.15">
      <c r="A959" s="35">
        <v>1</v>
      </c>
      <c r="B959" s="36" t="s">
        <v>62</v>
      </c>
      <c r="C959" s="36">
        <v>0.05</v>
      </c>
      <c r="D959" s="37" t="s">
        <v>229</v>
      </c>
      <c r="E959" s="37">
        <f>E921</f>
        <v>55</v>
      </c>
      <c r="F959" s="37">
        <f t="shared" ref="F959:F966" si="116">E959*C959</f>
        <v>2.75</v>
      </c>
    </row>
    <row r="960" spans="1:6" ht="13" x14ac:dyDescent="0.15">
      <c r="A960" s="35">
        <v>2</v>
      </c>
      <c r="B960" s="36" t="s">
        <v>611</v>
      </c>
      <c r="C960" s="36">
        <v>3.0000000000000001E-3</v>
      </c>
      <c r="D960" s="37" t="s">
        <v>183</v>
      </c>
      <c r="E960" s="37">
        <f>E927</f>
        <v>11.5</v>
      </c>
      <c r="F960" s="37">
        <f t="shared" si="116"/>
        <v>3.4500000000000003E-2</v>
      </c>
    </row>
    <row r="961" spans="1:6" ht="13" x14ac:dyDescent="0.15">
      <c r="A961" s="35">
        <v>3</v>
      </c>
      <c r="B961" s="36" t="s">
        <v>965</v>
      </c>
      <c r="C961" s="36">
        <v>5.0000000000000001E-3</v>
      </c>
      <c r="D961" s="37" t="s">
        <v>183</v>
      </c>
      <c r="E961" s="37">
        <f>E937</f>
        <v>45.2</v>
      </c>
      <c r="F961" s="37">
        <f t="shared" si="116"/>
        <v>0.22600000000000001</v>
      </c>
    </row>
    <row r="962" spans="1:6" ht="13" x14ac:dyDescent="0.15">
      <c r="A962" s="35">
        <v>4</v>
      </c>
      <c r="B962" s="36" t="s">
        <v>969</v>
      </c>
      <c r="C962" s="36">
        <v>5.0000000000000001E-3</v>
      </c>
      <c r="D962" s="37" t="s">
        <v>183</v>
      </c>
      <c r="E962" s="37">
        <f>'Master Price list'!G81</f>
        <v>44.7</v>
      </c>
      <c r="F962" s="37">
        <f t="shared" si="116"/>
        <v>0.22350000000000003</v>
      </c>
    </row>
    <row r="963" spans="1:6" ht="13" x14ac:dyDescent="0.15">
      <c r="A963" s="35">
        <v>5</v>
      </c>
      <c r="B963" s="36" t="s">
        <v>214</v>
      </c>
      <c r="C963" s="36">
        <v>0.05</v>
      </c>
      <c r="D963" s="37" t="s">
        <v>183</v>
      </c>
      <c r="E963" s="37">
        <f>'Master Price list'!G15</f>
        <v>26.57</v>
      </c>
      <c r="F963" s="37">
        <f t="shared" si="116"/>
        <v>1.3285</v>
      </c>
    </row>
    <row r="964" spans="1:6" ht="13" x14ac:dyDescent="0.15">
      <c r="A964" s="35">
        <v>6</v>
      </c>
      <c r="B964" s="36" t="s">
        <v>935</v>
      </c>
      <c r="C964" s="36">
        <v>0.01</v>
      </c>
      <c r="D964" s="37" t="s">
        <v>183</v>
      </c>
      <c r="E964" s="37">
        <f>E925</f>
        <v>85</v>
      </c>
      <c r="F964" s="37">
        <f t="shared" si="116"/>
        <v>0.85</v>
      </c>
    </row>
    <row r="965" spans="1:6" ht="13" x14ac:dyDescent="0.15">
      <c r="A965" s="35">
        <v>7</v>
      </c>
      <c r="B965" s="36" t="s">
        <v>931</v>
      </c>
      <c r="C965" s="36">
        <v>0.01</v>
      </c>
      <c r="D965" s="37" t="s">
        <v>183</v>
      </c>
      <c r="E965" s="37">
        <f>'Master Price list'!G140</f>
        <v>60</v>
      </c>
      <c r="F965" s="37">
        <f t="shared" si="116"/>
        <v>0.6</v>
      </c>
    </row>
    <row r="966" spans="1:6" ht="13" x14ac:dyDescent="0.15">
      <c r="A966" s="35">
        <v>8</v>
      </c>
      <c r="B966" s="36" t="s">
        <v>787</v>
      </c>
      <c r="C966" s="36">
        <v>1.4999999999999999E-2</v>
      </c>
      <c r="D966" s="37" t="s">
        <v>183</v>
      </c>
      <c r="E966" s="37">
        <f>E939</f>
        <v>42</v>
      </c>
      <c r="F966" s="37">
        <f t="shared" si="116"/>
        <v>0.63</v>
      </c>
    </row>
    <row r="967" spans="1:6" ht="13" x14ac:dyDescent="0.15">
      <c r="A967" s="21"/>
      <c r="B967" s="21"/>
      <c r="C967" s="38"/>
      <c r="D967" s="180" t="s">
        <v>777</v>
      </c>
      <c r="E967" s="179"/>
      <c r="F967" s="39">
        <f>SUM(F959:F966)</f>
        <v>6.6424999999999992</v>
      </c>
    </row>
    <row r="968" spans="1:6" ht="13" x14ac:dyDescent="0.15">
      <c r="A968" s="21"/>
      <c r="B968" s="21"/>
      <c r="C968" s="21"/>
      <c r="D968" s="30"/>
      <c r="E968" s="30"/>
      <c r="F968" s="40"/>
    </row>
    <row r="969" spans="1:6" ht="13" x14ac:dyDescent="0.15">
      <c r="A969" s="21"/>
      <c r="B969" s="21"/>
      <c r="C969" s="21"/>
      <c r="D969" s="30"/>
      <c r="E969" s="30"/>
      <c r="F969" s="40"/>
    </row>
    <row r="970" spans="1:6" ht="13" x14ac:dyDescent="0.15">
      <c r="A970" s="172" t="s">
        <v>110</v>
      </c>
      <c r="B970" s="173"/>
      <c r="C970" s="171"/>
      <c r="D970" s="34"/>
      <c r="E970" s="34"/>
      <c r="F970" s="34"/>
    </row>
    <row r="971" spans="1:6" ht="13" x14ac:dyDescent="0.15">
      <c r="A971" s="177" t="s">
        <v>773</v>
      </c>
      <c r="B971" s="178" t="s">
        <v>774</v>
      </c>
      <c r="C971" s="178" t="s">
        <v>775</v>
      </c>
      <c r="D971" s="178" t="s">
        <v>719</v>
      </c>
      <c r="E971" s="178" t="s">
        <v>776</v>
      </c>
      <c r="F971" s="178" t="s">
        <v>777</v>
      </c>
    </row>
    <row r="972" spans="1:6" ht="13" x14ac:dyDescent="0.15">
      <c r="A972" s="169"/>
      <c r="B972" s="179"/>
      <c r="C972" s="179"/>
      <c r="D972" s="179"/>
      <c r="E972" s="179"/>
      <c r="F972" s="179"/>
    </row>
    <row r="973" spans="1:6" ht="13" x14ac:dyDescent="0.15">
      <c r="A973" s="35">
        <v>1</v>
      </c>
      <c r="B973" s="36" t="s">
        <v>62</v>
      </c>
      <c r="C973" s="36">
        <v>0.05</v>
      </c>
      <c r="D973" s="37" t="s">
        <v>229</v>
      </c>
      <c r="E973" s="37">
        <f t="shared" ref="E973:E976" si="117">E959</f>
        <v>55</v>
      </c>
      <c r="F973" s="37">
        <f t="shared" ref="F973:F980" si="118">E973*C973</f>
        <v>2.75</v>
      </c>
    </row>
    <row r="974" spans="1:6" ht="13" x14ac:dyDescent="0.15">
      <c r="A974" s="35">
        <v>2</v>
      </c>
      <c r="B974" s="36" t="s">
        <v>611</v>
      </c>
      <c r="C974" s="36">
        <v>3.0000000000000001E-3</v>
      </c>
      <c r="D974" s="37" t="s">
        <v>183</v>
      </c>
      <c r="E974" s="37">
        <f t="shared" si="117"/>
        <v>11.5</v>
      </c>
      <c r="F974" s="37">
        <f t="shared" si="118"/>
        <v>3.4500000000000003E-2</v>
      </c>
    </row>
    <row r="975" spans="1:6" ht="13" x14ac:dyDescent="0.15">
      <c r="A975" s="35">
        <v>3</v>
      </c>
      <c r="B975" s="36" t="s">
        <v>965</v>
      </c>
      <c r="C975" s="36">
        <v>5.0000000000000001E-3</v>
      </c>
      <c r="D975" s="37" t="s">
        <v>183</v>
      </c>
      <c r="E975" s="37">
        <f t="shared" si="117"/>
        <v>45.2</v>
      </c>
      <c r="F975" s="37">
        <f t="shared" si="118"/>
        <v>0.22600000000000001</v>
      </c>
    </row>
    <row r="976" spans="1:6" ht="13" x14ac:dyDescent="0.15">
      <c r="A976" s="35">
        <v>4</v>
      </c>
      <c r="B976" s="36" t="s">
        <v>969</v>
      </c>
      <c r="C976" s="36">
        <v>5.0000000000000001E-3</v>
      </c>
      <c r="D976" s="37" t="s">
        <v>183</v>
      </c>
      <c r="E976" s="37">
        <f t="shared" si="117"/>
        <v>44.7</v>
      </c>
      <c r="F976" s="37">
        <f t="shared" si="118"/>
        <v>0.22350000000000003</v>
      </c>
    </row>
    <row r="977" spans="1:6" ht="13" x14ac:dyDescent="0.15">
      <c r="A977" s="35">
        <v>5</v>
      </c>
      <c r="B977" s="36" t="s">
        <v>842</v>
      </c>
      <c r="C977" s="36">
        <v>0.05</v>
      </c>
      <c r="D977" s="37" t="s">
        <v>183</v>
      </c>
      <c r="E977" s="37">
        <f>'Master Price list'!G17</f>
        <v>128</v>
      </c>
      <c r="F977" s="37">
        <f t="shared" si="118"/>
        <v>6.4</v>
      </c>
    </row>
    <row r="978" spans="1:6" ht="13" x14ac:dyDescent="0.15">
      <c r="A978" s="35">
        <v>6</v>
      </c>
      <c r="B978" s="36" t="s">
        <v>935</v>
      </c>
      <c r="C978" s="36">
        <v>0.01</v>
      </c>
      <c r="D978" s="37" t="s">
        <v>183</v>
      </c>
      <c r="E978" s="37">
        <f t="shared" ref="E978:E980" si="119">E964</f>
        <v>85</v>
      </c>
      <c r="F978" s="37">
        <f t="shared" si="118"/>
        <v>0.85</v>
      </c>
    </row>
    <row r="979" spans="1:6" ht="13" x14ac:dyDescent="0.15">
      <c r="A979" s="35">
        <v>7</v>
      </c>
      <c r="B979" s="36" t="s">
        <v>931</v>
      </c>
      <c r="C979" s="36">
        <v>0.01</v>
      </c>
      <c r="D979" s="37" t="s">
        <v>183</v>
      </c>
      <c r="E979" s="37">
        <f t="shared" si="119"/>
        <v>60</v>
      </c>
      <c r="F979" s="37">
        <f t="shared" si="118"/>
        <v>0.6</v>
      </c>
    </row>
    <row r="980" spans="1:6" ht="13" x14ac:dyDescent="0.15">
      <c r="A980" s="35">
        <v>8</v>
      </c>
      <c r="B980" s="36" t="s">
        <v>787</v>
      </c>
      <c r="C980" s="36">
        <v>1.4999999999999999E-2</v>
      </c>
      <c r="D980" s="37" t="s">
        <v>183</v>
      </c>
      <c r="E980" s="37">
        <f t="shared" si="119"/>
        <v>42</v>
      </c>
      <c r="F980" s="37">
        <f t="shared" si="118"/>
        <v>0.63</v>
      </c>
    </row>
    <row r="981" spans="1:6" ht="13" x14ac:dyDescent="0.15">
      <c r="A981" s="21"/>
      <c r="B981" s="21"/>
      <c r="C981" s="38"/>
      <c r="D981" s="180" t="s">
        <v>777</v>
      </c>
      <c r="E981" s="179"/>
      <c r="F981" s="39">
        <f>SUM(F973:F980)</f>
        <v>11.714</v>
      </c>
    </row>
    <row r="982" spans="1:6" ht="13" x14ac:dyDescent="0.15">
      <c r="A982" s="21"/>
      <c r="B982" s="21"/>
      <c r="C982" s="21"/>
      <c r="D982" s="30"/>
      <c r="E982" s="30"/>
      <c r="F982" s="40"/>
    </row>
    <row r="983" spans="1:6" ht="13" x14ac:dyDescent="0.15">
      <c r="A983" s="21"/>
      <c r="B983" s="21"/>
      <c r="C983" s="21"/>
      <c r="D983" s="30"/>
      <c r="E983" s="30"/>
      <c r="F983" s="40"/>
    </row>
    <row r="984" spans="1:6" ht="13" x14ac:dyDescent="0.15">
      <c r="A984" s="172" t="s">
        <v>156</v>
      </c>
      <c r="B984" s="173"/>
      <c r="C984" s="171"/>
      <c r="D984" s="34"/>
      <c r="E984" s="34"/>
      <c r="F984" s="34"/>
    </row>
    <row r="985" spans="1:6" ht="13" x14ac:dyDescent="0.15">
      <c r="A985" s="177" t="s">
        <v>773</v>
      </c>
      <c r="B985" s="178" t="s">
        <v>774</v>
      </c>
      <c r="C985" s="178" t="s">
        <v>775</v>
      </c>
      <c r="D985" s="178" t="s">
        <v>719</v>
      </c>
      <c r="E985" s="178" t="s">
        <v>776</v>
      </c>
      <c r="F985" s="178" t="s">
        <v>777</v>
      </c>
    </row>
    <row r="986" spans="1:6" ht="13" x14ac:dyDescent="0.15">
      <c r="A986" s="169"/>
      <c r="B986" s="179"/>
      <c r="C986" s="179"/>
      <c r="D986" s="179"/>
      <c r="E986" s="179"/>
      <c r="F986" s="179"/>
    </row>
    <row r="987" spans="1:6" ht="13" x14ac:dyDescent="0.15">
      <c r="A987" s="35">
        <v>1</v>
      </c>
      <c r="B987" s="36" t="s">
        <v>970</v>
      </c>
      <c r="C987" s="36">
        <v>1</v>
      </c>
      <c r="D987" s="37" t="s">
        <v>730</v>
      </c>
      <c r="E987" s="37">
        <f>'Item list'!B22</f>
        <v>1.2713037037037036</v>
      </c>
      <c r="F987" s="37">
        <f t="shared" ref="F987:F993" si="120">E987*C987</f>
        <v>1.2713037037037036</v>
      </c>
    </row>
    <row r="988" spans="1:6" ht="13" x14ac:dyDescent="0.15">
      <c r="A988" s="35">
        <v>2</v>
      </c>
      <c r="B988" s="36" t="s">
        <v>733</v>
      </c>
      <c r="C988" s="36">
        <v>0.1</v>
      </c>
      <c r="D988" s="37" t="s">
        <v>183</v>
      </c>
      <c r="E988" s="37">
        <f>'Item list'!B20</f>
        <v>16.610233164983168</v>
      </c>
      <c r="F988" s="37">
        <f t="shared" si="120"/>
        <v>1.6610233164983168</v>
      </c>
    </row>
    <row r="989" spans="1:6" ht="13" x14ac:dyDescent="0.15">
      <c r="A989" s="35">
        <v>3</v>
      </c>
      <c r="B989" s="36" t="s">
        <v>810</v>
      </c>
      <c r="C989" s="36">
        <v>0.02</v>
      </c>
      <c r="D989" s="37" t="s">
        <v>183</v>
      </c>
      <c r="E989" s="37">
        <f>'Master Price list'!G24</f>
        <v>50</v>
      </c>
      <c r="F989" s="37">
        <f t="shared" si="120"/>
        <v>1</v>
      </c>
    </row>
    <row r="990" spans="1:6" ht="13" x14ac:dyDescent="0.15">
      <c r="A990" s="35">
        <v>4</v>
      </c>
      <c r="B990" s="36" t="s">
        <v>948</v>
      </c>
      <c r="C990" s="36">
        <v>0.02</v>
      </c>
      <c r="D990" s="37" t="s">
        <v>183</v>
      </c>
      <c r="E990" s="37">
        <f>'Master Price list'!G32</f>
        <v>40.75</v>
      </c>
      <c r="F990" s="37">
        <f t="shared" si="120"/>
        <v>0.81500000000000006</v>
      </c>
    </row>
    <row r="991" spans="1:6" ht="13" x14ac:dyDescent="0.15">
      <c r="A991" s="35">
        <v>5</v>
      </c>
      <c r="B991" s="36" t="s">
        <v>874</v>
      </c>
      <c r="C991" s="36">
        <v>0.01</v>
      </c>
      <c r="D991" s="37" t="s">
        <v>183</v>
      </c>
      <c r="E991" s="37">
        <f>'Master Price list'!G33</f>
        <v>95</v>
      </c>
      <c r="F991" s="37">
        <f t="shared" si="120"/>
        <v>0.95000000000000007</v>
      </c>
    </row>
    <row r="992" spans="1:6" ht="13" x14ac:dyDescent="0.15">
      <c r="A992" s="35">
        <v>6</v>
      </c>
      <c r="B992" s="36" t="s">
        <v>935</v>
      </c>
      <c r="C992" s="36">
        <v>5.0000000000000001E-3</v>
      </c>
      <c r="D992" s="37" t="s">
        <v>183</v>
      </c>
      <c r="E992" s="37">
        <f>'Master Price list'!G29</f>
        <v>85</v>
      </c>
      <c r="F992" s="37">
        <f t="shared" si="120"/>
        <v>0.42499999999999999</v>
      </c>
    </row>
    <row r="993" spans="1:6" ht="13" x14ac:dyDescent="0.15">
      <c r="A993" s="35">
        <v>7</v>
      </c>
      <c r="B993" s="36" t="s">
        <v>971</v>
      </c>
      <c r="C993" s="36">
        <v>0.02</v>
      </c>
      <c r="D993" s="37" t="s">
        <v>183</v>
      </c>
      <c r="E993" s="37">
        <f>'Item list'!B46</f>
        <v>11.198701298701298</v>
      </c>
      <c r="F993" s="37">
        <f t="shared" si="120"/>
        <v>0.22397402597402596</v>
      </c>
    </row>
    <row r="994" spans="1:6" ht="13" x14ac:dyDescent="0.15">
      <c r="A994" s="21"/>
      <c r="B994" s="21"/>
      <c r="C994" s="38"/>
      <c r="D994" s="180" t="s">
        <v>777</v>
      </c>
      <c r="E994" s="179"/>
      <c r="F994" s="39">
        <f>SUM(F987:F993)</f>
        <v>6.3463010461760465</v>
      </c>
    </row>
    <row r="995" spans="1:6" ht="13" x14ac:dyDescent="0.15">
      <c r="A995" s="21"/>
      <c r="B995" s="21"/>
      <c r="C995" s="21"/>
      <c r="D995" s="30"/>
      <c r="E995" s="30"/>
      <c r="F995" s="40"/>
    </row>
    <row r="996" spans="1:6" ht="13" x14ac:dyDescent="0.15">
      <c r="A996" s="21"/>
      <c r="B996" s="21"/>
      <c r="C996" s="21"/>
      <c r="D996" s="30"/>
      <c r="E996" s="30"/>
      <c r="F996" s="40"/>
    </row>
    <row r="997" spans="1:6" ht="13" x14ac:dyDescent="0.15">
      <c r="A997" s="172" t="s">
        <v>157</v>
      </c>
      <c r="B997" s="173"/>
      <c r="C997" s="171"/>
      <c r="D997" s="34"/>
      <c r="E997" s="34"/>
      <c r="F997" s="34"/>
    </row>
    <row r="998" spans="1:6" ht="13" x14ac:dyDescent="0.15">
      <c r="A998" s="177" t="s">
        <v>773</v>
      </c>
      <c r="B998" s="178" t="s">
        <v>774</v>
      </c>
      <c r="C998" s="178" t="s">
        <v>775</v>
      </c>
      <c r="D998" s="178" t="s">
        <v>719</v>
      </c>
      <c r="E998" s="178" t="s">
        <v>776</v>
      </c>
      <c r="F998" s="178" t="s">
        <v>777</v>
      </c>
    </row>
    <row r="999" spans="1:6" ht="13" x14ac:dyDescent="0.15">
      <c r="A999" s="169"/>
      <c r="B999" s="179"/>
      <c r="C999" s="179"/>
      <c r="D999" s="179"/>
      <c r="E999" s="179"/>
      <c r="F999" s="179"/>
    </row>
    <row r="1000" spans="1:6" ht="13" x14ac:dyDescent="0.15">
      <c r="A1000" s="35">
        <v>1</v>
      </c>
      <c r="B1000" s="36" t="s">
        <v>970</v>
      </c>
      <c r="C1000" s="36">
        <v>1</v>
      </c>
      <c r="D1000" s="37" t="s">
        <v>730</v>
      </c>
      <c r="E1000" s="37">
        <f t="shared" ref="E1000:E1003" si="121">E987</f>
        <v>1.2713037037037036</v>
      </c>
      <c r="F1000" s="37">
        <f t="shared" ref="F1000:F1008" si="122">E1000*C1000</f>
        <v>1.2713037037037036</v>
      </c>
    </row>
    <row r="1001" spans="1:6" ht="13" x14ac:dyDescent="0.15">
      <c r="A1001" s="35">
        <v>2</v>
      </c>
      <c r="B1001" s="36" t="s">
        <v>733</v>
      </c>
      <c r="C1001" s="36">
        <v>0.1</v>
      </c>
      <c r="D1001" s="37" t="s">
        <v>183</v>
      </c>
      <c r="E1001" s="37">
        <f t="shared" si="121"/>
        <v>16.610233164983168</v>
      </c>
      <c r="F1001" s="37">
        <f t="shared" si="122"/>
        <v>1.6610233164983168</v>
      </c>
    </row>
    <row r="1002" spans="1:6" ht="13" x14ac:dyDescent="0.15">
      <c r="A1002" s="35">
        <v>3</v>
      </c>
      <c r="B1002" s="36" t="s">
        <v>810</v>
      </c>
      <c r="C1002" s="36">
        <v>0.02</v>
      </c>
      <c r="D1002" s="37" t="s">
        <v>183</v>
      </c>
      <c r="E1002" s="37">
        <f t="shared" si="121"/>
        <v>50</v>
      </c>
      <c r="F1002" s="37">
        <f t="shared" si="122"/>
        <v>1</v>
      </c>
    </row>
    <row r="1003" spans="1:6" ht="13" x14ac:dyDescent="0.15">
      <c r="A1003" s="35">
        <v>4</v>
      </c>
      <c r="B1003" s="36" t="s">
        <v>948</v>
      </c>
      <c r="C1003" s="36">
        <v>0.02</v>
      </c>
      <c r="D1003" s="37" t="s">
        <v>183</v>
      </c>
      <c r="E1003" s="37">
        <f t="shared" si="121"/>
        <v>40.75</v>
      </c>
      <c r="F1003" s="37">
        <f t="shared" si="122"/>
        <v>0.81500000000000006</v>
      </c>
    </row>
    <row r="1004" spans="1:6" ht="13" x14ac:dyDescent="0.15">
      <c r="A1004" s="35">
        <v>5</v>
      </c>
      <c r="B1004" s="36" t="s">
        <v>972</v>
      </c>
      <c r="C1004" s="36">
        <v>0.04</v>
      </c>
      <c r="D1004" s="37" t="s">
        <v>183</v>
      </c>
      <c r="E1004" s="37">
        <f>'Master Price list'!G10</f>
        <v>42.94</v>
      </c>
      <c r="F1004" s="37">
        <f t="shared" si="122"/>
        <v>1.7176</v>
      </c>
    </row>
    <row r="1005" spans="1:6" ht="13" x14ac:dyDescent="0.15">
      <c r="A1005" s="35">
        <v>6</v>
      </c>
      <c r="B1005" s="36" t="s">
        <v>833</v>
      </c>
      <c r="C1005" s="36">
        <v>0.05</v>
      </c>
      <c r="D1005" s="37" t="s">
        <v>183</v>
      </c>
      <c r="E1005" s="37">
        <f>'Master Price list'!G189</f>
        <v>3.3</v>
      </c>
      <c r="F1005" s="37">
        <f t="shared" si="122"/>
        <v>0.16500000000000001</v>
      </c>
    </row>
    <row r="1006" spans="1:6" ht="13" x14ac:dyDescent="0.15">
      <c r="A1006" s="35">
        <v>7</v>
      </c>
      <c r="B1006" s="36" t="s">
        <v>820</v>
      </c>
      <c r="C1006" s="36">
        <v>0.02</v>
      </c>
      <c r="D1006" s="37" t="s">
        <v>183</v>
      </c>
      <c r="E1006" s="37">
        <f>'Master Price list'!G166</f>
        <v>17</v>
      </c>
      <c r="F1006" s="37">
        <f t="shared" si="122"/>
        <v>0.34</v>
      </c>
    </row>
    <row r="1007" spans="1:6" ht="13" x14ac:dyDescent="0.15">
      <c r="A1007" s="35">
        <v>7</v>
      </c>
      <c r="B1007" s="36" t="s">
        <v>971</v>
      </c>
      <c r="C1007" s="36">
        <v>0.02</v>
      </c>
      <c r="D1007" s="37" t="s">
        <v>183</v>
      </c>
      <c r="E1007" s="37">
        <f>E993</f>
        <v>11.198701298701298</v>
      </c>
      <c r="F1007" s="37">
        <f t="shared" si="122"/>
        <v>0.22397402597402596</v>
      </c>
    </row>
    <row r="1008" spans="1:6" ht="13" x14ac:dyDescent="0.15">
      <c r="A1008" s="35">
        <v>8</v>
      </c>
      <c r="B1008" s="36" t="s">
        <v>748</v>
      </c>
      <c r="C1008" s="36">
        <v>0.03</v>
      </c>
      <c r="D1008" s="37" t="s">
        <v>183</v>
      </c>
      <c r="E1008" s="37">
        <f>'Item list'!B38</f>
        <v>46.530916666666656</v>
      </c>
      <c r="F1008" s="37">
        <f t="shared" si="122"/>
        <v>1.3959274999999995</v>
      </c>
    </row>
    <row r="1009" spans="1:6" ht="13" x14ac:dyDescent="0.15">
      <c r="A1009" s="21"/>
      <c r="B1009" s="21"/>
      <c r="C1009" s="38"/>
      <c r="D1009" s="180" t="s">
        <v>777</v>
      </c>
      <c r="E1009" s="179"/>
      <c r="F1009" s="39">
        <f>SUM(F1000:F1008)</f>
        <v>8.5898285461760455</v>
      </c>
    </row>
    <row r="1010" spans="1:6" ht="13" x14ac:dyDescent="0.15">
      <c r="A1010" s="21"/>
      <c r="B1010" s="21"/>
      <c r="C1010" s="21"/>
      <c r="D1010" s="30"/>
      <c r="E1010" s="30"/>
      <c r="F1010" s="30"/>
    </row>
    <row r="1011" spans="1:6" ht="13" x14ac:dyDescent="0.15">
      <c r="A1011" s="21"/>
      <c r="B1011" s="21"/>
      <c r="C1011" s="21"/>
      <c r="D1011" s="30"/>
      <c r="E1011" s="30"/>
      <c r="F1011" s="30"/>
    </row>
    <row r="1012" spans="1:6" ht="13" x14ac:dyDescent="0.15">
      <c r="A1012" s="172" t="s">
        <v>160</v>
      </c>
      <c r="B1012" s="173"/>
      <c r="C1012" s="171"/>
      <c r="D1012" s="34"/>
      <c r="E1012" s="34"/>
      <c r="F1012" s="34"/>
    </row>
    <row r="1013" spans="1:6" ht="13" x14ac:dyDescent="0.15">
      <c r="A1013" s="177" t="s">
        <v>773</v>
      </c>
      <c r="B1013" s="178" t="s">
        <v>774</v>
      </c>
      <c r="C1013" s="178" t="s">
        <v>775</v>
      </c>
      <c r="D1013" s="178" t="s">
        <v>719</v>
      </c>
      <c r="E1013" s="178" t="s">
        <v>776</v>
      </c>
      <c r="F1013" s="178" t="s">
        <v>777</v>
      </c>
    </row>
    <row r="1014" spans="1:6" ht="13" x14ac:dyDescent="0.15">
      <c r="A1014" s="169"/>
      <c r="B1014" s="179"/>
      <c r="C1014" s="179"/>
      <c r="D1014" s="179"/>
      <c r="E1014" s="179"/>
      <c r="F1014" s="179"/>
    </row>
    <row r="1015" spans="1:6" ht="13" x14ac:dyDescent="0.15">
      <c r="A1015" s="35">
        <v>1</v>
      </c>
      <c r="B1015" s="36" t="s">
        <v>970</v>
      </c>
      <c r="C1015" s="36">
        <v>1</v>
      </c>
      <c r="D1015" s="37" t="s">
        <v>730</v>
      </c>
      <c r="E1015" s="37">
        <f t="shared" ref="E1015:E1018" si="123">E1000</f>
        <v>1.2713037037037036</v>
      </c>
      <c r="F1015" s="37">
        <f t="shared" ref="F1015:F1021" si="124">E1015*C1015</f>
        <v>1.2713037037037036</v>
      </c>
    </row>
    <row r="1016" spans="1:6" ht="13" x14ac:dyDescent="0.15">
      <c r="A1016" s="35">
        <v>2</v>
      </c>
      <c r="B1016" s="36" t="s">
        <v>733</v>
      </c>
      <c r="C1016" s="36">
        <v>0.1</v>
      </c>
      <c r="D1016" s="37" t="s">
        <v>183</v>
      </c>
      <c r="E1016" s="37">
        <f t="shared" si="123"/>
        <v>16.610233164983168</v>
      </c>
      <c r="F1016" s="37">
        <f t="shared" si="124"/>
        <v>1.6610233164983168</v>
      </c>
    </row>
    <row r="1017" spans="1:6" ht="13" x14ac:dyDescent="0.15">
      <c r="A1017" s="35">
        <v>3</v>
      </c>
      <c r="B1017" s="36" t="s">
        <v>810</v>
      </c>
      <c r="C1017" s="36">
        <v>0.02</v>
      </c>
      <c r="D1017" s="37" t="s">
        <v>183</v>
      </c>
      <c r="E1017" s="37">
        <f t="shared" si="123"/>
        <v>50</v>
      </c>
      <c r="F1017" s="37">
        <f t="shared" si="124"/>
        <v>1</v>
      </c>
    </row>
    <row r="1018" spans="1:6" ht="13" x14ac:dyDescent="0.15">
      <c r="A1018" s="35">
        <v>4</v>
      </c>
      <c r="B1018" s="36" t="s">
        <v>948</v>
      </c>
      <c r="C1018" s="36">
        <v>0.02</v>
      </c>
      <c r="D1018" s="37" t="s">
        <v>183</v>
      </c>
      <c r="E1018" s="37">
        <f t="shared" si="123"/>
        <v>40.75</v>
      </c>
      <c r="F1018" s="37">
        <f t="shared" si="124"/>
        <v>0.81500000000000006</v>
      </c>
    </row>
    <row r="1019" spans="1:6" ht="13" x14ac:dyDescent="0.15">
      <c r="A1019" s="35">
        <v>5</v>
      </c>
      <c r="B1019" s="36" t="s">
        <v>67</v>
      </c>
      <c r="C1019" s="36">
        <v>0.04</v>
      </c>
      <c r="D1019" s="37" t="s">
        <v>183</v>
      </c>
      <c r="E1019" s="37">
        <f>E935</f>
        <v>4.8</v>
      </c>
      <c r="F1019" s="37">
        <f t="shared" si="124"/>
        <v>0.192</v>
      </c>
    </row>
    <row r="1020" spans="1:6" ht="13" x14ac:dyDescent="0.15">
      <c r="A1020" s="35">
        <v>6</v>
      </c>
      <c r="B1020" s="36" t="s">
        <v>964</v>
      </c>
      <c r="C1020" s="36">
        <v>0.01</v>
      </c>
      <c r="D1020" s="37" t="s">
        <v>183</v>
      </c>
      <c r="E1020" s="37">
        <f>E950</f>
        <v>86</v>
      </c>
      <c r="F1020" s="37">
        <f t="shared" si="124"/>
        <v>0.86</v>
      </c>
    </row>
    <row r="1021" spans="1:6" ht="13" x14ac:dyDescent="0.15">
      <c r="A1021" s="35">
        <v>7</v>
      </c>
      <c r="B1021" s="36" t="s">
        <v>971</v>
      </c>
      <c r="C1021" s="36">
        <v>0.02</v>
      </c>
      <c r="D1021" s="37" t="s">
        <v>183</v>
      </c>
      <c r="E1021" s="37">
        <f>E1007</f>
        <v>11.198701298701298</v>
      </c>
      <c r="F1021" s="37">
        <f t="shared" si="124"/>
        <v>0.22397402597402596</v>
      </c>
    </row>
    <row r="1022" spans="1:6" ht="13" x14ac:dyDescent="0.15">
      <c r="A1022" s="21"/>
      <c r="B1022" s="21"/>
      <c r="C1022" s="38"/>
      <c r="D1022" s="180" t="s">
        <v>777</v>
      </c>
      <c r="E1022" s="179"/>
      <c r="F1022" s="39">
        <f>SUM(F1015:F1021)</f>
        <v>6.023301046176047</v>
      </c>
    </row>
    <row r="1023" spans="1:6" ht="13" x14ac:dyDescent="0.15">
      <c r="A1023" s="21"/>
      <c r="B1023" s="21"/>
      <c r="C1023" s="21"/>
      <c r="D1023" s="30"/>
      <c r="E1023" s="30"/>
      <c r="F1023" s="30"/>
    </row>
    <row r="1024" spans="1:6" ht="13" x14ac:dyDescent="0.15">
      <c r="A1024" s="21"/>
      <c r="B1024" s="21"/>
      <c r="C1024" s="21"/>
      <c r="D1024" s="30"/>
      <c r="E1024" s="30"/>
      <c r="F1024" s="30"/>
    </row>
    <row r="1025" spans="1:6" ht="13" x14ac:dyDescent="0.15">
      <c r="A1025" s="172" t="s">
        <v>161</v>
      </c>
      <c r="B1025" s="173"/>
      <c r="C1025" s="171"/>
      <c r="D1025" s="34"/>
      <c r="E1025" s="34"/>
      <c r="F1025" s="34"/>
    </row>
    <row r="1026" spans="1:6" ht="13" x14ac:dyDescent="0.15">
      <c r="A1026" s="177" t="s">
        <v>773</v>
      </c>
      <c r="B1026" s="178" t="s">
        <v>774</v>
      </c>
      <c r="C1026" s="178" t="s">
        <v>775</v>
      </c>
      <c r="D1026" s="178" t="s">
        <v>719</v>
      </c>
      <c r="E1026" s="178" t="s">
        <v>776</v>
      </c>
      <c r="F1026" s="178" t="s">
        <v>777</v>
      </c>
    </row>
    <row r="1027" spans="1:6" ht="13" x14ac:dyDescent="0.15">
      <c r="A1027" s="169"/>
      <c r="B1027" s="179"/>
      <c r="C1027" s="179"/>
      <c r="D1027" s="179"/>
      <c r="E1027" s="179"/>
      <c r="F1027" s="179"/>
    </row>
    <row r="1028" spans="1:6" ht="13" x14ac:dyDescent="0.15">
      <c r="A1028" s="35">
        <v>1</v>
      </c>
      <c r="B1028" s="36" t="s">
        <v>970</v>
      </c>
      <c r="C1028" s="36">
        <v>1</v>
      </c>
      <c r="D1028" s="37" t="s">
        <v>730</v>
      </c>
      <c r="E1028" s="37">
        <f t="shared" ref="E1028:E1031" si="125">E1015</f>
        <v>1.2713037037037036</v>
      </c>
      <c r="F1028" s="37">
        <f t="shared" ref="F1028:F1036" si="126">E1028*C1028</f>
        <v>1.2713037037037036</v>
      </c>
    </row>
    <row r="1029" spans="1:6" ht="13" x14ac:dyDescent="0.15">
      <c r="A1029" s="35">
        <v>2</v>
      </c>
      <c r="B1029" s="36" t="s">
        <v>733</v>
      </c>
      <c r="C1029" s="36">
        <v>0.1</v>
      </c>
      <c r="D1029" s="37" t="s">
        <v>183</v>
      </c>
      <c r="E1029" s="37">
        <f t="shared" si="125"/>
        <v>16.610233164983168</v>
      </c>
      <c r="F1029" s="37">
        <f t="shared" si="126"/>
        <v>1.6610233164983168</v>
      </c>
    </row>
    <row r="1030" spans="1:6" ht="13" x14ac:dyDescent="0.15">
      <c r="A1030" s="35">
        <v>3</v>
      </c>
      <c r="B1030" s="36" t="s">
        <v>810</v>
      </c>
      <c r="C1030" s="36">
        <v>0.02</v>
      </c>
      <c r="D1030" s="37" t="s">
        <v>183</v>
      </c>
      <c r="E1030" s="37">
        <f t="shared" si="125"/>
        <v>50</v>
      </c>
      <c r="F1030" s="37">
        <f t="shared" si="126"/>
        <v>1</v>
      </c>
    </row>
    <row r="1031" spans="1:6" ht="13" x14ac:dyDescent="0.15">
      <c r="A1031" s="35">
        <v>4</v>
      </c>
      <c r="B1031" s="36" t="s">
        <v>948</v>
      </c>
      <c r="C1031" s="36">
        <v>0.02</v>
      </c>
      <c r="D1031" s="37" t="s">
        <v>183</v>
      </c>
      <c r="E1031" s="37">
        <f t="shared" si="125"/>
        <v>40.75</v>
      </c>
      <c r="F1031" s="37">
        <f t="shared" si="126"/>
        <v>0.81500000000000006</v>
      </c>
    </row>
    <row r="1032" spans="1:6" ht="13" x14ac:dyDescent="0.15">
      <c r="A1032" s="35">
        <v>5</v>
      </c>
      <c r="B1032" s="36" t="s">
        <v>842</v>
      </c>
      <c r="C1032" s="36">
        <v>0.05</v>
      </c>
      <c r="D1032" s="37" t="s">
        <v>183</v>
      </c>
      <c r="E1032" s="37">
        <f>'Master Price list'!G17</f>
        <v>128</v>
      </c>
      <c r="F1032" s="37">
        <f t="shared" si="126"/>
        <v>6.4</v>
      </c>
    </row>
    <row r="1033" spans="1:6" ht="13" x14ac:dyDescent="0.15">
      <c r="A1033" s="35">
        <v>6</v>
      </c>
      <c r="B1033" s="36" t="s">
        <v>268</v>
      </c>
      <c r="C1033" s="36">
        <v>2.5000000000000001E-2</v>
      </c>
      <c r="D1033" s="37" t="s">
        <v>183</v>
      </c>
      <c r="E1033" s="37">
        <f>'Master Price list'!G34</f>
        <v>20.5</v>
      </c>
      <c r="F1033" s="37">
        <f t="shared" si="126"/>
        <v>0.51250000000000007</v>
      </c>
    </row>
    <row r="1034" spans="1:6" ht="13" x14ac:dyDescent="0.15">
      <c r="A1034" s="35">
        <v>7</v>
      </c>
      <c r="B1034" s="36" t="s">
        <v>379</v>
      </c>
      <c r="C1034" s="36">
        <v>1.4999999999999999E-2</v>
      </c>
      <c r="D1034" s="37" t="s">
        <v>183</v>
      </c>
      <c r="E1034" s="37">
        <f>'Master Price list'!G76</f>
        <v>42.200854700854705</v>
      </c>
      <c r="F1034" s="37">
        <f t="shared" si="126"/>
        <v>0.6330128205128206</v>
      </c>
    </row>
    <row r="1035" spans="1:6" ht="13" x14ac:dyDescent="0.15">
      <c r="A1035" s="35">
        <v>7</v>
      </c>
      <c r="B1035" s="36" t="s">
        <v>834</v>
      </c>
      <c r="C1035" s="36">
        <v>5.0000000000000001E-3</v>
      </c>
      <c r="D1035" s="37" t="s">
        <v>183</v>
      </c>
      <c r="E1035" s="37">
        <f>E949</f>
        <v>15</v>
      </c>
      <c r="F1035" s="37">
        <f t="shared" si="126"/>
        <v>7.4999999999999997E-2</v>
      </c>
    </row>
    <row r="1036" spans="1:6" ht="13" x14ac:dyDescent="0.15">
      <c r="A1036" s="35">
        <v>8</v>
      </c>
      <c r="B1036" s="36" t="s">
        <v>971</v>
      </c>
      <c r="C1036" s="36">
        <v>0.02</v>
      </c>
      <c r="D1036" s="37" t="s">
        <v>183</v>
      </c>
      <c r="E1036" s="37">
        <f>E1021</f>
        <v>11.198701298701298</v>
      </c>
      <c r="F1036" s="37">
        <f t="shared" si="126"/>
        <v>0.22397402597402596</v>
      </c>
    </row>
    <row r="1037" spans="1:6" ht="13" x14ac:dyDescent="0.15">
      <c r="A1037" s="21"/>
      <c r="B1037" s="21"/>
      <c r="C1037" s="38"/>
      <c r="D1037" s="180" t="s">
        <v>777</v>
      </c>
      <c r="E1037" s="179"/>
      <c r="F1037" s="39">
        <f>SUM(F1028:F1036)</f>
        <v>12.591813866688867</v>
      </c>
    </row>
    <row r="1038" spans="1:6" ht="13" x14ac:dyDescent="0.15">
      <c r="A1038" s="21"/>
      <c r="B1038" s="21"/>
      <c r="C1038" s="21"/>
      <c r="D1038" s="30"/>
      <c r="E1038" s="30"/>
      <c r="F1038" s="30"/>
    </row>
    <row r="1039" spans="1:6" ht="13" x14ac:dyDescent="0.15">
      <c r="A1039" s="21"/>
      <c r="B1039" s="21"/>
      <c r="C1039" s="21"/>
      <c r="D1039" s="30"/>
      <c r="E1039" s="30"/>
      <c r="F1039" s="30"/>
    </row>
    <row r="1040" spans="1:6" ht="13" x14ac:dyDescent="0.15">
      <c r="A1040" s="172" t="s">
        <v>164</v>
      </c>
      <c r="B1040" s="173"/>
      <c r="C1040" s="171"/>
      <c r="D1040" s="34"/>
      <c r="E1040" s="34"/>
      <c r="F1040" s="34"/>
    </row>
    <row r="1041" spans="1:6" ht="13" x14ac:dyDescent="0.15">
      <c r="A1041" s="177" t="s">
        <v>773</v>
      </c>
      <c r="B1041" s="178" t="s">
        <v>774</v>
      </c>
      <c r="C1041" s="178" t="s">
        <v>775</v>
      </c>
      <c r="D1041" s="178" t="s">
        <v>719</v>
      </c>
      <c r="E1041" s="178" t="s">
        <v>776</v>
      </c>
      <c r="F1041" s="178" t="s">
        <v>777</v>
      </c>
    </row>
    <row r="1042" spans="1:6" ht="13" x14ac:dyDescent="0.15">
      <c r="A1042" s="169"/>
      <c r="B1042" s="179"/>
      <c r="C1042" s="179"/>
      <c r="D1042" s="179"/>
      <c r="E1042" s="179"/>
      <c r="F1042" s="179"/>
    </row>
    <row r="1043" spans="1:6" ht="13" x14ac:dyDescent="0.15">
      <c r="A1043" s="35">
        <v>1</v>
      </c>
      <c r="B1043" s="36" t="s">
        <v>970</v>
      </c>
      <c r="C1043" s="36">
        <v>1</v>
      </c>
      <c r="D1043" s="37" t="s">
        <v>730</v>
      </c>
      <c r="E1043" s="37">
        <f t="shared" ref="E1043:E1046" si="127">E1028</f>
        <v>1.2713037037037036</v>
      </c>
      <c r="F1043" s="37">
        <f t="shared" ref="F1043:F1055" si="128">E1043*C1043</f>
        <v>1.2713037037037036</v>
      </c>
    </row>
    <row r="1044" spans="1:6" ht="13" x14ac:dyDescent="0.15">
      <c r="A1044" s="35">
        <v>2</v>
      </c>
      <c r="B1044" s="36" t="s">
        <v>733</v>
      </c>
      <c r="C1044" s="36">
        <v>0.1</v>
      </c>
      <c r="D1044" s="37" t="s">
        <v>183</v>
      </c>
      <c r="E1044" s="37">
        <f t="shared" si="127"/>
        <v>16.610233164983168</v>
      </c>
      <c r="F1044" s="37">
        <f t="shared" si="128"/>
        <v>1.6610233164983168</v>
      </c>
    </row>
    <row r="1045" spans="1:6" ht="13" x14ac:dyDescent="0.15">
      <c r="A1045" s="35">
        <v>3</v>
      </c>
      <c r="B1045" s="36" t="s">
        <v>810</v>
      </c>
      <c r="C1045" s="36">
        <v>0.02</v>
      </c>
      <c r="D1045" s="37" t="s">
        <v>183</v>
      </c>
      <c r="E1045" s="37">
        <f t="shared" si="127"/>
        <v>50</v>
      </c>
      <c r="F1045" s="37">
        <f t="shared" si="128"/>
        <v>1</v>
      </c>
    </row>
    <row r="1046" spans="1:6" ht="13" x14ac:dyDescent="0.15">
      <c r="A1046" s="35">
        <v>4</v>
      </c>
      <c r="B1046" s="36" t="s">
        <v>948</v>
      </c>
      <c r="C1046" s="36">
        <v>0.02</v>
      </c>
      <c r="D1046" s="37" t="s">
        <v>183</v>
      </c>
      <c r="E1046" s="37">
        <f t="shared" si="127"/>
        <v>40.75</v>
      </c>
      <c r="F1046" s="37">
        <f t="shared" si="128"/>
        <v>0.81500000000000006</v>
      </c>
    </row>
    <row r="1047" spans="1:6" ht="13" x14ac:dyDescent="0.15">
      <c r="A1047" s="35">
        <v>5</v>
      </c>
      <c r="B1047" s="36" t="s">
        <v>973</v>
      </c>
      <c r="C1047" s="36">
        <v>1.4999999999999999E-2</v>
      </c>
      <c r="D1047" s="37" t="s">
        <v>183</v>
      </c>
      <c r="E1047" s="37">
        <f>'Master Price list'!G66</f>
        <v>533.33333333333337</v>
      </c>
      <c r="F1047" s="37">
        <f t="shared" si="128"/>
        <v>8</v>
      </c>
    </row>
    <row r="1048" spans="1:6" ht="13" x14ac:dyDescent="0.15">
      <c r="A1048" s="35">
        <v>6</v>
      </c>
      <c r="B1048" s="36" t="s">
        <v>974</v>
      </c>
      <c r="C1048" s="36">
        <v>5.0000000000000001E-3</v>
      </c>
      <c r="D1048" s="37" t="s">
        <v>183</v>
      </c>
      <c r="E1048" s="37">
        <f>'Master Price list'!G63</f>
        <v>750</v>
      </c>
      <c r="F1048" s="37">
        <f t="shared" si="128"/>
        <v>3.75</v>
      </c>
    </row>
    <row r="1049" spans="1:6" ht="13" x14ac:dyDescent="0.15">
      <c r="A1049" s="35">
        <v>7</v>
      </c>
      <c r="B1049" s="36" t="s">
        <v>379</v>
      </c>
      <c r="C1049" s="36">
        <v>5.0000000000000001E-3</v>
      </c>
      <c r="D1049" s="37" t="s">
        <v>183</v>
      </c>
      <c r="E1049" s="37">
        <f>E1034</f>
        <v>42.200854700854705</v>
      </c>
      <c r="F1049" s="37">
        <f t="shared" si="128"/>
        <v>0.21100427350427353</v>
      </c>
    </row>
    <row r="1050" spans="1:6" ht="13" x14ac:dyDescent="0.15">
      <c r="A1050" s="35">
        <v>8</v>
      </c>
      <c r="B1050" s="36" t="s">
        <v>930</v>
      </c>
      <c r="C1050" s="36">
        <v>1.4999999999999999E-2</v>
      </c>
      <c r="D1050" s="37" t="s">
        <v>183</v>
      </c>
      <c r="E1050" s="37">
        <f>E883</f>
        <v>168.25</v>
      </c>
      <c r="F1050" s="37">
        <f t="shared" si="128"/>
        <v>2.5237499999999997</v>
      </c>
    </row>
    <row r="1051" spans="1:6" ht="13" x14ac:dyDescent="0.15">
      <c r="A1051" s="35">
        <v>9</v>
      </c>
      <c r="B1051" s="36" t="s">
        <v>937</v>
      </c>
      <c r="C1051" s="36">
        <v>0.01</v>
      </c>
      <c r="D1051" s="37" t="s">
        <v>183</v>
      </c>
      <c r="E1051" s="37">
        <f>E924</f>
        <v>22.727272727272727</v>
      </c>
      <c r="F1051" s="37">
        <f t="shared" si="128"/>
        <v>0.22727272727272727</v>
      </c>
    </row>
    <row r="1052" spans="1:6" ht="13" x14ac:dyDescent="0.15">
      <c r="A1052" s="35">
        <v>10</v>
      </c>
      <c r="B1052" s="36" t="s">
        <v>975</v>
      </c>
      <c r="C1052" s="36">
        <v>0.1</v>
      </c>
      <c r="D1052" s="37" t="s">
        <v>372</v>
      </c>
      <c r="E1052" s="37">
        <f>'Master Price list'!G73</f>
        <v>12</v>
      </c>
      <c r="F1052" s="37">
        <f t="shared" si="128"/>
        <v>1.2000000000000002</v>
      </c>
    </row>
    <row r="1053" spans="1:6" ht="13" x14ac:dyDescent="0.15">
      <c r="A1053" s="35">
        <v>11</v>
      </c>
      <c r="B1053" s="36" t="s">
        <v>62</v>
      </c>
      <c r="C1053" s="36">
        <v>6.0000000000000001E-3</v>
      </c>
      <c r="D1053" s="37" t="s">
        <v>183</v>
      </c>
      <c r="E1053" s="37">
        <f>E959</f>
        <v>55</v>
      </c>
      <c r="F1053" s="37">
        <f t="shared" si="128"/>
        <v>0.33</v>
      </c>
    </row>
    <row r="1054" spans="1:6" ht="13" x14ac:dyDescent="0.15">
      <c r="A1054" s="35">
        <v>12</v>
      </c>
      <c r="B1054" s="36" t="s">
        <v>935</v>
      </c>
      <c r="C1054" s="36">
        <v>5.0000000000000001E-3</v>
      </c>
      <c r="D1054" s="37" t="s">
        <v>183</v>
      </c>
      <c r="E1054" s="37">
        <f>E992</f>
        <v>85</v>
      </c>
      <c r="F1054" s="37">
        <f t="shared" si="128"/>
        <v>0.42499999999999999</v>
      </c>
    </row>
    <row r="1055" spans="1:6" ht="13" x14ac:dyDescent="0.15">
      <c r="A1055" s="35">
        <v>13</v>
      </c>
      <c r="B1055" s="36" t="s">
        <v>971</v>
      </c>
      <c r="C1055" s="36">
        <v>0.02</v>
      </c>
      <c r="D1055" s="37" t="s">
        <v>183</v>
      </c>
      <c r="E1055" s="37">
        <f>E1036</f>
        <v>11.198701298701298</v>
      </c>
      <c r="F1055" s="37">
        <f t="shared" si="128"/>
        <v>0.22397402597402596</v>
      </c>
    </row>
    <row r="1056" spans="1:6" ht="13" x14ac:dyDescent="0.15">
      <c r="A1056" s="21"/>
      <c r="B1056" s="21"/>
      <c r="C1056" s="38"/>
      <c r="D1056" s="180" t="s">
        <v>777</v>
      </c>
      <c r="E1056" s="179"/>
      <c r="F1056" s="39">
        <f>SUM(F1043:F1055)</f>
        <v>21.638328046953045</v>
      </c>
    </row>
    <row r="1057" spans="1:6" ht="13" x14ac:dyDescent="0.15">
      <c r="A1057" s="21"/>
      <c r="B1057" s="21"/>
      <c r="C1057" s="21"/>
      <c r="D1057" s="30"/>
      <c r="E1057" s="30"/>
      <c r="F1057" s="30"/>
    </row>
    <row r="1058" spans="1:6" ht="13" x14ac:dyDescent="0.15">
      <c r="A1058" s="21"/>
      <c r="B1058" s="21"/>
      <c r="C1058" s="21"/>
      <c r="D1058" s="30"/>
      <c r="E1058" s="30"/>
      <c r="F1058" s="30"/>
    </row>
    <row r="1059" spans="1:6" ht="13" x14ac:dyDescent="0.15">
      <c r="A1059" s="172" t="s">
        <v>161</v>
      </c>
      <c r="B1059" s="173"/>
      <c r="C1059" s="171"/>
      <c r="D1059" s="34"/>
      <c r="E1059" s="34"/>
      <c r="F1059" s="34"/>
    </row>
    <row r="1060" spans="1:6" ht="13" x14ac:dyDescent="0.15">
      <c r="A1060" s="177" t="s">
        <v>773</v>
      </c>
      <c r="B1060" s="178" t="s">
        <v>774</v>
      </c>
      <c r="C1060" s="178" t="s">
        <v>775</v>
      </c>
      <c r="D1060" s="178" t="s">
        <v>719</v>
      </c>
      <c r="E1060" s="178" t="s">
        <v>776</v>
      </c>
      <c r="F1060" s="178" t="s">
        <v>777</v>
      </c>
    </row>
    <row r="1061" spans="1:6" ht="13" x14ac:dyDescent="0.15">
      <c r="A1061" s="169"/>
      <c r="B1061" s="179"/>
      <c r="C1061" s="179"/>
      <c r="D1061" s="179"/>
      <c r="E1061" s="179"/>
      <c r="F1061" s="179"/>
    </row>
    <row r="1062" spans="1:6" ht="13" x14ac:dyDescent="0.15">
      <c r="A1062" s="35">
        <v>1</v>
      </c>
      <c r="B1062" s="36" t="s">
        <v>970</v>
      </c>
      <c r="C1062" s="36">
        <v>1</v>
      </c>
      <c r="D1062" s="37" t="s">
        <v>730</v>
      </c>
      <c r="E1062" s="37">
        <f t="shared" ref="E1062:E1065" si="129">E1049</f>
        <v>42.200854700854705</v>
      </c>
      <c r="F1062" s="37">
        <f t="shared" ref="F1062:F1070" si="130">E1062*C1062</f>
        <v>42.200854700854705</v>
      </c>
    </row>
    <row r="1063" spans="1:6" ht="13" x14ac:dyDescent="0.15">
      <c r="A1063" s="35">
        <v>2</v>
      </c>
      <c r="B1063" s="36" t="s">
        <v>733</v>
      </c>
      <c r="C1063" s="36">
        <v>0.1</v>
      </c>
      <c r="D1063" s="37" t="s">
        <v>183</v>
      </c>
      <c r="E1063" s="37">
        <f t="shared" si="129"/>
        <v>168.25</v>
      </c>
      <c r="F1063" s="37">
        <f t="shared" si="130"/>
        <v>16.824999999999999</v>
      </c>
    </row>
    <row r="1064" spans="1:6" ht="13" x14ac:dyDescent="0.15">
      <c r="A1064" s="35">
        <v>3</v>
      </c>
      <c r="B1064" s="36" t="s">
        <v>810</v>
      </c>
      <c r="C1064" s="36">
        <v>0.02</v>
      </c>
      <c r="D1064" s="37" t="s">
        <v>183</v>
      </c>
      <c r="E1064" s="37">
        <f t="shared" si="129"/>
        <v>22.727272727272727</v>
      </c>
      <c r="F1064" s="37">
        <f t="shared" si="130"/>
        <v>0.45454545454545453</v>
      </c>
    </row>
    <row r="1065" spans="1:6" ht="13" x14ac:dyDescent="0.15">
      <c r="A1065" s="35">
        <v>4</v>
      </c>
      <c r="B1065" s="36" t="s">
        <v>948</v>
      </c>
      <c r="C1065" s="36">
        <v>0.02</v>
      </c>
      <c r="D1065" s="37" t="s">
        <v>183</v>
      </c>
      <c r="E1065" s="37">
        <f t="shared" si="129"/>
        <v>12</v>
      </c>
      <c r="F1065" s="37">
        <f t="shared" si="130"/>
        <v>0.24</v>
      </c>
    </row>
    <row r="1066" spans="1:6" ht="13" x14ac:dyDescent="0.15">
      <c r="A1066" s="35">
        <v>5</v>
      </c>
      <c r="B1066" s="36" t="s">
        <v>842</v>
      </c>
      <c r="C1066" s="36">
        <v>0.05</v>
      </c>
      <c r="D1066" s="37" t="s">
        <v>183</v>
      </c>
      <c r="E1066" s="37">
        <f>'Master Price list'!G51</f>
        <v>56</v>
      </c>
      <c r="F1066" s="37">
        <f t="shared" si="130"/>
        <v>2.8000000000000003</v>
      </c>
    </row>
    <row r="1067" spans="1:6" ht="13" x14ac:dyDescent="0.15">
      <c r="A1067" s="35">
        <v>6</v>
      </c>
      <c r="B1067" s="36" t="s">
        <v>268</v>
      </c>
      <c r="C1067" s="36">
        <v>2.5000000000000001E-2</v>
      </c>
      <c r="D1067" s="37" t="s">
        <v>183</v>
      </c>
      <c r="E1067" s="37">
        <f>'Master Price list'!G68</f>
        <v>0.66833333333333333</v>
      </c>
      <c r="F1067" s="37">
        <f t="shared" si="130"/>
        <v>1.6708333333333335E-2</v>
      </c>
    </row>
    <row r="1068" spans="1:6" ht="13" x14ac:dyDescent="0.15">
      <c r="A1068" s="35">
        <v>7</v>
      </c>
      <c r="B1068" s="36" t="s">
        <v>379</v>
      </c>
      <c r="C1068" s="36">
        <v>1.4999999999999999E-2</v>
      </c>
      <c r="D1068" s="37" t="s">
        <v>183</v>
      </c>
      <c r="E1068" s="37">
        <f>'Master Price list'!G110</f>
        <v>15.75</v>
      </c>
      <c r="F1068" s="37">
        <f t="shared" si="130"/>
        <v>0.23624999999999999</v>
      </c>
    </row>
    <row r="1069" spans="1:6" ht="13" x14ac:dyDescent="0.15">
      <c r="A1069" s="35">
        <v>7</v>
      </c>
      <c r="B1069" s="36" t="s">
        <v>834</v>
      </c>
      <c r="C1069" s="36">
        <v>5.0000000000000001E-3</v>
      </c>
      <c r="D1069" s="37" t="s">
        <v>183</v>
      </c>
      <c r="E1069" s="37">
        <f>E1035</f>
        <v>15</v>
      </c>
      <c r="F1069" s="37">
        <f t="shared" si="130"/>
        <v>7.4999999999999997E-2</v>
      </c>
    </row>
    <row r="1070" spans="1:6" ht="13" x14ac:dyDescent="0.15">
      <c r="A1070" s="35">
        <v>8</v>
      </c>
      <c r="B1070" s="36" t="s">
        <v>971</v>
      </c>
      <c r="C1070" s="36">
        <v>0.02</v>
      </c>
      <c r="D1070" s="37" t="s">
        <v>183</v>
      </c>
      <c r="E1070" s="37">
        <f>E1055</f>
        <v>11.198701298701298</v>
      </c>
      <c r="F1070" s="37">
        <f t="shared" si="130"/>
        <v>0.22397402597402596</v>
      </c>
    </row>
    <row r="1071" spans="1:6" ht="13" x14ac:dyDescent="0.15">
      <c r="A1071" s="21"/>
      <c r="B1071" s="21"/>
      <c r="C1071" s="38"/>
      <c r="D1071" s="180" t="s">
        <v>777</v>
      </c>
      <c r="E1071" s="179"/>
      <c r="F1071" s="39">
        <f>SUM(F1062:F1070)</f>
        <v>63.072332514707519</v>
      </c>
    </row>
    <row r="1072" spans="1:6" ht="13" x14ac:dyDescent="0.15">
      <c r="A1072" s="21"/>
      <c r="B1072" s="21"/>
      <c r="C1072" s="21"/>
      <c r="D1072" s="30"/>
      <c r="E1072" s="30"/>
      <c r="F1072" s="30"/>
    </row>
    <row r="1073" spans="1:6" ht="13" x14ac:dyDescent="0.15">
      <c r="A1073" s="21"/>
      <c r="B1073" s="21"/>
      <c r="C1073" s="21"/>
      <c r="D1073" s="30"/>
      <c r="E1073" s="30"/>
      <c r="F1073" s="30"/>
    </row>
    <row r="1074" spans="1:6" ht="13" x14ac:dyDescent="0.15">
      <c r="A1074" s="172" t="s">
        <v>152</v>
      </c>
      <c r="B1074" s="173"/>
      <c r="C1074" s="171"/>
      <c r="D1074" s="34"/>
      <c r="E1074" s="34"/>
      <c r="F1074" s="34"/>
    </row>
    <row r="1075" spans="1:6" ht="13" x14ac:dyDescent="0.15">
      <c r="A1075" s="177" t="s">
        <v>773</v>
      </c>
      <c r="B1075" s="178" t="s">
        <v>774</v>
      </c>
      <c r="C1075" s="178" t="s">
        <v>775</v>
      </c>
      <c r="D1075" s="178" t="s">
        <v>719</v>
      </c>
      <c r="E1075" s="178" t="s">
        <v>776</v>
      </c>
      <c r="F1075" s="178" t="s">
        <v>777</v>
      </c>
    </row>
    <row r="1076" spans="1:6" ht="13" x14ac:dyDescent="0.15">
      <c r="A1076" s="169"/>
      <c r="B1076" s="179"/>
      <c r="C1076" s="179"/>
      <c r="D1076" s="179"/>
      <c r="E1076" s="179"/>
      <c r="F1076" s="179"/>
    </row>
    <row r="1077" spans="1:6" ht="13" x14ac:dyDescent="0.15">
      <c r="A1077" s="35">
        <v>1</v>
      </c>
      <c r="B1077" s="36" t="s">
        <v>726</v>
      </c>
      <c r="C1077" s="36">
        <v>1</v>
      </c>
      <c r="D1077" s="37" t="s">
        <v>721</v>
      </c>
      <c r="E1077" s="37">
        <f>'Item list'!B7</f>
        <v>2.3327444444444443</v>
      </c>
      <c r="F1077" s="37">
        <f t="shared" ref="F1077:F1080" si="131">E1077*C1077</f>
        <v>2.3327444444444443</v>
      </c>
    </row>
    <row r="1078" spans="1:6" ht="13" x14ac:dyDescent="0.15">
      <c r="A1078" s="35">
        <v>2</v>
      </c>
      <c r="B1078" s="36" t="s">
        <v>433</v>
      </c>
      <c r="C1078" s="36">
        <v>1.4999999999999999E-2</v>
      </c>
      <c r="D1078" s="37" t="s">
        <v>183</v>
      </c>
      <c r="E1078" s="37">
        <f>'Master Price list'!G97</f>
        <v>13.5</v>
      </c>
      <c r="F1078" s="37">
        <f t="shared" si="131"/>
        <v>0.20249999999999999</v>
      </c>
    </row>
    <row r="1079" spans="1:6" ht="13" x14ac:dyDescent="0.15">
      <c r="A1079" s="35">
        <v>3</v>
      </c>
      <c r="B1079" s="36" t="s">
        <v>882</v>
      </c>
      <c r="C1079" s="36">
        <v>0.02</v>
      </c>
      <c r="D1079" s="37" t="s">
        <v>183</v>
      </c>
      <c r="E1079" s="37">
        <f>'Item list'!B45</f>
        <v>13.585342789598108</v>
      </c>
      <c r="F1079" s="37">
        <f t="shared" si="131"/>
        <v>0.27170685579196219</v>
      </c>
    </row>
    <row r="1080" spans="1:6" ht="13" x14ac:dyDescent="0.15">
      <c r="A1080" s="35">
        <v>4</v>
      </c>
      <c r="B1080" s="36" t="s">
        <v>976</v>
      </c>
      <c r="C1080" s="36">
        <v>0.03</v>
      </c>
      <c r="D1080" s="37" t="s">
        <v>183</v>
      </c>
      <c r="E1080" s="37">
        <f>'Master Price list'!G208</f>
        <v>13.5</v>
      </c>
      <c r="F1080" s="37">
        <f t="shared" si="131"/>
        <v>0.40499999999999997</v>
      </c>
    </row>
    <row r="1081" spans="1:6" ht="13" x14ac:dyDescent="0.15">
      <c r="A1081" s="21"/>
      <c r="B1081" s="21"/>
      <c r="C1081" s="38"/>
      <c r="D1081" s="180" t="s">
        <v>777</v>
      </c>
      <c r="E1081" s="179"/>
      <c r="F1081" s="39">
        <f>SUM(F1077:F1080)</f>
        <v>3.2119513002364064</v>
      </c>
    </row>
    <row r="1082" spans="1:6" ht="13" x14ac:dyDescent="0.15">
      <c r="A1082" s="21"/>
      <c r="B1082" s="21"/>
      <c r="C1082" s="21"/>
      <c r="D1082" s="30"/>
      <c r="E1082" s="30"/>
      <c r="F1082" s="30"/>
    </row>
    <row r="1083" spans="1:6" ht="13" x14ac:dyDescent="0.15">
      <c r="A1083" s="21"/>
      <c r="B1083" s="21"/>
      <c r="C1083" s="21"/>
      <c r="D1083" s="30"/>
      <c r="E1083" s="30"/>
      <c r="F1083" s="30"/>
    </row>
    <row r="1084" spans="1:6" ht="13" x14ac:dyDescent="0.15">
      <c r="A1084" s="172" t="s">
        <v>153</v>
      </c>
      <c r="B1084" s="173"/>
      <c r="C1084" s="171"/>
      <c r="D1084" s="34"/>
      <c r="E1084" s="34"/>
      <c r="F1084" s="34"/>
    </row>
    <row r="1085" spans="1:6" ht="13" x14ac:dyDescent="0.15">
      <c r="A1085" s="177" t="s">
        <v>773</v>
      </c>
      <c r="B1085" s="178" t="s">
        <v>774</v>
      </c>
      <c r="C1085" s="178" t="s">
        <v>775</v>
      </c>
      <c r="D1085" s="178" t="s">
        <v>719</v>
      </c>
      <c r="E1085" s="178" t="s">
        <v>776</v>
      </c>
      <c r="F1085" s="178" t="s">
        <v>777</v>
      </c>
    </row>
    <row r="1086" spans="1:6" ht="13" x14ac:dyDescent="0.15">
      <c r="A1086" s="169"/>
      <c r="B1086" s="179"/>
      <c r="C1086" s="179"/>
      <c r="D1086" s="179"/>
      <c r="E1086" s="179"/>
      <c r="F1086" s="179"/>
    </row>
    <row r="1087" spans="1:6" ht="13" x14ac:dyDescent="0.15">
      <c r="A1087" s="35">
        <v>1</v>
      </c>
      <c r="B1087" s="36" t="s">
        <v>726</v>
      </c>
      <c r="C1087" s="36">
        <v>1</v>
      </c>
      <c r="D1087" s="37" t="s">
        <v>721</v>
      </c>
      <c r="E1087" s="37">
        <f t="shared" ref="E1087:E1088" si="132">E1077</f>
        <v>2.3327444444444443</v>
      </c>
      <c r="F1087" s="37">
        <f t="shared" ref="F1087:F1092" si="133">E1087*C1087</f>
        <v>2.3327444444444443</v>
      </c>
    </row>
    <row r="1088" spans="1:6" ht="13" x14ac:dyDescent="0.15">
      <c r="A1088" s="35">
        <v>2</v>
      </c>
      <c r="B1088" s="36" t="s">
        <v>433</v>
      </c>
      <c r="C1088" s="36">
        <v>1.4999999999999999E-2</v>
      </c>
      <c r="D1088" s="37" t="s">
        <v>183</v>
      </c>
      <c r="E1088" s="37">
        <f t="shared" si="132"/>
        <v>13.5</v>
      </c>
      <c r="F1088" s="37">
        <f t="shared" si="133"/>
        <v>0.20249999999999999</v>
      </c>
    </row>
    <row r="1089" spans="1:6" ht="13" x14ac:dyDescent="0.15">
      <c r="A1089" s="35">
        <v>3</v>
      </c>
      <c r="B1089" s="36" t="s">
        <v>907</v>
      </c>
      <c r="C1089" s="36">
        <v>0.02</v>
      </c>
      <c r="D1089" s="37" t="s">
        <v>183</v>
      </c>
      <c r="E1089" s="37">
        <f>'Master Price list'!G163</f>
        <v>55</v>
      </c>
      <c r="F1089" s="37">
        <f t="shared" si="133"/>
        <v>1.1000000000000001</v>
      </c>
    </row>
    <row r="1090" spans="1:6" ht="13" x14ac:dyDescent="0.15">
      <c r="A1090" s="35">
        <v>4</v>
      </c>
      <c r="B1090" s="36" t="s">
        <v>976</v>
      </c>
      <c r="C1090" s="36">
        <v>0.03</v>
      </c>
      <c r="D1090" s="37" t="s">
        <v>183</v>
      </c>
      <c r="E1090" s="37">
        <f>E1080</f>
        <v>13.5</v>
      </c>
      <c r="F1090" s="37">
        <f t="shared" si="133"/>
        <v>0.40499999999999997</v>
      </c>
    </row>
    <row r="1091" spans="1:6" ht="13" x14ac:dyDescent="0.15">
      <c r="A1091" s="35">
        <v>5</v>
      </c>
      <c r="B1091" s="36" t="s">
        <v>556</v>
      </c>
      <c r="C1091" s="36">
        <v>0.02</v>
      </c>
      <c r="D1091" s="37" t="s">
        <v>183</v>
      </c>
      <c r="E1091" s="37">
        <f>'Master Price list'!G146</f>
        <v>15.8</v>
      </c>
      <c r="F1091" s="37">
        <f t="shared" si="133"/>
        <v>0.316</v>
      </c>
    </row>
    <row r="1092" spans="1:6" ht="13" x14ac:dyDescent="0.15">
      <c r="A1092" s="35">
        <v>6</v>
      </c>
      <c r="B1092" s="36" t="s">
        <v>639</v>
      </c>
      <c r="C1092" s="36">
        <v>0.01</v>
      </c>
      <c r="D1092" s="37" t="s">
        <v>183</v>
      </c>
      <c r="E1092" s="37">
        <f>'Master Price list'!G183</f>
        <v>10</v>
      </c>
      <c r="F1092" s="37">
        <f t="shared" si="133"/>
        <v>0.1</v>
      </c>
    </row>
    <row r="1093" spans="1:6" ht="13" x14ac:dyDescent="0.15">
      <c r="A1093" s="21"/>
      <c r="B1093" s="21"/>
      <c r="C1093" s="38"/>
      <c r="D1093" s="180" t="s">
        <v>777</v>
      </c>
      <c r="E1093" s="179"/>
      <c r="F1093" s="39">
        <f>SUM(F1087:F1092)</f>
        <v>4.4562444444444438</v>
      </c>
    </row>
    <row r="1094" spans="1:6" ht="13" x14ac:dyDescent="0.15">
      <c r="A1094" s="21"/>
      <c r="B1094" s="21"/>
      <c r="C1094" s="21"/>
      <c r="D1094" s="30"/>
      <c r="E1094" s="30"/>
      <c r="F1094" s="30"/>
    </row>
    <row r="1095" spans="1:6" ht="13" x14ac:dyDescent="0.15">
      <c r="A1095" s="21"/>
      <c r="B1095" s="21"/>
      <c r="C1095" s="21"/>
      <c r="D1095" s="30"/>
      <c r="E1095" s="30"/>
      <c r="F1095" s="30"/>
    </row>
    <row r="1096" spans="1:6" ht="13" x14ac:dyDescent="0.15">
      <c r="A1096" s="172" t="s">
        <v>154</v>
      </c>
      <c r="B1096" s="173"/>
      <c r="C1096" s="171"/>
      <c r="D1096" s="34"/>
      <c r="E1096" s="34"/>
      <c r="F1096" s="34"/>
    </row>
    <row r="1097" spans="1:6" ht="13" x14ac:dyDescent="0.15">
      <c r="A1097" s="177" t="s">
        <v>773</v>
      </c>
      <c r="B1097" s="178" t="s">
        <v>774</v>
      </c>
      <c r="C1097" s="178" t="s">
        <v>775</v>
      </c>
      <c r="D1097" s="178" t="s">
        <v>719</v>
      </c>
      <c r="E1097" s="178" t="s">
        <v>776</v>
      </c>
      <c r="F1097" s="178" t="s">
        <v>777</v>
      </c>
    </row>
    <row r="1098" spans="1:6" ht="13" x14ac:dyDescent="0.15">
      <c r="A1098" s="169"/>
      <c r="B1098" s="179"/>
      <c r="C1098" s="179"/>
      <c r="D1098" s="179"/>
      <c r="E1098" s="179"/>
      <c r="F1098" s="179"/>
    </row>
    <row r="1099" spans="1:6" ht="13" x14ac:dyDescent="0.15">
      <c r="A1099" s="35">
        <v>1</v>
      </c>
      <c r="B1099" s="36" t="s">
        <v>726</v>
      </c>
      <c r="C1099" s="36">
        <v>1</v>
      </c>
      <c r="D1099" s="37" t="s">
        <v>721</v>
      </c>
      <c r="E1099" s="37">
        <f t="shared" ref="E1099:E1100" si="134">E1087</f>
        <v>2.3327444444444443</v>
      </c>
      <c r="F1099" s="37">
        <f t="shared" ref="F1099:F1103" si="135">E1099*C1099</f>
        <v>2.3327444444444443</v>
      </c>
    </row>
    <row r="1100" spans="1:6" ht="13" x14ac:dyDescent="0.15">
      <c r="A1100" s="35">
        <v>2</v>
      </c>
      <c r="B1100" s="36" t="s">
        <v>433</v>
      </c>
      <c r="C1100" s="36">
        <v>1.4999999999999999E-2</v>
      </c>
      <c r="D1100" s="37" t="s">
        <v>183</v>
      </c>
      <c r="E1100" s="37">
        <f t="shared" si="134"/>
        <v>13.5</v>
      </c>
      <c r="F1100" s="37">
        <f t="shared" si="135"/>
        <v>0.20249999999999999</v>
      </c>
    </row>
    <row r="1101" spans="1:6" ht="13" x14ac:dyDescent="0.15">
      <c r="A1101" s="35">
        <v>3</v>
      </c>
      <c r="B1101" s="36" t="s">
        <v>708</v>
      </c>
      <c r="C1101" s="36">
        <v>1</v>
      </c>
      <c r="D1101" s="37" t="s">
        <v>350</v>
      </c>
      <c r="E1101" s="37">
        <f>('Master Price list'!G217)/60</f>
        <v>2.25</v>
      </c>
      <c r="F1101" s="37">
        <f t="shared" si="135"/>
        <v>2.25</v>
      </c>
    </row>
    <row r="1102" spans="1:6" ht="13" x14ac:dyDescent="0.15">
      <c r="A1102" s="35">
        <v>4</v>
      </c>
      <c r="B1102" s="36" t="s">
        <v>976</v>
      </c>
      <c r="C1102" s="36">
        <v>0.03</v>
      </c>
      <c r="D1102" s="37" t="s">
        <v>183</v>
      </c>
      <c r="E1102" s="37">
        <f>E1090</f>
        <v>13.5</v>
      </c>
      <c r="F1102" s="37">
        <f t="shared" si="135"/>
        <v>0.40499999999999997</v>
      </c>
    </row>
    <row r="1103" spans="1:6" ht="13" x14ac:dyDescent="0.15">
      <c r="A1103" s="35">
        <v>5</v>
      </c>
      <c r="B1103" s="36" t="s">
        <v>977</v>
      </c>
      <c r="C1103" s="36">
        <v>0.02</v>
      </c>
      <c r="D1103" s="37" t="s">
        <v>183</v>
      </c>
      <c r="E1103" s="37">
        <f>'Master Price list'!G144</f>
        <v>23.969230769230769</v>
      </c>
      <c r="F1103" s="37">
        <f t="shared" si="135"/>
        <v>0.47938461538461541</v>
      </c>
    </row>
    <row r="1104" spans="1:6" ht="13" x14ac:dyDescent="0.15">
      <c r="A1104" s="21"/>
      <c r="B1104" s="21"/>
      <c r="C1104" s="38"/>
      <c r="D1104" s="180" t="s">
        <v>777</v>
      </c>
      <c r="E1104" s="179"/>
      <c r="F1104" s="39">
        <f>SUM(F1099:F1103)</f>
        <v>5.6696290598290604</v>
      </c>
    </row>
    <row r="1105" spans="1:6" ht="13" x14ac:dyDescent="0.15">
      <c r="A1105" s="21"/>
      <c r="B1105" s="21"/>
      <c r="C1105" s="21"/>
      <c r="D1105" s="30"/>
      <c r="E1105" s="30"/>
      <c r="F1105" s="30"/>
    </row>
    <row r="1106" spans="1:6" ht="13" x14ac:dyDescent="0.15">
      <c r="A1106" s="21"/>
      <c r="B1106" s="21"/>
      <c r="C1106" s="21"/>
      <c r="D1106" s="30"/>
      <c r="E1106" s="30"/>
      <c r="F1106" s="30"/>
    </row>
    <row r="1107" spans="1:6" ht="13" x14ac:dyDescent="0.15">
      <c r="A1107" s="172" t="s">
        <v>167</v>
      </c>
      <c r="B1107" s="173"/>
      <c r="C1107" s="171"/>
      <c r="D1107" s="34"/>
      <c r="E1107" s="34"/>
      <c r="F1107" s="34"/>
    </row>
    <row r="1108" spans="1:6" ht="13" x14ac:dyDescent="0.15">
      <c r="A1108" s="177" t="s">
        <v>773</v>
      </c>
      <c r="B1108" s="178" t="s">
        <v>774</v>
      </c>
      <c r="C1108" s="178" t="s">
        <v>775</v>
      </c>
      <c r="D1108" s="178" t="s">
        <v>719</v>
      </c>
      <c r="E1108" s="178" t="s">
        <v>776</v>
      </c>
      <c r="F1108" s="178" t="s">
        <v>777</v>
      </c>
    </row>
    <row r="1109" spans="1:6" ht="13" x14ac:dyDescent="0.15">
      <c r="A1109" s="169"/>
      <c r="B1109" s="179"/>
      <c r="C1109" s="179"/>
      <c r="D1109" s="179"/>
      <c r="E1109" s="179"/>
      <c r="F1109" s="179"/>
    </row>
    <row r="1110" spans="1:6" ht="13" x14ac:dyDescent="0.15">
      <c r="A1110" s="35">
        <v>1</v>
      </c>
      <c r="B1110" s="36" t="s">
        <v>423</v>
      </c>
      <c r="C1110" s="36">
        <v>7.4999999999999997E-2</v>
      </c>
      <c r="D1110" s="37" t="s">
        <v>183</v>
      </c>
      <c r="E1110" s="37">
        <f>'Master Price list'!G93</f>
        <v>4</v>
      </c>
      <c r="F1110" s="37">
        <f t="shared" ref="F1110:F1119" si="136">E1110*C1110</f>
        <v>0.3</v>
      </c>
    </row>
    <row r="1111" spans="1:6" ht="13" x14ac:dyDescent="0.15">
      <c r="A1111" s="35">
        <v>2</v>
      </c>
      <c r="B1111" s="36" t="s">
        <v>883</v>
      </c>
      <c r="C1111" s="36">
        <v>1.4999999999999999E-2</v>
      </c>
      <c r="D1111" s="37" t="s">
        <v>183</v>
      </c>
      <c r="E1111" s="37">
        <f>'Master Price list'!G21</f>
        <v>39.200000000000003</v>
      </c>
      <c r="F1111" s="37">
        <f t="shared" si="136"/>
        <v>0.58799999999999997</v>
      </c>
    </row>
    <row r="1112" spans="1:6" ht="13" x14ac:dyDescent="0.15">
      <c r="A1112" s="35">
        <v>3</v>
      </c>
      <c r="B1112" s="36" t="s">
        <v>816</v>
      </c>
      <c r="C1112" s="36">
        <v>1E-3</v>
      </c>
      <c r="D1112" s="37" t="s">
        <v>183</v>
      </c>
      <c r="E1112" s="37">
        <f>E898</f>
        <v>11</v>
      </c>
      <c r="F1112" s="37">
        <f t="shared" si="136"/>
        <v>1.0999999999999999E-2</v>
      </c>
    </row>
    <row r="1113" spans="1:6" ht="13" x14ac:dyDescent="0.15">
      <c r="A1113" s="35">
        <v>4</v>
      </c>
      <c r="B1113" s="36" t="s">
        <v>919</v>
      </c>
      <c r="C1113" s="36">
        <v>0.02</v>
      </c>
      <c r="D1113" s="37" t="s">
        <v>183</v>
      </c>
      <c r="E1113" s="37">
        <f>'Master Price list'!G182</f>
        <v>23.8</v>
      </c>
      <c r="F1113" s="37">
        <f t="shared" si="136"/>
        <v>0.47600000000000003</v>
      </c>
    </row>
    <row r="1114" spans="1:6" ht="13" x14ac:dyDescent="0.15">
      <c r="A1114" s="35">
        <v>5</v>
      </c>
      <c r="B1114" s="36" t="s">
        <v>586</v>
      </c>
      <c r="C1114" s="36">
        <v>6.0000000000000001E-3</v>
      </c>
      <c r="D1114" s="37" t="s">
        <v>183</v>
      </c>
      <c r="E1114" s="37">
        <f>'Master Price list'!G157</f>
        <v>55</v>
      </c>
      <c r="F1114" s="37">
        <f t="shared" si="136"/>
        <v>0.33</v>
      </c>
    </row>
    <row r="1115" spans="1:6" ht="13" x14ac:dyDescent="0.15">
      <c r="A1115" s="35">
        <v>6</v>
      </c>
      <c r="B1115" s="36" t="s">
        <v>781</v>
      </c>
      <c r="C1115" s="36">
        <v>0.12</v>
      </c>
      <c r="D1115" s="37" t="s">
        <v>183</v>
      </c>
      <c r="E1115" s="37">
        <f>'Master Price list'!G36</f>
        <v>22</v>
      </c>
      <c r="F1115" s="37">
        <f t="shared" si="136"/>
        <v>2.6399999999999997</v>
      </c>
    </row>
    <row r="1116" spans="1:6" ht="13" x14ac:dyDescent="0.15">
      <c r="A1116" s="35">
        <v>7</v>
      </c>
      <c r="B1116" s="36" t="s">
        <v>803</v>
      </c>
      <c r="C1116" s="36">
        <v>1</v>
      </c>
      <c r="D1116" s="37" t="s">
        <v>350</v>
      </c>
      <c r="E1116" s="37">
        <f>'Master Price list'!G207</f>
        <v>0.5</v>
      </c>
      <c r="F1116" s="37">
        <f t="shared" si="136"/>
        <v>0.5</v>
      </c>
    </row>
    <row r="1117" spans="1:6" ht="13" x14ac:dyDescent="0.15">
      <c r="A1117" s="35">
        <v>8</v>
      </c>
      <c r="B1117" s="36" t="s">
        <v>287</v>
      </c>
      <c r="C1117" s="36">
        <v>5.0000000000000001E-3</v>
      </c>
      <c r="D1117" s="37" t="s">
        <v>183</v>
      </c>
      <c r="E1117" s="37">
        <f>'Master Price list'!G41</f>
        <v>56</v>
      </c>
      <c r="F1117" s="37">
        <f t="shared" si="136"/>
        <v>0.28000000000000003</v>
      </c>
    </row>
    <row r="1118" spans="1:6" ht="13" x14ac:dyDescent="0.15">
      <c r="A1118" s="35">
        <v>9</v>
      </c>
      <c r="B1118" s="36" t="s">
        <v>978</v>
      </c>
      <c r="C1118" s="36">
        <v>1.4999999999999999E-2</v>
      </c>
      <c r="D1118" s="37" t="s">
        <v>183</v>
      </c>
      <c r="E1118" s="37">
        <f>'Master Price list'!G33</f>
        <v>95</v>
      </c>
      <c r="F1118" s="37">
        <f t="shared" si="136"/>
        <v>1.425</v>
      </c>
    </row>
    <row r="1119" spans="1:6" ht="13" x14ac:dyDescent="0.15">
      <c r="A1119" s="35">
        <v>10</v>
      </c>
      <c r="B1119" s="36" t="s">
        <v>935</v>
      </c>
      <c r="C1119" s="36">
        <v>0.01</v>
      </c>
      <c r="D1119" s="37" t="s">
        <v>183</v>
      </c>
      <c r="E1119" s="37">
        <f>'Master Price list'!G29</f>
        <v>85</v>
      </c>
      <c r="F1119" s="37">
        <f t="shared" si="136"/>
        <v>0.85</v>
      </c>
    </row>
    <row r="1120" spans="1:6" ht="13" x14ac:dyDescent="0.15">
      <c r="A1120" s="21"/>
      <c r="B1120" s="21"/>
      <c r="C1120" s="38"/>
      <c r="D1120" s="180" t="s">
        <v>777</v>
      </c>
      <c r="E1120" s="179"/>
      <c r="F1120" s="39">
        <f>SUM(F1110:F1119)</f>
        <v>7.3999999999999995</v>
      </c>
    </row>
    <row r="1121" spans="1:6" ht="13" x14ac:dyDescent="0.15">
      <c r="A1121" s="21"/>
      <c r="B1121" s="21"/>
      <c r="C1121" s="21"/>
      <c r="D1121" s="30"/>
      <c r="E1121" s="30"/>
      <c r="F1121" s="30"/>
    </row>
    <row r="1122" spans="1:6" ht="13" x14ac:dyDescent="0.15">
      <c r="A1122" s="21"/>
      <c r="B1122" s="21"/>
      <c r="C1122" s="21"/>
      <c r="D1122" s="30"/>
      <c r="E1122" s="30"/>
      <c r="F1122" s="30"/>
    </row>
    <row r="1123" spans="1:6" ht="13" x14ac:dyDescent="0.15">
      <c r="A1123" s="172" t="s">
        <v>168</v>
      </c>
      <c r="B1123" s="173"/>
      <c r="C1123" s="171"/>
      <c r="D1123" s="34"/>
      <c r="E1123" s="34"/>
      <c r="F1123" s="34"/>
    </row>
    <row r="1124" spans="1:6" ht="13" x14ac:dyDescent="0.15">
      <c r="A1124" s="177" t="s">
        <v>773</v>
      </c>
      <c r="B1124" s="178" t="s">
        <v>774</v>
      </c>
      <c r="C1124" s="178" t="s">
        <v>775</v>
      </c>
      <c r="D1124" s="178" t="s">
        <v>719</v>
      </c>
      <c r="E1124" s="178" t="s">
        <v>776</v>
      </c>
      <c r="F1124" s="178" t="s">
        <v>777</v>
      </c>
    </row>
    <row r="1125" spans="1:6" ht="13" x14ac:dyDescent="0.15">
      <c r="A1125" s="169"/>
      <c r="B1125" s="179"/>
      <c r="C1125" s="179"/>
      <c r="D1125" s="179"/>
      <c r="E1125" s="179"/>
      <c r="F1125" s="179"/>
    </row>
    <row r="1126" spans="1:6" ht="13" x14ac:dyDescent="0.15">
      <c r="A1126" s="35">
        <v>1</v>
      </c>
      <c r="B1126" s="36" t="s">
        <v>979</v>
      </c>
      <c r="C1126" s="36">
        <v>7.4999999999999997E-2</v>
      </c>
      <c r="D1126" s="37" t="s">
        <v>183</v>
      </c>
      <c r="E1126" s="37">
        <f>'Master Price list'!G87</f>
        <v>6</v>
      </c>
      <c r="F1126" s="37">
        <f t="shared" ref="F1126:F1134" si="137">E1126*C1126</f>
        <v>0.44999999999999996</v>
      </c>
    </row>
    <row r="1127" spans="1:6" ht="13" x14ac:dyDescent="0.15">
      <c r="A1127" s="35">
        <v>2</v>
      </c>
      <c r="B1127" s="36" t="s">
        <v>883</v>
      </c>
      <c r="C1127" s="36">
        <v>1.4999999999999999E-2</v>
      </c>
      <c r="D1127" s="37" t="s">
        <v>183</v>
      </c>
      <c r="E1127" s="37">
        <f t="shared" ref="E1127:E1129" si="138">E1111</f>
        <v>39.200000000000003</v>
      </c>
      <c r="F1127" s="37">
        <f t="shared" si="137"/>
        <v>0.58799999999999997</v>
      </c>
    </row>
    <row r="1128" spans="1:6" ht="13" x14ac:dyDescent="0.15">
      <c r="A1128" s="35">
        <v>3</v>
      </c>
      <c r="B1128" s="36" t="s">
        <v>816</v>
      </c>
      <c r="C1128" s="36">
        <v>1E-3</v>
      </c>
      <c r="D1128" s="37" t="s">
        <v>183</v>
      </c>
      <c r="E1128" s="37">
        <f t="shared" si="138"/>
        <v>11</v>
      </c>
      <c r="F1128" s="37">
        <f t="shared" si="137"/>
        <v>1.0999999999999999E-2</v>
      </c>
    </row>
    <row r="1129" spans="1:6" ht="13" x14ac:dyDescent="0.15">
      <c r="A1129" s="35">
        <v>4</v>
      </c>
      <c r="B1129" s="36" t="s">
        <v>919</v>
      </c>
      <c r="C1129" s="36">
        <v>0.02</v>
      </c>
      <c r="D1129" s="37" t="s">
        <v>183</v>
      </c>
      <c r="E1129" s="37">
        <f t="shared" si="138"/>
        <v>23.8</v>
      </c>
      <c r="F1129" s="37">
        <f t="shared" si="137"/>
        <v>0.47600000000000003</v>
      </c>
    </row>
    <row r="1130" spans="1:6" ht="13" x14ac:dyDescent="0.15">
      <c r="A1130" s="35">
        <v>5</v>
      </c>
      <c r="B1130" s="36" t="s">
        <v>304</v>
      </c>
      <c r="C1130" s="36">
        <v>5.0000000000000001E-3</v>
      </c>
      <c r="D1130" s="37" t="s">
        <v>183</v>
      </c>
      <c r="E1130" s="37">
        <f>'Master Price list'!G49</f>
        <v>22</v>
      </c>
      <c r="F1130" s="37">
        <f t="shared" si="137"/>
        <v>0.11</v>
      </c>
    </row>
    <row r="1131" spans="1:6" ht="13" x14ac:dyDescent="0.15">
      <c r="A1131" s="35">
        <v>6</v>
      </c>
      <c r="B1131" s="36" t="s">
        <v>308</v>
      </c>
      <c r="C1131" s="36">
        <v>5.0000000000000001E-3</v>
      </c>
      <c r="D1131" s="37" t="s">
        <v>183</v>
      </c>
      <c r="E1131" s="37">
        <f>'Master Price list'!G50</f>
        <v>23</v>
      </c>
      <c r="F1131" s="37">
        <f t="shared" si="137"/>
        <v>0.115</v>
      </c>
    </row>
    <row r="1132" spans="1:6" ht="13" x14ac:dyDescent="0.15">
      <c r="A1132" s="35">
        <v>7</v>
      </c>
      <c r="B1132" s="36" t="s">
        <v>935</v>
      </c>
      <c r="C1132" s="36">
        <v>0.01</v>
      </c>
      <c r="D1132" s="37" t="s">
        <v>183</v>
      </c>
      <c r="E1132" s="37">
        <f>E1119</f>
        <v>85</v>
      </c>
      <c r="F1132" s="37">
        <f t="shared" si="137"/>
        <v>0.85</v>
      </c>
    </row>
    <row r="1133" spans="1:6" ht="13" x14ac:dyDescent="0.15">
      <c r="A1133" s="35">
        <v>8</v>
      </c>
      <c r="B1133" s="36" t="s">
        <v>886</v>
      </c>
      <c r="C1133" s="36">
        <v>5.0000000000000001E-3</v>
      </c>
      <c r="D1133" s="37" t="s">
        <v>183</v>
      </c>
      <c r="E1133" s="37">
        <f>'Master Price list'!G51</f>
        <v>56</v>
      </c>
      <c r="F1133" s="37">
        <f t="shared" si="137"/>
        <v>0.28000000000000003</v>
      </c>
    </row>
    <row r="1134" spans="1:6" ht="13" x14ac:dyDescent="0.15">
      <c r="A1134" s="35">
        <v>9</v>
      </c>
      <c r="B1134" s="36" t="s">
        <v>782</v>
      </c>
      <c r="C1134" s="36">
        <v>1E-3</v>
      </c>
      <c r="D1134" s="37" t="s">
        <v>183</v>
      </c>
      <c r="E1134" s="37">
        <f>'Master Price list'!G62</f>
        <v>4.4444444444444446</v>
      </c>
      <c r="F1134" s="37">
        <f t="shared" si="137"/>
        <v>4.4444444444444444E-3</v>
      </c>
    </row>
    <row r="1135" spans="1:6" ht="13" x14ac:dyDescent="0.15">
      <c r="A1135" s="21"/>
      <c r="B1135" s="21"/>
      <c r="C1135" s="38"/>
      <c r="D1135" s="180" t="s">
        <v>777</v>
      </c>
      <c r="E1135" s="179"/>
      <c r="F1135" s="39">
        <f>SUM(F1126:F1134)</f>
        <v>2.8844444444444441</v>
      </c>
    </row>
    <row r="1136" spans="1:6" ht="13" x14ac:dyDescent="0.15">
      <c r="A1136" s="21"/>
      <c r="B1136" s="21"/>
      <c r="C1136" s="21"/>
      <c r="D1136" s="30"/>
      <c r="E1136" s="30"/>
      <c r="F1136" s="30"/>
    </row>
    <row r="1137" spans="1:6" ht="13" x14ac:dyDescent="0.15">
      <c r="A1137" s="21"/>
      <c r="B1137" s="21"/>
      <c r="C1137" s="21"/>
      <c r="D1137" s="30"/>
      <c r="E1137" s="30"/>
      <c r="F1137" s="30"/>
    </row>
    <row r="1138" spans="1:6" ht="13" x14ac:dyDescent="0.15">
      <c r="A1138" s="172" t="s">
        <v>169</v>
      </c>
      <c r="B1138" s="173"/>
      <c r="C1138" s="171"/>
      <c r="D1138" s="34"/>
      <c r="E1138" s="34"/>
      <c r="F1138" s="34"/>
    </row>
    <row r="1139" spans="1:6" ht="13" x14ac:dyDescent="0.15">
      <c r="A1139" s="177" t="s">
        <v>773</v>
      </c>
      <c r="B1139" s="178" t="s">
        <v>774</v>
      </c>
      <c r="C1139" s="178" t="s">
        <v>775</v>
      </c>
      <c r="D1139" s="178" t="s">
        <v>719</v>
      </c>
      <c r="E1139" s="178" t="s">
        <v>776</v>
      </c>
      <c r="F1139" s="178" t="s">
        <v>777</v>
      </c>
    </row>
    <row r="1140" spans="1:6" ht="13" x14ac:dyDescent="0.15">
      <c r="A1140" s="169"/>
      <c r="B1140" s="179"/>
      <c r="C1140" s="179"/>
      <c r="D1140" s="179"/>
      <c r="E1140" s="179"/>
      <c r="F1140" s="179"/>
    </row>
    <row r="1141" spans="1:6" ht="13" x14ac:dyDescent="0.15">
      <c r="A1141" s="35">
        <v>1</v>
      </c>
      <c r="B1141" s="36" t="s">
        <v>980</v>
      </c>
      <c r="C1141" s="36">
        <v>7.4999999999999997E-2</v>
      </c>
      <c r="D1141" s="37" t="s">
        <v>183</v>
      </c>
      <c r="E1141" s="37">
        <f>'Master Price list'!G95</f>
        <v>6</v>
      </c>
      <c r="F1141" s="37">
        <f t="shared" ref="F1141:F1148" si="139">E1141*C1141</f>
        <v>0.44999999999999996</v>
      </c>
    </row>
    <row r="1142" spans="1:6" ht="13" x14ac:dyDescent="0.15">
      <c r="A1142" s="35">
        <v>2</v>
      </c>
      <c r="B1142" s="36" t="s">
        <v>883</v>
      </c>
      <c r="C1142" s="36">
        <v>1.4999999999999999E-2</v>
      </c>
      <c r="D1142" s="37" t="s">
        <v>183</v>
      </c>
      <c r="E1142" s="37">
        <f t="shared" ref="E1142:E1143" si="140">E1127</f>
        <v>39.200000000000003</v>
      </c>
      <c r="F1142" s="37">
        <f t="shared" si="139"/>
        <v>0.58799999999999997</v>
      </c>
    </row>
    <row r="1143" spans="1:6" ht="13" x14ac:dyDescent="0.15">
      <c r="A1143" s="35">
        <v>3</v>
      </c>
      <c r="B1143" s="36" t="s">
        <v>816</v>
      </c>
      <c r="C1143" s="36">
        <v>1E-3</v>
      </c>
      <c r="D1143" s="37" t="s">
        <v>183</v>
      </c>
      <c r="E1143" s="37">
        <f t="shared" si="140"/>
        <v>11</v>
      </c>
      <c r="F1143" s="37">
        <f t="shared" si="139"/>
        <v>1.0999999999999999E-2</v>
      </c>
    </row>
    <row r="1144" spans="1:6" ht="13" x14ac:dyDescent="0.15">
      <c r="A1144" s="35">
        <v>4</v>
      </c>
      <c r="B1144" s="36" t="s">
        <v>950</v>
      </c>
      <c r="C1144" s="36">
        <v>0.1</v>
      </c>
      <c r="D1144" s="37" t="s">
        <v>183</v>
      </c>
      <c r="E1144" s="37">
        <f>'Item list'!B23</f>
        <v>34.446361111111123</v>
      </c>
      <c r="F1144" s="37">
        <f t="shared" si="139"/>
        <v>3.4446361111111123</v>
      </c>
    </row>
    <row r="1145" spans="1:6" ht="13" x14ac:dyDescent="0.15">
      <c r="A1145" s="35">
        <v>5</v>
      </c>
      <c r="B1145" s="36" t="s">
        <v>739</v>
      </c>
      <c r="C1145" s="36">
        <v>1</v>
      </c>
      <c r="D1145" s="37" t="s">
        <v>721</v>
      </c>
      <c r="E1145" s="37">
        <f>'Item list'!B28</f>
        <v>5.9708999999999994</v>
      </c>
      <c r="F1145" s="37">
        <f t="shared" si="139"/>
        <v>5.9708999999999994</v>
      </c>
    </row>
    <row r="1146" spans="1:6" ht="13" x14ac:dyDescent="0.15">
      <c r="A1146" s="35">
        <v>6</v>
      </c>
      <c r="B1146" s="36" t="s">
        <v>611</v>
      </c>
      <c r="C1146" s="36">
        <v>0.03</v>
      </c>
      <c r="D1146" s="37" t="s">
        <v>183</v>
      </c>
      <c r="E1146" s="37">
        <f>E974</f>
        <v>11.5</v>
      </c>
      <c r="F1146" s="37">
        <f t="shared" si="139"/>
        <v>0.34499999999999997</v>
      </c>
    </row>
    <row r="1147" spans="1:6" ht="13" x14ac:dyDescent="0.15">
      <c r="A1147" s="35">
        <v>78</v>
      </c>
      <c r="B1147" s="36" t="s">
        <v>978</v>
      </c>
      <c r="C1147" s="36">
        <v>5.0000000000000001E-3</v>
      </c>
      <c r="D1147" s="37" t="s">
        <v>183</v>
      </c>
      <c r="E1147" s="37">
        <f>'Master Price list'!G33</f>
        <v>95</v>
      </c>
      <c r="F1147" s="37">
        <f t="shared" si="139"/>
        <v>0.47500000000000003</v>
      </c>
    </row>
    <row r="1148" spans="1:6" ht="13" x14ac:dyDescent="0.15">
      <c r="A1148" s="35">
        <v>9</v>
      </c>
      <c r="B1148" s="36" t="s">
        <v>782</v>
      </c>
      <c r="C1148" s="36">
        <v>1E-3</v>
      </c>
      <c r="D1148" s="37" t="s">
        <v>183</v>
      </c>
      <c r="E1148" s="37">
        <f>E1134</f>
        <v>4.4444444444444446</v>
      </c>
      <c r="F1148" s="37">
        <f t="shared" si="139"/>
        <v>4.4444444444444444E-3</v>
      </c>
    </row>
    <row r="1149" spans="1:6" ht="13" x14ac:dyDescent="0.15">
      <c r="A1149" s="21"/>
      <c r="B1149" s="21"/>
      <c r="C1149" s="38"/>
      <c r="D1149" s="180" t="s">
        <v>777</v>
      </c>
      <c r="E1149" s="179"/>
      <c r="F1149" s="39">
        <f>SUM(F1141:F1148)</f>
        <v>11.288980555555558</v>
      </c>
    </row>
    <row r="1150" spans="1:6" ht="13" x14ac:dyDescent="0.15">
      <c r="A1150" s="21"/>
      <c r="B1150" s="21"/>
      <c r="C1150" s="21"/>
      <c r="D1150" s="30"/>
      <c r="E1150" s="30"/>
      <c r="F1150" s="30"/>
    </row>
    <row r="1151" spans="1:6" ht="13" x14ac:dyDescent="0.15">
      <c r="A1151" s="21"/>
      <c r="B1151" s="21"/>
      <c r="C1151" s="21"/>
      <c r="D1151" s="30"/>
      <c r="E1151" s="30"/>
      <c r="F1151" s="30"/>
    </row>
    <row r="1152" spans="1:6" ht="13" x14ac:dyDescent="0.15">
      <c r="A1152" s="172" t="s">
        <v>170</v>
      </c>
      <c r="B1152" s="173"/>
      <c r="C1152" s="171"/>
      <c r="D1152" s="34"/>
      <c r="E1152" s="34"/>
      <c r="F1152" s="34"/>
    </row>
    <row r="1153" spans="1:6" ht="13" x14ac:dyDescent="0.15">
      <c r="A1153" s="177" t="s">
        <v>773</v>
      </c>
      <c r="B1153" s="178" t="s">
        <v>774</v>
      </c>
      <c r="C1153" s="178" t="s">
        <v>775</v>
      </c>
      <c r="D1153" s="178" t="s">
        <v>719</v>
      </c>
      <c r="E1153" s="178" t="s">
        <v>776</v>
      </c>
      <c r="F1153" s="178" t="s">
        <v>777</v>
      </c>
    </row>
    <row r="1154" spans="1:6" ht="13" x14ac:dyDescent="0.15">
      <c r="A1154" s="169"/>
      <c r="B1154" s="179"/>
      <c r="C1154" s="179"/>
      <c r="D1154" s="179"/>
      <c r="E1154" s="179"/>
      <c r="F1154" s="179"/>
    </row>
    <row r="1155" spans="1:6" ht="13" x14ac:dyDescent="0.15">
      <c r="A1155" s="35">
        <v>1</v>
      </c>
      <c r="B1155" s="36" t="s">
        <v>980</v>
      </c>
      <c r="C1155" s="36">
        <v>7.4999999999999997E-2</v>
      </c>
      <c r="D1155" s="37" t="s">
        <v>183</v>
      </c>
      <c r="E1155" s="37">
        <f t="shared" ref="E1155:E1158" si="141">E1141</f>
        <v>6</v>
      </c>
      <c r="F1155" s="37">
        <f t="shared" ref="F1155:F1163" si="142">E1155*C1155</f>
        <v>0.44999999999999996</v>
      </c>
    </row>
    <row r="1156" spans="1:6" ht="13" x14ac:dyDescent="0.15">
      <c r="A1156" s="35">
        <v>2</v>
      </c>
      <c r="B1156" s="36" t="s">
        <v>883</v>
      </c>
      <c r="C1156" s="36">
        <v>1.4999999999999999E-2</v>
      </c>
      <c r="D1156" s="37" t="s">
        <v>183</v>
      </c>
      <c r="E1156" s="37">
        <f t="shared" si="141"/>
        <v>39.200000000000003</v>
      </c>
      <c r="F1156" s="37">
        <f t="shared" si="142"/>
        <v>0.58799999999999997</v>
      </c>
    </row>
    <row r="1157" spans="1:6" ht="13" x14ac:dyDescent="0.15">
      <c r="A1157" s="35">
        <v>3</v>
      </c>
      <c r="B1157" s="36" t="s">
        <v>816</v>
      </c>
      <c r="C1157" s="36">
        <v>1E-3</v>
      </c>
      <c r="D1157" s="37" t="s">
        <v>183</v>
      </c>
      <c r="E1157" s="37">
        <f t="shared" si="141"/>
        <v>11</v>
      </c>
      <c r="F1157" s="37">
        <f t="shared" si="142"/>
        <v>1.0999999999999999E-2</v>
      </c>
    </row>
    <row r="1158" spans="1:6" ht="13" x14ac:dyDescent="0.15">
      <c r="A1158" s="35">
        <v>4</v>
      </c>
      <c r="B1158" s="36" t="s">
        <v>950</v>
      </c>
      <c r="C1158" s="36">
        <v>0.1</v>
      </c>
      <c r="D1158" s="37" t="s">
        <v>183</v>
      </c>
      <c r="E1158" s="37">
        <f t="shared" si="141"/>
        <v>34.446361111111123</v>
      </c>
      <c r="F1158" s="37">
        <f t="shared" si="142"/>
        <v>3.4446361111111123</v>
      </c>
    </row>
    <row r="1159" spans="1:6" ht="13" x14ac:dyDescent="0.15">
      <c r="A1159" s="35">
        <v>5</v>
      </c>
      <c r="B1159" s="36" t="s">
        <v>379</v>
      </c>
      <c r="C1159" s="36">
        <v>5.0000000000000001E-3</v>
      </c>
      <c r="D1159" s="37" t="s">
        <v>183</v>
      </c>
      <c r="E1159" s="37">
        <f>E1068</f>
        <v>15.75</v>
      </c>
      <c r="F1159" s="37">
        <f t="shared" si="142"/>
        <v>7.8750000000000001E-2</v>
      </c>
    </row>
    <row r="1160" spans="1:6" ht="13" x14ac:dyDescent="0.15">
      <c r="A1160" s="35">
        <v>6</v>
      </c>
      <c r="B1160" s="36" t="s">
        <v>611</v>
      </c>
      <c r="C1160" s="36">
        <v>0.04</v>
      </c>
      <c r="D1160" s="37" t="s">
        <v>183</v>
      </c>
      <c r="E1160" s="37">
        <f>E1146</f>
        <v>11.5</v>
      </c>
      <c r="F1160" s="37">
        <f t="shared" si="142"/>
        <v>0.46</v>
      </c>
    </row>
    <row r="1161" spans="1:6" ht="13" x14ac:dyDescent="0.15">
      <c r="A1161" s="35">
        <v>7</v>
      </c>
      <c r="B1161" s="36" t="s">
        <v>937</v>
      </c>
      <c r="C1161" s="36">
        <v>5.0000000000000001E-3</v>
      </c>
      <c r="D1161" s="37" t="s">
        <v>183</v>
      </c>
      <c r="E1161" s="37">
        <f>E1051</f>
        <v>22.727272727272727</v>
      </c>
      <c r="F1161" s="37">
        <f t="shared" si="142"/>
        <v>0.11363636363636363</v>
      </c>
    </row>
    <row r="1162" spans="1:6" ht="13" x14ac:dyDescent="0.15">
      <c r="A1162" s="35">
        <v>8</v>
      </c>
      <c r="B1162" s="36" t="s">
        <v>978</v>
      </c>
      <c r="C1162" s="36">
        <v>5.0000000000000001E-3</v>
      </c>
      <c r="D1162" s="37" t="s">
        <v>183</v>
      </c>
      <c r="E1162" s="37">
        <f t="shared" ref="E1162:E1163" si="143">E1147</f>
        <v>95</v>
      </c>
      <c r="F1162" s="37">
        <f t="shared" si="142"/>
        <v>0.47500000000000003</v>
      </c>
    </row>
    <row r="1163" spans="1:6" ht="13" x14ac:dyDescent="0.15">
      <c r="A1163" s="35">
        <v>9</v>
      </c>
      <c r="B1163" s="36" t="s">
        <v>782</v>
      </c>
      <c r="C1163" s="36">
        <v>1E-3</v>
      </c>
      <c r="D1163" s="37" t="s">
        <v>183</v>
      </c>
      <c r="E1163" s="37">
        <f t="shared" si="143"/>
        <v>4.4444444444444446</v>
      </c>
      <c r="F1163" s="37">
        <f t="shared" si="142"/>
        <v>4.4444444444444444E-3</v>
      </c>
    </row>
    <row r="1164" spans="1:6" ht="13" x14ac:dyDescent="0.15">
      <c r="A1164" s="21"/>
      <c r="B1164" s="21"/>
      <c r="C1164" s="38"/>
      <c r="D1164" s="180" t="s">
        <v>777</v>
      </c>
      <c r="E1164" s="179"/>
      <c r="F1164" s="39">
        <f>SUM(F1155:F1163)</f>
        <v>5.6254669191919193</v>
      </c>
    </row>
    <row r="1165" spans="1:6" ht="13" x14ac:dyDescent="0.15">
      <c r="A1165" s="21"/>
      <c r="B1165" s="21"/>
      <c r="C1165" s="21"/>
      <c r="D1165" s="30"/>
      <c r="E1165" s="30"/>
      <c r="F1165" s="30"/>
    </row>
    <row r="1166" spans="1:6" ht="13" x14ac:dyDescent="0.15">
      <c r="A1166" s="21"/>
      <c r="B1166" s="21"/>
      <c r="C1166" s="21"/>
      <c r="D1166" s="30"/>
      <c r="E1166" s="30"/>
      <c r="F1166" s="30"/>
    </row>
    <row r="1167" spans="1:6" ht="13" x14ac:dyDescent="0.15">
      <c r="A1167" s="172" t="s">
        <v>171</v>
      </c>
      <c r="B1167" s="173"/>
      <c r="C1167" s="171"/>
      <c r="D1167" s="34"/>
      <c r="E1167" s="34"/>
      <c r="F1167" s="34"/>
    </row>
    <row r="1168" spans="1:6" ht="13" x14ac:dyDescent="0.15">
      <c r="A1168" s="177" t="s">
        <v>773</v>
      </c>
      <c r="B1168" s="178" t="s">
        <v>774</v>
      </c>
      <c r="C1168" s="178" t="s">
        <v>775</v>
      </c>
      <c r="D1168" s="178" t="s">
        <v>719</v>
      </c>
      <c r="E1168" s="178" t="s">
        <v>776</v>
      </c>
      <c r="F1168" s="178" t="s">
        <v>777</v>
      </c>
    </row>
    <row r="1169" spans="1:6" ht="13" x14ac:dyDescent="0.15">
      <c r="A1169" s="169"/>
      <c r="B1169" s="179"/>
      <c r="C1169" s="179"/>
      <c r="D1169" s="179"/>
      <c r="E1169" s="179"/>
      <c r="F1169" s="179"/>
    </row>
    <row r="1170" spans="1:6" ht="13" x14ac:dyDescent="0.15">
      <c r="A1170" s="35">
        <v>1</v>
      </c>
      <c r="B1170" s="36" t="s">
        <v>980</v>
      </c>
      <c r="C1170" s="36">
        <v>7.4999999999999997E-2</v>
      </c>
      <c r="D1170" s="37" t="s">
        <v>183</v>
      </c>
      <c r="E1170" s="37">
        <f t="shared" ref="E1170:E1178" si="144">E1155</f>
        <v>6</v>
      </c>
      <c r="F1170" s="37">
        <f t="shared" ref="F1170:F1184" si="145">E1170*C1170</f>
        <v>0.44999999999999996</v>
      </c>
    </row>
    <row r="1171" spans="1:6" ht="13" x14ac:dyDescent="0.15">
      <c r="A1171" s="35">
        <v>2</v>
      </c>
      <c r="B1171" s="36" t="s">
        <v>883</v>
      </c>
      <c r="C1171" s="36">
        <v>1.4999999999999999E-2</v>
      </c>
      <c r="D1171" s="37" t="s">
        <v>183</v>
      </c>
      <c r="E1171" s="37">
        <f t="shared" si="144"/>
        <v>39.200000000000003</v>
      </c>
      <c r="F1171" s="37">
        <f t="shared" si="145"/>
        <v>0.58799999999999997</v>
      </c>
    </row>
    <row r="1172" spans="1:6" ht="13" x14ac:dyDescent="0.15">
      <c r="A1172" s="35">
        <v>3</v>
      </c>
      <c r="B1172" s="36" t="s">
        <v>816</v>
      </c>
      <c r="C1172" s="36">
        <v>1E-3</v>
      </c>
      <c r="D1172" s="37" t="s">
        <v>183</v>
      </c>
      <c r="E1172" s="37">
        <f t="shared" si="144"/>
        <v>11</v>
      </c>
      <c r="F1172" s="37">
        <f t="shared" si="145"/>
        <v>1.0999999999999999E-2</v>
      </c>
    </row>
    <row r="1173" spans="1:6" ht="13" x14ac:dyDescent="0.15">
      <c r="A1173" s="35">
        <v>4</v>
      </c>
      <c r="B1173" s="36" t="s">
        <v>950</v>
      </c>
      <c r="C1173" s="36">
        <v>0.1</v>
      </c>
      <c r="D1173" s="37" t="s">
        <v>183</v>
      </c>
      <c r="E1173" s="37">
        <f t="shared" si="144"/>
        <v>34.446361111111123</v>
      </c>
      <c r="F1173" s="37">
        <f t="shared" si="145"/>
        <v>3.4446361111111123</v>
      </c>
    </row>
    <row r="1174" spans="1:6" ht="13" x14ac:dyDescent="0.15">
      <c r="A1174" s="35">
        <v>5</v>
      </c>
      <c r="B1174" s="36" t="s">
        <v>379</v>
      </c>
      <c r="C1174" s="36">
        <v>5.0000000000000001E-3</v>
      </c>
      <c r="D1174" s="37" t="s">
        <v>183</v>
      </c>
      <c r="E1174" s="37">
        <f t="shared" si="144"/>
        <v>15.75</v>
      </c>
      <c r="F1174" s="37">
        <f t="shared" si="145"/>
        <v>7.8750000000000001E-2</v>
      </c>
    </row>
    <row r="1175" spans="1:6" ht="13" x14ac:dyDescent="0.15">
      <c r="A1175" s="35">
        <v>6</v>
      </c>
      <c r="B1175" s="36" t="s">
        <v>611</v>
      </c>
      <c r="C1175" s="36">
        <v>0.02</v>
      </c>
      <c r="D1175" s="37" t="s">
        <v>183</v>
      </c>
      <c r="E1175" s="37">
        <f t="shared" si="144"/>
        <v>11.5</v>
      </c>
      <c r="F1175" s="37">
        <f t="shared" si="145"/>
        <v>0.23</v>
      </c>
    </row>
    <row r="1176" spans="1:6" ht="13" x14ac:dyDescent="0.15">
      <c r="A1176" s="35">
        <v>7</v>
      </c>
      <c r="B1176" s="36" t="s">
        <v>937</v>
      </c>
      <c r="C1176" s="36">
        <v>5.0000000000000001E-3</v>
      </c>
      <c r="D1176" s="37" t="s">
        <v>183</v>
      </c>
      <c r="E1176" s="37">
        <f t="shared" si="144"/>
        <v>22.727272727272727</v>
      </c>
      <c r="F1176" s="37">
        <f t="shared" si="145"/>
        <v>0.11363636363636363</v>
      </c>
    </row>
    <row r="1177" spans="1:6" ht="13" x14ac:dyDescent="0.15">
      <c r="A1177" s="35">
        <v>8</v>
      </c>
      <c r="B1177" s="36" t="s">
        <v>978</v>
      </c>
      <c r="C1177" s="36">
        <v>5.0000000000000001E-3</v>
      </c>
      <c r="D1177" s="37" t="s">
        <v>183</v>
      </c>
      <c r="E1177" s="37">
        <f t="shared" si="144"/>
        <v>95</v>
      </c>
      <c r="F1177" s="37">
        <f t="shared" si="145"/>
        <v>0.47500000000000003</v>
      </c>
    </row>
    <row r="1178" spans="1:6" ht="13" x14ac:dyDescent="0.15">
      <c r="A1178" s="35">
        <v>9</v>
      </c>
      <c r="B1178" s="36" t="s">
        <v>782</v>
      </c>
      <c r="C1178" s="36">
        <v>1E-3</v>
      </c>
      <c r="D1178" s="37" t="s">
        <v>183</v>
      </c>
      <c r="E1178" s="37">
        <f t="shared" si="144"/>
        <v>4.4444444444444446</v>
      </c>
      <c r="F1178" s="37">
        <f t="shared" si="145"/>
        <v>4.4444444444444444E-3</v>
      </c>
    </row>
    <row r="1179" spans="1:6" ht="13" x14ac:dyDescent="0.15">
      <c r="A1179" s="35">
        <v>10</v>
      </c>
      <c r="B1179" s="36" t="s">
        <v>68</v>
      </c>
      <c r="C1179" s="36">
        <v>0.04</v>
      </c>
      <c r="D1179" s="37" t="s">
        <v>183</v>
      </c>
      <c r="E1179" s="37">
        <f>'Master Price list'!G7</f>
        <v>45.7</v>
      </c>
      <c r="F1179" s="37">
        <f t="shared" si="145"/>
        <v>1.8280000000000001</v>
      </c>
    </row>
    <row r="1180" spans="1:6" ht="13" x14ac:dyDescent="0.15">
      <c r="A1180" s="35">
        <v>11</v>
      </c>
      <c r="B1180" s="36" t="s">
        <v>69</v>
      </c>
      <c r="C1180" s="36">
        <v>0.04</v>
      </c>
      <c r="D1180" s="37" t="s">
        <v>183</v>
      </c>
      <c r="E1180" s="37">
        <f>'Master Price list'!G8</f>
        <v>39.380000000000003</v>
      </c>
      <c r="F1180" s="37">
        <f t="shared" si="145"/>
        <v>1.5752000000000002</v>
      </c>
    </row>
    <row r="1181" spans="1:6" ht="13" x14ac:dyDescent="0.15">
      <c r="A1181" s="35">
        <v>12</v>
      </c>
      <c r="B1181" s="36" t="s">
        <v>748</v>
      </c>
      <c r="C1181" s="36">
        <v>5.0000000000000001E-3</v>
      </c>
      <c r="D1181" s="37" t="s">
        <v>183</v>
      </c>
      <c r="E1181" s="37">
        <f>'Item list'!B38</f>
        <v>46.530916666666656</v>
      </c>
      <c r="F1181" s="37">
        <f t="shared" si="145"/>
        <v>0.23265458333333328</v>
      </c>
    </row>
    <row r="1182" spans="1:6" ht="13" x14ac:dyDescent="0.15">
      <c r="A1182" s="35">
        <v>13</v>
      </c>
      <c r="B1182" s="36" t="s">
        <v>981</v>
      </c>
      <c r="C1182" s="36">
        <v>2E-3</v>
      </c>
      <c r="D1182" s="37" t="s">
        <v>183</v>
      </c>
      <c r="E1182" s="37">
        <f>'Master Price list'!G45</f>
        <v>28</v>
      </c>
      <c r="F1182" s="37">
        <f t="shared" si="145"/>
        <v>5.6000000000000001E-2</v>
      </c>
    </row>
    <row r="1183" spans="1:6" ht="13" x14ac:dyDescent="0.15">
      <c r="A1183" s="35">
        <v>14</v>
      </c>
      <c r="B1183" s="36" t="s">
        <v>568</v>
      </c>
      <c r="C1183" s="36">
        <v>1E-3</v>
      </c>
      <c r="D1183" s="37" t="s">
        <v>183</v>
      </c>
      <c r="E1183" s="37">
        <f>'Master Price list'!G150</f>
        <v>169.99999999999997</v>
      </c>
      <c r="F1183" s="37">
        <f t="shared" si="145"/>
        <v>0.16999999999999998</v>
      </c>
    </row>
    <row r="1184" spans="1:6" ht="13" x14ac:dyDescent="0.15">
      <c r="A1184" s="35">
        <v>15</v>
      </c>
      <c r="B1184" s="36" t="s">
        <v>782</v>
      </c>
      <c r="C1184" s="36">
        <v>1E-3</v>
      </c>
      <c r="D1184" s="37" t="s">
        <v>183</v>
      </c>
      <c r="E1184" s="37">
        <f>E1163</f>
        <v>4.4444444444444446</v>
      </c>
      <c r="F1184" s="37">
        <f t="shared" si="145"/>
        <v>4.4444444444444444E-3</v>
      </c>
    </row>
    <row r="1185" spans="1:6" ht="13" x14ac:dyDescent="0.15">
      <c r="A1185" s="21"/>
      <c r="B1185" s="21"/>
      <c r="C1185" s="38"/>
      <c r="D1185" s="180" t="s">
        <v>777</v>
      </c>
      <c r="E1185" s="179"/>
      <c r="F1185" s="39">
        <f>SUM(F1170:F1184)</f>
        <v>9.2617659469696978</v>
      </c>
    </row>
    <row r="1186" spans="1:6" ht="13" x14ac:dyDescent="0.15">
      <c r="A1186" s="21"/>
      <c r="B1186" s="21"/>
      <c r="C1186" s="21"/>
      <c r="D1186" s="30"/>
      <c r="E1186" s="30"/>
      <c r="F1186" s="30"/>
    </row>
    <row r="1187" spans="1:6" ht="13" x14ac:dyDescent="0.15">
      <c r="A1187" s="21"/>
      <c r="B1187" s="21"/>
      <c r="C1187" s="21"/>
      <c r="D1187" s="30"/>
      <c r="E1187" s="30"/>
      <c r="F1187" s="30"/>
    </row>
    <row r="1188" spans="1:6" ht="13" x14ac:dyDescent="0.15">
      <c r="A1188" s="172" t="s">
        <v>172</v>
      </c>
      <c r="B1188" s="173"/>
      <c r="C1188" s="171"/>
      <c r="D1188" s="34"/>
      <c r="E1188" s="34"/>
      <c r="F1188" s="34"/>
    </row>
    <row r="1189" spans="1:6" ht="13" x14ac:dyDescent="0.15">
      <c r="A1189" s="177" t="s">
        <v>773</v>
      </c>
      <c r="B1189" s="178" t="s">
        <v>774</v>
      </c>
      <c r="C1189" s="178" t="s">
        <v>775</v>
      </c>
      <c r="D1189" s="178" t="s">
        <v>719</v>
      </c>
      <c r="E1189" s="178" t="s">
        <v>776</v>
      </c>
      <c r="F1189" s="178" t="s">
        <v>777</v>
      </c>
    </row>
    <row r="1190" spans="1:6" ht="13" x14ac:dyDescent="0.15">
      <c r="A1190" s="169"/>
      <c r="B1190" s="179"/>
      <c r="C1190" s="179"/>
      <c r="D1190" s="179"/>
      <c r="E1190" s="179"/>
      <c r="F1190" s="179"/>
    </row>
    <row r="1191" spans="1:6" ht="13" x14ac:dyDescent="0.15">
      <c r="A1191" s="35">
        <v>1</v>
      </c>
      <c r="B1191" s="36" t="s">
        <v>423</v>
      </c>
      <c r="C1191" s="36">
        <v>7.4999999999999997E-2</v>
      </c>
      <c r="D1191" s="37" t="s">
        <v>183</v>
      </c>
      <c r="E1191" s="37">
        <f>E1110</f>
        <v>4</v>
      </c>
      <c r="F1191" s="37">
        <f t="shared" ref="F1191:F1201" si="146">E1191*C1191</f>
        <v>0.3</v>
      </c>
    </row>
    <row r="1192" spans="1:6" ht="13" x14ac:dyDescent="0.15">
      <c r="A1192" s="35">
        <v>2</v>
      </c>
      <c r="B1192" s="36" t="s">
        <v>883</v>
      </c>
      <c r="C1192" s="36">
        <v>1.4999999999999999E-2</v>
      </c>
      <c r="D1192" s="37" t="s">
        <v>183</v>
      </c>
      <c r="E1192" s="37">
        <f t="shared" ref="E1192:E1193" si="147">E1171</f>
        <v>39.200000000000003</v>
      </c>
      <c r="F1192" s="37">
        <f t="shared" si="146"/>
        <v>0.58799999999999997</v>
      </c>
    </row>
    <row r="1193" spans="1:6" ht="13" x14ac:dyDescent="0.15">
      <c r="A1193" s="35">
        <v>3</v>
      </c>
      <c r="B1193" s="36" t="s">
        <v>816</v>
      </c>
      <c r="C1193" s="36">
        <v>1E-3</v>
      </c>
      <c r="D1193" s="37" t="s">
        <v>183</v>
      </c>
      <c r="E1193" s="37">
        <f t="shared" si="147"/>
        <v>11</v>
      </c>
      <c r="F1193" s="37">
        <f t="shared" si="146"/>
        <v>1.0999999999999999E-2</v>
      </c>
    </row>
    <row r="1194" spans="1:6" ht="13" x14ac:dyDescent="0.15">
      <c r="A1194" s="35">
        <v>4</v>
      </c>
      <c r="B1194" s="36" t="s">
        <v>304</v>
      </c>
      <c r="C1194" s="36">
        <v>2E-3</v>
      </c>
      <c r="D1194" s="37" t="s">
        <v>183</v>
      </c>
      <c r="E1194" s="37">
        <f t="shared" ref="E1194:E1195" si="148">E1130</f>
        <v>22</v>
      </c>
      <c r="F1194" s="37">
        <f t="shared" si="146"/>
        <v>4.3999999999999997E-2</v>
      </c>
    </row>
    <row r="1195" spans="1:6" ht="13" x14ac:dyDescent="0.15">
      <c r="A1195" s="35">
        <v>5</v>
      </c>
      <c r="B1195" s="36" t="s">
        <v>308</v>
      </c>
      <c r="C1195" s="36">
        <v>2E-3</v>
      </c>
      <c r="D1195" s="37" t="s">
        <v>183</v>
      </c>
      <c r="E1195" s="37">
        <f t="shared" si="148"/>
        <v>23</v>
      </c>
      <c r="F1195" s="37">
        <f t="shared" si="146"/>
        <v>4.5999999999999999E-2</v>
      </c>
    </row>
    <row r="1196" spans="1:6" ht="13" x14ac:dyDescent="0.15">
      <c r="A1196" s="35">
        <v>6</v>
      </c>
      <c r="B1196" s="36" t="s">
        <v>982</v>
      </c>
      <c r="C1196" s="36">
        <v>2E-3</v>
      </c>
      <c r="D1196" s="37" t="s">
        <v>183</v>
      </c>
      <c r="E1196" s="37">
        <f>'Master Price list'!G196</f>
        <v>86</v>
      </c>
      <c r="F1196" s="37">
        <f t="shared" si="146"/>
        <v>0.17200000000000001</v>
      </c>
    </row>
    <row r="1197" spans="1:6" ht="13" x14ac:dyDescent="0.15">
      <c r="A1197" s="35">
        <v>7</v>
      </c>
      <c r="B1197" s="36" t="s">
        <v>886</v>
      </c>
      <c r="C1197" s="36">
        <v>2E-3</v>
      </c>
      <c r="D1197" s="37" t="s">
        <v>183</v>
      </c>
      <c r="E1197" s="37">
        <f>E1133</f>
        <v>56</v>
      </c>
      <c r="F1197" s="37">
        <f t="shared" si="146"/>
        <v>0.112</v>
      </c>
    </row>
    <row r="1198" spans="1:6" ht="13" x14ac:dyDescent="0.15">
      <c r="A1198" s="35">
        <v>8</v>
      </c>
      <c r="B1198" s="36" t="s">
        <v>287</v>
      </c>
      <c r="C1198" s="36">
        <v>1E-3</v>
      </c>
      <c r="D1198" s="37" t="s">
        <v>183</v>
      </c>
      <c r="E1198" s="37">
        <f>E1117</f>
        <v>56</v>
      </c>
      <c r="F1198" s="37">
        <f t="shared" si="146"/>
        <v>5.6000000000000001E-2</v>
      </c>
    </row>
    <row r="1199" spans="1:6" ht="13" x14ac:dyDescent="0.15">
      <c r="A1199" s="35">
        <v>9</v>
      </c>
      <c r="B1199" s="36" t="s">
        <v>935</v>
      </c>
      <c r="C1199" s="36">
        <v>0.01</v>
      </c>
      <c r="D1199" s="37" t="s">
        <v>183</v>
      </c>
      <c r="E1199" s="37">
        <f>E1119</f>
        <v>85</v>
      </c>
      <c r="F1199" s="37">
        <f t="shared" si="146"/>
        <v>0.85</v>
      </c>
    </row>
    <row r="1200" spans="1:6" ht="13" x14ac:dyDescent="0.15">
      <c r="A1200" s="35">
        <v>10</v>
      </c>
      <c r="B1200" s="36" t="s">
        <v>586</v>
      </c>
      <c r="C1200" s="36">
        <v>6.0000000000000001E-3</v>
      </c>
      <c r="D1200" s="37" t="s">
        <v>183</v>
      </c>
      <c r="E1200" s="37">
        <f>E1114</f>
        <v>55</v>
      </c>
      <c r="F1200" s="37">
        <f t="shared" si="146"/>
        <v>0.33</v>
      </c>
    </row>
    <row r="1201" spans="1:6" ht="13" x14ac:dyDescent="0.15">
      <c r="A1201" s="35">
        <v>11</v>
      </c>
      <c r="B1201" s="36" t="s">
        <v>782</v>
      </c>
      <c r="C1201" s="36">
        <v>1E-3</v>
      </c>
      <c r="D1201" s="37" t="s">
        <v>183</v>
      </c>
      <c r="E1201" s="37">
        <f>E1184</f>
        <v>4.4444444444444446</v>
      </c>
      <c r="F1201" s="37">
        <f t="shared" si="146"/>
        <v>4.4444444444444444E-3</v>
      </c>
    </row>
    <row r="1202" spans="1:6" ht="13" x14ac:dyDescent="0.15">
      <c r="A1202" s="21"/>
      <c r="B1202" s="21"/>
      <c r="C1202" s="38"/>
      <c r="D1202" s="180" t="s">
        <v>777</v>
      </c>
      <c r="E1202" s="179"/>
      <c r="F1202" s="39">
        <f>SUM(F1191:F1201)</f>
        <v>2.5134444444444446</v>
      </c>
    </row>
    <row r="1203" spans="1:6" ht="13" x14ac:dyDescent="0.15">
      <c r="A1203" s="21"/>
      <c r="B1203" s="21"/>
      <c r="C1203" s="21"/>
      <c r="D1203" s="30"/>
      <c r="E1203" s="30"/>
      <c r="F1203" s="42"/>
    </row>
    <row r="1204" spans="1:6" ht="13" x14ac:dyDescent="0.15">
      <c r="A1204" s="21"/>
      <c r="B1204" s="21"/>
      <c r="C1204" s="21"/>
      <c r="D1204" s="30"/>
      <c r="E1204" s="30"/>
      <c r="F1204" s="44"/>
    </row>
    <row r="1205" spans="1:6" ht="13" x14ac:dyDescent="0.15">
      <c r="A1205" s="21"/>
      <c r="B1205" s="21"/>
      <c r="C1205" s="21"/>
      <c r="D1205" s="30"/>
      <c r="E1205" s="30"/>
      <c r="F1205" s="44"/>
    </row>
    <row r="1206" spans="1:6" ht="13" x14ac:dyDescent="0.15">
      <c r="A1206" s="21"/>
      <c r="B1206" s="21"/>
      <c r="C1206" s="21"/>
      <c r="D1206" s="30"/>
      <c r="E1206" s="30"/>
      <c r="F1206" s="44"/>
    </row>
    <row r="1207" spans="1:6" ht="13" x14ac:dyDescent="0.15">
      <c r="A1207" s="21"/>
      <c r="B1207" s="21"/>
      <c r="C1207" s="21"/>
      <c r="D1207" s="30"/>
      <c r="E1207" s="30"/>
      <c r="F1207" s="44"/>
    </row>
    <row r="1208" spans="1:6" ht="13" x14ac:dyDescent="0.15">
      <c r="A1208" s="21"/>
      <c r="B1208" s="21"/>
      <c r="C1208" s="21"/>
      <c r="D1208" s="30"/>
      <c r="E1208" s="30"/>
      <c r="F1208" s="44"/>
    </row>
    <row r="1209" spans="1:6" ht="13" x14ac:dyDescent="0.15">
      <c r="A1209" s="21"/>
      <c r="B1209" s="21"/>
      <c r="C1209" s="21"/>
      <c r="D1209" s="30"/>
      <c r="E1209" s="30"/>
      <c r="F1209" s="44"/>
    </row>
    <row r="1210" spans="1:6" ht="13" x14ac:dyDescent="0.15">
      <c r="A1210" s="21"/>
      <c r="B1210" s="21"/>
      <c r="C1210" s="21"/>
      <c r="D1210" s="30"/>
      <c r="E1210" s="30"/>
      <c r="F1210" s="44"/>
    </row>
    <row r="1211" spans="1:6" ht="13" x14ac:dyDescent="0.15">
      <c r="A1211" s="21"/>
      <c r="B1211" s="21"/>
      <c r="C1211" s="21"/>
      <c r="D1211" s="30"/>
      <c r="E1211" s="30"/>
      <c r="F1211" s="44"/>
    </row>
    <row r="1212" spans="1:6" ht="13" x14ac:dyDescent="0.15">
      <c r="A1212" s="21"/>
      <c r="B1212" s="21"/>
      <c r="C1212" s="21"/>
      <c r="D1212" s="30"/>
      <c r="E1212" s="30"/>
      <c r="F1212" s="44"/>
    </row>
    <row r="1213" spans="1:6" ht="13" x14ac:dyDescent="0.15">
      <c r="A1213" s="21"/>
      <c r="B1213" s="21"/>
      <c r="C1213" s="21"/>
      <c r="D1213" s="30"/>
      <c r="E1213" s="30"/>
      <c r="F1213" s="44"/>
    </row>
    <row r="1214" spans="1:6" ht="13" x14ac:dyDescent="0.15">
      <c r="A1214" s="21"/>
      <c r="B1214" s="21"/>
      <c r="C1214" s="21"/>
      <c r="D1214" s="30"/>
      <c r="E1214" s="30"/>
      <c r="F1214" s="44"/>
    </row>
    <row r="1215" spans="1:6" ht="13" x14ac:dyDescent="0.15">
      <c r="A1215" s="21"/>
      <c r="B1215" s="21"/>
      <c r="C1215" s="21"/>
      <c r="D1215" s="30"/>
      <c r="E1215" s="30"/>
      <c r="F1215" s="44"/>
    </row>
    <row r="1216" spans="1:6" ht="13" x14ac:dyDescent="0.15">
      <c r="A1216" s="21"/>
      <c r="B1216" s="21"/>
      <c r="C1216" s="21"/>
      <c r="D1216" s="30"/>
      <c r="E1216" s="30"/>
      <c r="F1216" s="44"/>
    </row>
    <row r="1217" spans="1:6" ht="13" x14ac:dyDescent="0.15">
      <c r="A1217" s="21"/>
      <c r="B1217" s="21"/>
      <c r="C1217" s="21"/>
      <c r="D1217" s="30"/>
      <c r="E1217" s="30"/>
      <c r="F1217" s="44"/>
    </row>
    <row r="1218" spans="1:6" ht="13" x14ac:dyDescent="0.15">
      <c r="A1218" s="21"/>
      <c r="B1218" s="21"/>
      <c r="C1218" s="21"/>
      <c r="D1218" s="30"/>
      <c r="E1218" s="30"/>
      <c r="F1218" s="44"/>
    </row>
    <row r="1219" spans="1:6" ht="13" x14ac:dyDescent="0.15">
      <c r="A1219" s="21"/>
      <c r="B1219" s="21"/>
      <c r="C1219" s="21"/>
      <c r="D1219" s="30"/>
      <c r="E1219" s="30"/>
      <c r="F1219" s="44"/>
    </row>
    <row r="1220" spans="1:6" ht="13" x14ac:dyDescent="0.15">
      <c r="A1220" s="21"/>
      <c r="B1220" s="21"/>
      <c r="C1220" s="21"/>
      <c r="D1220" s="30"/>
      <c r="E1220" s="30"/>
      <c r="F1220" s="44"/>
    </row>
    <row r="1221" spans="1:6" ht="13" x14ac:dyDescent="0.15">
      <c r="A1221" s="21"/>
      <c r="B1221" s="21"/>
      <c r="C1221" s="21"/>
      <c r="D1221" s="30"/>
      <c r="E1221" s="30"/>
      <c r="F1221" s="44"/>
    </row>
    <row r="1222" spans="1:6" ht="13" x14ac:dyDescent="0.15">
      <c r="A1222" s="21"/>
      <c r="B1222" s="21"/>
      <c r="C1222" s="21"/>
      <c r="D1222" s="30"/>
      <c r="E1222" s="30"/>
      <c r="F1222" s="44"/>
    </row>
    <row r="1223" spans="1:6" ht="13" x14ac:dyDescent="0.15">
      <c r="A1223" s="21"/>
      <c r="B1223" s="21"/>
      <c r="C1223" s="21"/>
      <c r="D1223" s="30"/>
      <c r="E1223" s="30"/>
      <c r="F1223" s="44"/>
    </row>
    <row r="1224" spans="1:6" ht="13" x14ac:dyDescent="0.15">
      <c r="A1224" s="21"/>
      <c r="B1224" s="21"/>
      <c r="C1224" s="21"/>
      <c r="D1224" s="30"/>
      <c r="E1224" s="30"/>
      <c r="F1224" s="44"/>
    </row>
    <row r="1225" spans="1:6" ht="13" x14ac:dyDescent="0.15">
      <c r="A1225" s="21"/>
      <c r="B1225" s="21"/>
      <c r="C1225" s="21"/>
      <c r="D1225" s="30"/>
      <c r="E1225" s="30"/>
      <c r="F1225" s="44"/>
    </row>
    <row r="1226" spans="1:6" ht="13" x14ac:dyDescent="0.15">
      <c r="A1226" s="21"/>
      <c r="B1226" s="21"/>
      <c r="C1226" s="21"/>
      <c r="D1226" s="30"/>
      <c r="E1226" s="30"/>
      <c r="F1226" s="44"/>
    </row>
    <row r="1227" spans="1:6" ht="13" x14ac:dyDescent="0.15">
      <c r="A1227" s="21"/>
      <c r="B1227" s="21"/>
      <c r="C1227" s="21"/>
      <c r="D1227" s="30"/>
      <c r="E1227" s="30"/>
      <c r="F1227" s="44"/>
    </row>
    <row r="1228" spans="1:6" ht="13" x14ac:dyDescent="0.15">
      <c r="A1228" s="21"/>
      <c r="B1228" s="21"/>
      <c r="C1228" s="21"/>
      <c r="D1228" s="30"/>
      <c r="E1228" s="30"/>
      <c r="F1228" s="44"/>
    </row>
    <row r="1229" spans="1:6" ht="13" x14ac:dyDescent="0.15">
      <c r="A1229" s="21"/>
      <c r="B1229" s="21"/>
      <c r="C1229" s="21"/>
      <c r="D1229" s="30"/>
      <c r="E1229" s="30"/>
      <c r="F1229" s="44"/>
    </row>
    <row r="1230" spans="1:6" ht="13" x14ac:dyDescent="0.15">
      <c r="A1230" s="21"/>
      <c r="B1230" s="21"/>
      <c r="C1230" s="21"/>
      <c r="D1230" s="30"/>
      <c r="E1230" s="30"/>
      <c r="F1230" s="44"/>
    </row>
    <row r="1231" spans="1:6" ht="13" x14ac:dyDescent="0.15">
      <c r="A1231" s="21"/>
      <c r="B1231" s="21"/>
      <c r="C1231" s="21"/>
      <c r="D1231" s="30"/>
      <c r="E1231" s="30"/>
      <c r="F1231" s="44"/>
    </row>
    <row r="1232" spans="1:6" ht="13" x14ac:dyDescent="0.15">
      <c r="A1232" s="21"/>
      <c r="B1232" s="21"/>
      <c r="C1232" s="21"/>
      <c r="D1232" s="30"/>
      <c r="E1232" s="30"/>
      <c r="F1232" s="44"/>
    </row>
    <row r="1233" spans="1:6" ht="13" x14ac:dyDescent="0.15">
      <c r="A1233" s="21"/>
      <c r="B1233" s="21"/>
      <c r="C1233" s="21"/>
      <c r="D1233" s="30"/>
      <c r="E1233" s="30"/>
      <c r="F1233" s="44"/>
    </row>
    <row r="1234" spans="1:6" ht="13" x14ac:dyDescent="0.15">
      <c r="A1234" s="21"/>
      <c r="B1234" s="21"/>
      <c r="C1234" s="21"/>
      <c r="D1234" s="30"/>
      <c r="E1234" s="30"/>
      <c r="F1234" s="44"/>
    </row>
    <row r="1235" spans="1:6" ht="13" x14ac:dyDescent="0.15">
      <c r="A1235" s="21"/>
      <c r="B1235" s="21"/>
      <c r="C1235" s="21"/>
      <c r="D1235" s="30"/>
      <c r="E1235" s="30"/>
      <c r="F1235" s="44"/>
    </row>
    <row r="1236" spans="1:6" ht="13" x14ac:dyDescent="0.15">
      <c r="A1236" s="21"/>
      <c r="B1236" s="21"/>
      <c r="C1236" s="21"/>
      <c r="D1236" s="30"/>
      <c r="E1236" s="30"/>
      <c r="F1236" s="44"/>
    </row>
    <row r="1237" spans="1:6" ht="13" x14ac:dyDescent="0.15">
      <c r="A1237" s="21"/>
      <c r="B1237" s="21"/>
      <c r="C1237" s="21"/>
      <c r="D1237" s="30"/>
      <c r="E1237" s="30"/>
      <c r="F1237" s="44"/>
    </row>
    <row r="1238" spans="1:6" ht="13" x14ac:dyDescent="0.15">
      <c r="A1238" s="21"/>
      <c r="B1238" s="21"/>
      <c r="C1238" s="21"/>
      <c r="D1238" s="30"/>
      <c r="E1238" s="30"/>
      <c r="F1238" s="44"/>
    </row>
    <row r="1239" spans="1:6" ht="13" x14ac:dyDescent="0.15">
      <c r="A1239" s="21"/>
      <c r="B1239" s="21"/>
      <c r="C1239" s="21"/>
      <c r="D1239" s="30"/>
      <c r="E1239" s="30"/>
      <c r="F1239" s="44"/>
    </row>
    <row r="1240" spans="1:6" ht="13" x14ac:dyDescent="0.15">
      <c r="A1240" s="21"/>
      <c r="B1240" s="21"/>
      <c r="C1240" s="21"/>
      <c r="D1240" s="30"/>
      <c r="E1240" s="30"/>
      <c r="F1240" s="44"/>
    </row>
    <row r="1241" spans="1:6" ht="13" x14ac:dyDescent="0.15">
      <c r="A1241" s="21"/>
      <c r="B1241" s="21"/>
      <c r="C1241" s="21"/>
      <c r="D1241" s="30"/>
      <c r="E1241" s="30"/>
      <c r="F1241" s="44"/>
    </row>
    <row r="1242" spans="1:6" ht="13" x14ac:dyDescent="0.15">
      <c r="A1242" s="21"/>
      <c r="B1242" s="21"/>
      <c r="C1242" s="21"/>
      <c r="D1242" s="30"/>
      <c r="E1242" s="30"/>
      <c r="F1242" s="44"/>
    </row>
    <row r="1243" spans="1:6" ht="13" x14ac:dyDescent="0.15">
      <c r="A1243" s="21"/>
      <c r="B1243" s="21"/>
      <c r="C1243" s="21"/>
      <c r="D1243" s="30"/>
      <c r="E1243" s="30"/>
      <c r="F1243" s="44"/>
    </row>
    <row r="1244" spans="1:6" ht="13" x14ac:dyDescent="0.15">
      <c r="A1244" s="21"/>
      <c r="B1244" s="21"/>
      <c r="C1244" s="21"/>
      <c r="D1244" s="30"/>
      <c r="E1244" s="30"/>
      <c r="F1244" s="44"/>
    </row>
    <row r="1245" spans="1:6" ht="13" x14ac:dyDescent="0.15">
      <c r="A1245" s="21"/>
      <c r="B1245" s="21"/>
      <c r="C1245" s="21"/>
      <c r="D1245" s="30"/>
      <c r="E1245" s="30"/>
      <c r="F1245" s="44"/>
    </row>
    <row r="1246" spans="1:6" ht="13" x14ac:dyDescent="0.15">
      <c r="A1246" s="21"/>
      <c r="B1246" s="21"/>
      <c r="C1246" s="21"/>
      <c r="D1246" s="30"/>
      <c r="E1246" s="30"/>
      <c r="F1246" s="44"/>
    </row>
    <row r="1247" spans="1:6" ht="13" x14ac:dyDescent="0.15">
      <c r="A1247" s="21"/>
      <c r="B1247" s="21"/>
      <c r="C1247" s="21"/>
      <c r="D1247" s="30"/>
      <c r="E1247" s="30"/>
      <c r="F1247" s="44"/>
    </row>
    <row r="1248" spans="1:6" ht="13" x14ac:dyDescent="0.15">
      <c r="A1248" s="21"/>
      <c r="B1248" s="21"/>
      <c r="C1248" s="21"/>
      <c r="D1248" s="30"/>
      <c r="E1248" s="30"/>
      <c r="F1248" s="44"/>
    </row>
    <row r="1249" spans="1:6" ht="13" x14ac:dyDescent="0.15">
      <c r="A1249" s="21"/>
      <c r="B1249" s="21"/>
      <c r="C1249" s="21"/>
      <c r="D1249" s="30"/>
      <c r="E1249" s="30"/>
      <c r="F1249" s="44"/>
    </row>
    <row r="1250" spans="1:6" ht="13" x14ac:dyDescent="0.15">
      <c r="A1250" s="21"/>
      <c r="B1250" s="21"/>
      <c r="C1250" s="21"/>
      <c r="D1250" s="30"/>
      <c r="E1250" s="30"/>
      <c r="F1250" s="44"/>
    </row>
    <row r="1251" spans="1:6" ht="13" x14ac:dyDescent="0.15">
      <c r="A1251" s="21"/>
      <c r="B1251" s="21"/>
      <c r="C1251" s="21"/>
      <c r="D1251" s="30"/>
      <c r="E1251" s="30"/>
      <c r="F1251" s="44"/>
    </row>
    <row r="1252" spans="1:6" ht="13" x14ac:dyDescent="0.15">
      <c r="A1252" s="21"/>
      <c r="B1252" s="21"/>
      <c r="C1252" s="21"/>
      <c r="D1252" s="30"/>
      <c r="E1252" s="30"/>
      <c r="F1252" s="44"/>
    </row>
    <row r="1253" spans="1:6" ht="13" x14ac:dyDescent="0.15">
      <c r="A1253" s="21"/>
      <c r="B1253" s="21"/>
      <c r="C1253" s="21"/>
      <c r="D1253" s="30"/>
      <c r="E1253" s="30"/>
      <c r="F1253" s="44"/>
    </row>
    <row r="1254" spans="1:6" ht="13" x14ac:dyDescent="0.15">
      <c r="A1254" s="21"/>
      <c r="B1254" s="21"/>
      <c r="C1254" s="21"/>
      <c r="D1254" s="30"/>
      <c r="E1254" s="30"/>
      <c r="F1254" s="44"/>
    </row>
    <row r="1255" spans="1:6" ht="13" x14ac:dyDescent="0.15">
      <c r="A1255" s="21"/>
      <c r="B1255" s="21"/>
      <c r="C1255" s="21"/>
      <c r="D1255" s="30"/>
      <c r="E1255" s="30"/>
      <c r="F1255" s="44"/>
    </row>
    <row r="1256" spans="1:6" ht="13" x14ac:dyDescent="0.15">
      <c r="A1256" s="21"/>
      <c r="B1256" s="21"/>
      <c r="C1256" s="21"/>
      <c r="D1256" s="30"/>
      <c r="E1256" s="30"/>
      <c r="F1256" s="44"/>
    </row>
    <row r="1257" spans="1:6" ht="13" x14ac:dyDescent="0.15">
      <c r="A1257" s="21"/>
      <c r="B1257" s="21"/>
      <c r="C1257" s="21"/>
      <c r="D1257" s="30"/>
      <c r="E1257" s="30"/>
      <c r="F1257" s="44"/>
    </row>
    <row r="1258" spans="1:6" ht="13" x14ac:dyDescent="0.15">
      <c r="A1258" s="21"/>
      <c r="B1258" s="21"/>
      <c r="C1258" s="21"/>
      <c r="D1258" s="30"/>
      <c r="E1258" s="30"/>
      <c r="F1258" s="44"/>
    </row>
    <row r="1259" spans="1:6" ht="13" x14ac:dyDescent="0.15">
      <c r="A1259" s="21"/>
      <c r="B1259" s="21"/>
      <c r="C1259" s="21"/>
      <c r="D1259" s="30"/>
      <c r="E1259" s="30"/>
      <c r="F1259" s="44"/>
    </row>
    <row r="1260" spans="1:6" ht="13" x14ac:dyDescent="0.15">
      <c r="A1260" s="21"/>
      <c r="B1260" s="21"/>
      <c r="C1260" s="21"/>
      <c r="D1260" s="30"/>
      <c r="E1260" s="30"/>
      <c r="F1260" s="44"/>
    </row>
    <row r="1261" spans="1:6" ht="13" x14ac:dyDescent="0.15">
      <c r="A1261" s="21"/>
      <c r="B1261" s="21"/>
      <c r="C1261" s="21"/>
      <c r="D1261" s="30"/>
      <c r="E1261" s="30"/>
      <c r="F1261" s="44"/>
    </row>
    <row r="1262" spans="1:6" ht="13" x14ac:dyDescent="0.15">
      <c r="A1262" s="21"/>
      <c r="B1262" s="21"/>
      <c r="C1262" s="21"/>
      <c r="D1262" s="30"/>
      <c r="E1262" s="30"/>
      <c r="F1262" s="44"/>
    </row>
    <row r="1263" spans="1:6" ht="13" x14ac:dyDescent="0.15">
      <c r="A1263" s="21"/>
      <c r="B1263" s="21"/>
      <c r="C1263" s="21"/>
      <c r="D1263" s="30"/>
      <c r="E1263" s="30"/>
      <c r="F1263" s="44"/>
    </row>
    <row r="1264" spans="1:6" ht="13" x14ac:dyDescent="0.15">
      <c r="A1264" s="21"/>
      <c r="B1264" s="21"/>
      <c r="C1264" s="21"/>
      <c r="D1264" s="30"/>
      <c r="E1264" s="30"/>
      <c r="F1264" s="44"/>
    </row>
    <row r="1265" spans="1:6" ht="13" x14ac:dyDescent="0.15">
      <c r="A1265" s="21"/>
      <c r="B1265" s="21"/>
      <c r="C1265" s="21"/>
      <c r="D1265" s="30"/>
      <c r="E1265" s="30"/>
      <c r="F1265" s="44"/>
    </row>
    <row r="1266" spans="1:6" ht="13" x14ac:dyDescent="0.15">
      <c r="A1266" s="21"/>
      <c r="B1266" s="21"/>
      <c r="C1266" s="21"/>
      <c r="D1266" s="30"/>
      <c r="E1266" s="30"/>
      <c r="F1266" s="44"/>
    </row>
    <row r="1267" spans="1:6" ht="13" x14ac:dyDescent="0.15">
      <c r="A1267" s="21"/>
      <c r="B1267" s="21"/>
      <c r="C1267" s="21"/>
      <c r="D1267" s="30"/>
      <c r="E1267" s="30"/>
      <c r="F1267" s="44"/>
    </row>
    <row r="1268" spans="1:6" ht="13" x14ac:dyDescent="0.15">
      <c r="A1268" s="21"/>
      <c r="B1268" s="21"/>
      <c r="C1268" s="21"/>
      <c r="D1268" s="30"/>
      <c r="E1268" s="30"/>
      <c r="F1268" s="44"/>
    </row>
    <row r="1269" spans="1:6" ht="13" x14ac:dyDescent="0.15">
      <c r="A1269" s="21"/>
      <c r="B1269" s="21"/>
      <c r="C1269" s="21"/>
      <c r="D1269" s="30"/>
      <c r="E1269" s="30"/>
      <c r="F1269" s="44"/>
    </row>
    <row r="1270" spans="1:6" ht="13" x14ac:dyDescent="0.15">
      <c r="A1270" s="21"/>
      <c r="B1270" s="21"/>
      <c r="C1270" s="21"/>
      <c r="D1270" s="30"/>
      <c r="E1270" s="30"/>
      <c r="F1270" s="44"/>
    </row>
    <row r="1271" spans="1:6" ht="13" x14ac:dyDescent="0.15">
      <c r="A1271" s="21"/>
      <c r="B1271" s="21"/>
      <c r="C1271" s="21"/>
      <c r="D1271" s="30"/>
      <c r="E1271" s="30"/>
      <c r="F1271" s="44"/>
    </row>
    <row r="1272" spans="1:6" ht="13" x14ac:dyDescent="0.15">
      <c r="A1272" s="21"/>
      <c r="B1272" s="21"/>
      <c r="C1272" s="21"/>
      <c r="D1272" s="30"/>
      <c r="E1272" s="30"/>
      <c r="F1272" s="44"/>
    </row>
    <row r="1273" spans="1:6" ht="13" x14ac:dyDescent="0.15">
      <c r="A1273" s="21"/>
      <c r="B1273" s="21"/>
      <c r="C1273" s="21"/>
      <c r="D1273" s="30"/>
      <c r="E1273" s="30"/>
      <c r="F1273" s="44"/>
    </row>
    <row r="1274" spans="1:6" ht="13" x14ac:dyDescent="0.15">
      <c r="A1274" s="21"/>
      <c r="B1274" s="21"/>
      <c r="C1274" s="21"/>
      <c r="D1274" s="30"/>
      <c r="E1274" s="30"/>
      <c r="F1274" s="44"/>
    </row>
    <row r="1275" spans="1:6" ht="13" x14ac:dyDescent="0.15">
      <c r="A1275" s="21"/>
      <c r="B1275" s="21"/>
      <c r="C1275" s="21"/>
      <c r="D1275" s="30"/>
      <c r="E1275" s="30"/>
      <c r="F1275" s="44"/>
    </row>
    <row r="1276" spans="1:6" ht="13" x14ac:dyDescent="0.15">
      <c r="A1276" s="21"/>
      <c r="B1276" s="21"/>
      <c r="C1276" s="21"/>
      <c r="D1276" s="30"/>
      <c r="E1276" s="30"/>
      <c r="F1276" s="44"/>
    </row>
    <row r="1277" spans="1:6" ht="13" x14ac:dyDescent="0.15">
      <c r="A1277" s="21"/>
      <c r="B1277" s="21"/>
      <c r="C1277" s="21"/>
      <c r="D1277" s="30"/>
      <c r="E1277" s="30"/>
      <c r="F1277" s="44"/>
    </row>
    <row r="1278" spans="1:6" ht="13" x14ac:dyDescent="0.15">
      <c r="A1278" s="21"/>
      <c r="B1278" s="21"/>
      <c r="C1278" s="21"/>
      <c r="D1278" s="30"/>
      <c r="E1278" s="30"/>
      <c r="F1278" s="44"/>
    </row>
    <row r="1279" spans="1:6" ht="13" x14ac:dyDescent="0.15">
      <c r="A1279" s="21"/>
      <c r="B1279" s="21"/>
      <c r="C1279" s="21"/>
      <c r="D1279" s="30"/>
      <c r="E1279" s="30"/>
      <c r="F1279" s="44"/>
    </row>
    <row r="1280" spans="1:6" ht="13" x14ac:dyDescent="0.15">
      <c r="A1280" s="21"/>
      <c r="B1280" s="21"/>
      <c r="C1280" s="21"/>
      <c r="D1280" s="30"/>
      <c r="E1280" s="30"/>
      <c r="F1280" s="44"/>
    </row>
    <row r="1281" spans="1:6" ht="13" x14ac:dyDescent="0.15">
      <c r="A1281" s="21"/>
      <c r="B1281" s="21"/>
      <c r="C1281" s="21"/>
      <c r="D1281" s="30"/>
      <c r="E1281" s="30"/>
      <c r="F1281" s="44"/>
    </row>
    <row r="1282" spans="1:6" ht="13" x14ac:dyDescent="0.15">
      <c r="A1282" s="21"/>
      <c r="B1282" s="21"/>
      <c r="C1282" s="21"/>
      <c r="D1282" s="30"/>
      <c r="E1282" s="30"/>
      <c r="F1282" s="44"/>
    </row>
    <row r="1283" spans="1:6" ht="13" x14ac:dyDescent="0.15">
      <c r="A1283" s="21"/>
      <c r="B1283" s="21"/>
      <c r="C1283" s="21"/>
      <c r="D1283" s="30"/>
      <c r="E1283" s="30"/>
      <c r="F1283" s="44"/>
    </row>
    <row r="1284" spans="1:6" ht="13" x14ac:dyDescent="0.15">
      <c r="A1284" s="21"/>
      <c r="B1284" s="21"/>
      <c r="C1284" s="21"/>
      <c r="D1284" s="30"/>
      <c r="E1284" s="30"/>
      <c r="F1284" s="44"/>
    </row>
    <row r="1285" spans="1:6" ht="13" x14ac:dyDescent="0.15">
      <c r="A1285" s="21"/>
      <c r="B1285" s="21"/>
      <c r="C1285" s="21"/>
      <c r="D1285" s="30"/>
      <c r="E1285" s="30"/>
      <c r="F1285" s="44"/>
    </row>
    <row r="1286" spans="1:6" ht="13" x14ac:dyDescent="0.15">
      <c r="A1286" s="21"/>
      <c r="B1286" s="21"/>
      <c r="C1286" s="21"/>
      <c r="D1286" s="30"/>
      <c r="E1286" s="30"/>
      <c r="F1286" s="44"/>
    </row>
    <row r="1287" spans="1:6" ht="13" x14ac:dyDescent="0.15">
      <c r="A1287" s="21"/>
      <c r="B1287" s="21"/>
      <c r="C1287" s="21"/>
      <c r="D1287" s="30"/>
      <c r="E1287" s="30"/>
      <c r="F1287" s="44"/>
    </row>
    <row r="1288" spans="1:6" ht="13" x14ac:dyDescent="0.15">
      <c r="A1288" s="21"/>
      <c r="B1288" s="21"/>
      <c r="C1288" s="21"/>
      <c r="D1288" s="30"/>
      <c r="E1288" s="30"/>
      <c r="F1288" s="44"/>
    </row>
    <row r="1289" spans="1:6" ht="13" x14ac:dyDescent="0.15">
      <c r="A1289" s="21"/>
      <c r="B1289" s="21"/>
      <c r="C1289" s="21"/>
      <c r="D1289" s="30"/>
      <c r="E1289" s="30"/>
      <c r="F1289" s="44"/>
    </row>
    <row r="1290" spans="1:6" ht="13" x14ac:dyDescent="0.15">
      <c r="A1290" s="21"/>
      <c r="B1290" s="21"/>
      <c r="C1290" s="21"/>
      <c r="D1290" s="30"/>
      <c r="E1290" s="30"/>
      <c r="F1290" s="44"/>
    </row>
    <row r="1291" spans="1:6" ht="13" x14ac:dyDescent="0.15">
      <c r="A1291" s="21"/>
      <c r="B1291" s="21"/>
      <c r="C1291" s="21"/>
      <c r="D1291" s="30"/>
      <c r="E1291" s="30"/>
      <c r="F1291" s="44"/>
    </row>
    <row r="1292" spans="1:6" ht="13" x14ac:dyDescent="0.15">
      <c r="A1292" s="21"/>
      <c r="B1292" s="21"/>
      <c r="C1292" s="21"/>
      <c r="D1292" s="30"/>
      <c r="E1292" s="30"/>
      <c r="F1292" s="44"/>
    </row>
    <row r="1293" spans="1:6" ht="13" x14ac:dyDescent="0.15">
      <c r="A1293" s="21"/>
      <c r="B1293" s="21"/>
      <c r="C1293" s="21"/>
      <c r="D1293" s="30"/>
      <c r="E1293" s="30"/>
      <c r="F1293" s="44"/>
    </row>
    <row r="1294" spans="1:6" ht="13" x14ac:dyDescent="0.15">
      <c r="A1294" s="21"/>
      <c r="B1294" s="21"/>
      <c r="C1294" s="21"/>
      <c r="D1294" s="30"/>
      <c r="E1294" s="30"/>
      <c r="F1294" s="44"/>
    </row>
    <row r="1295" spans="1:6" ht="13" x14ac:dyDescent="0.15">
      <c r="A1295" s="21"/>
      <c r="B1295" s="21"/>
      <c r="C1295" s="21"/>
      <c r="D1295" s="30"/>
      <c r="E1295" s="30"/>
      <c r="F1295" s="44"/>
    </row>
    <row r="1296" spans="1:6" ht="13" x14ac:dyDescent="0.15">
      <c r="A1296" s="21"/>
      <c r="B1296" s="21"/>
      <c r="C1296" s="21"/>
      <c r="D1296" s="30"/>
      <c r="E1296" s="30"/>
      <c r="F1296" s="44"/>
    </row>
    <row r="1297" spans="1:6" ht="13" x14ac:dyDescent="0.15">
      <c r="A1297" s="21"/>
      <c r="B1297" s="21"/>
      <c r="C1297" s="21"/>
      <c r="D1297" s="30"/>
      <c r="E1297" s="30"/>
      <c r="F1297" s="44"/>
    </row>
    <row r="1298" spans="1:6" ht="13" x14ac:dyDescent="0.15">
      <c r="A1298" s="21"/>
      <c r="B1298" s="21"/>
      <c r="C1298" s="21"/>
      <c r="D1298" s="30"/>
      <c r="E1298" s="30"/>
      <c r="F1298" s="44"/>
    </row>
    <row r="1299" spans="1:6" ht="13" x14ac:dyDescent="0.15">
      <c r="A1299" s="21"/>
      <c r="B1299" s="21"/>
      <c r="C1299" s="21"/>
      <c r="D1299" s="30"/>
      <c r="E1299" s="30"/>
      <c r="F1299" s="44"/>
    </row>
    <row r="1300" spans="1:6" ht="13" x14ac:dyDescent="0.15">
      <c r="A1300" s="21"/>
      <c r="B1300" s="21"/>
      <c r="C1300" s="21"/>
      <c r="D1300" s="30"/>
      <c r="E1300" s="30"/>
      <c r="F1300" s="44"/>
    </row>
    <row r="1301" spans="1:6" ht="13" x14ac:dyDescent="0.15">
      <c r="A1301" s="21"/>
      <c r="B1301" s="21"/>
      <c r="C1301" s="21"/>
      <c r="D1301" s="30"/>
      <c r="E1301" s="30"/>
      <c r="F1301" s="44"/>
    </row>
    <row r="1302" spans="1:6" ht="13" x14ac:dyDescent="0.15">
      <c r="A1302" s="21"/>
      <c r="B1302" s="21"/>
      <c r="C1302" s="21"/>
      <c r="D1302" s="30"/>
      <c r="E1302" s="30"/>
      <c r="F1302" s="44"/>
    </row>
    <row r="1303" spans="1:6" ht="13" x14ac:dyDescent="0.15">
      <c r="A1303" s="21"/>
      <c r="B1303" s="21"/>
      <c r="C1303" s="21"/>
      <c r="D1303" s="30"/>
      <c r="E1303" s="30"/>
      <c r="F1303" s="44"/>
    </row>
    <row r="1304" spans="1:6" ht="13" x14ac:dyDescent="0.15">
      <c r="A1304" s="21"/>
      <c r="B1304" s="21"/>
      <c r="C1304" s="21"/>
      <c r="D1304" s="30"/>
      <c r="E1304" s="30"/>
      <c r="F1304" s="44"/>
    </row>
    <row r="1305" spans="1:6" ht="13" x14ac:dyDescent="0.15">
      <c r="A1305" s="21"/>
      <c r="B1305" s="21"/>
      <c r="C1305" s="21"/>
      <c r="D1305" s="30"/>
      <c r="E1305" s="30"/>
      <c r="F1305" s="44"/>
    </row>
    <row r="1306" spans="1:6" ht="13" x14ac:dyDescent="0.15">
      <c r="A1306" s="21"/>
      <c r="B1306" s="21"/>
      <c r="C1306" s="21"/>
      <c r="D1306" s="30"/>
      <c r="E1306" s="30"/>
      <c r="F1306" s="44"/>
    </row>
    <row r="1307" spans="1:6" ht="13" x14ac:dyDescent="0.15">
      <c r="A1307" s="21"/>
      <c r="B1307" s="21"/>
      <c r="C1307" s="21"/>
      <c r="D1307" s="30"/>
      <c r="E1307" s="30"/>
      <c r="F1307" s="44"/>
    </row>
    <row r="1308" spans="1:6" ht="13" x14ac:dyDescent="0.15">
      <c r="A1308" s="21"/>
      <c r="B1308" s="21"/>
      <c r="C1308" s="21"/>
      <c r="D1308" s="30"/>
      <c r="E1308" s="30"/>
      <c r="F1308" s="44"/>
    </row>
    <row r="1309" spans="1:6" ht="13" x14ac:dyDescent="0.15">
      <c r="A1309" s="21"/>
      <c r="B1309" s="21"/>
      <c r="C1309" s="21"/>
      <c r="D1309" s="30"/>
      <c r="E1309" s="30"/>
      <c r="F1309" s="44"/>
    </row>
    <row r="1310" spans="1:6" ht="13" x14ac:dyDescent="0.15">
      <c r="A1310" s="21"/>
      <c r="B1310" s="21"/>
      <c r="C1310" s="21"/>
      <c r="D1310" s="30"/>
      <c r="E1310" s="30"/>
      <c r="F1310" s="44"/>
    </row>
    <row r="1311" spans="1:6" ht="13" x14ac:dyDescent="0.15">
      <c r="A1311" s="21"/>
      <c r="B1311" s="21"/>
      <c r="C1311" s="21"/>
      <c r="D1311" s="30"/>
      <c r="E1311" s="30"/>
      <c r="F1311" s="44"/>
    </row>
    <row r="1312" spans="1:6" ht="13" x14ac:dyDescent="0.15">
      <c r="A1312" s="21"/>
      <c r="B1312" s="21"/>
      <c r="C1312" s="21"/>
      <c r="D1312" s="30"/>
      <c r="E1312" s="30"/>
      <c r="F1312" s="44"/>
    </row>
    <row r="1313" spans="1:6" ht="13" x14ac:dyDescent="0.15">
      <c r="A1313" s="21"/>
      <c r="B1313" s="21"/>
      <c r="C1313" s="21"/>
      <c r="D1313" s="30"/>
      <c r="E1313" s="30"/>
      <c r="F1313" s="44"/>
    </row>
    <row r="1314" spans="1:6" ht="13" x14ac:dyDescent="0.15">
      <c r="A1314" s="21"/>
      <c r="B1314" s="21"/>
      <c r="C1314" s="21"/>
      <c r="D1314" s="30"/>
      <c r="E1314" s="30"/>
      <c r="F1314" s="44"/>
    </row>
    <row r="1315" spans="1:6" ht="13" x14ac:dyDescent="0.15">
      <c r="A1315" s="21"/>
      <c r="B1315" s="21"/>
      <c r="C1315" s="21"/>
      <c r="D1315" s="30"/>
      <c r="E1315" s="30"/>
      <c r="F1315" s="44"/>
    </row>
    <row r="1316" spans="1:6" ht="13" x14ac:dyDescent="0.15">
      <c r="A1316" s="21"/>
      <c r="B1316" s="21"/>
      <c r="C1316" s="21"/>
      <c r="D1316" s="30"/>
      <c r="E1316" s="30"/>
      <c r="F1316" s="44"/>
    </row>
    <row r="1317" spans="1:6" ht="13" x14ac:dyDescent="0.15">
      <c r="A1317" s="21"/>
      <c r="B1317" s="21"/>
      <c r="C1317" s="21"/>
      <c r="D1317" s="30"/>
      <c r="E1317" s="30"/>
      <c r="F1317" s="44"/>
    </row>
    <row r="1318" spans="1:6" ht="13" x14ac:dyDescent="0.15">
      <c r="A1318" s="21"/>
      <c r="B1318" s="21"/>
      <c r="C1318" s="21"/>
      <c r="D1318" s="30"/>
      <c r="E1318" s="30"/>
      <c r="F1318" s="44"/>
    </row>
    <row r="1319" spans="1:6" ht="13" x14ac:dyDescent="0.15">
      <c r="A1319" s="21"/>
      <c r="B1319" s="21"/>
      <c r="C1319" s="21"/>
      <c r="D1319" s="30"/>
      <c r="E1319" s="30"/>
      <c r="F1319" s="44"/>
    </row>
    <row r="1320" spans="1:6" ht="13" x14ac:dyDescent="0.15">
      <c r="A1320" s="21"/>
      <c r="B1320" s="21"/>
      <c r="C1320" s="21"/>
      <c r="D1320" s="30"/>
      <c r="E1320" s="30"/>
      <c r="F1320" s="44"/>
    </row>
    <row r="1321" spans="1:6" ht="13" x14ac:dyDescent="0.15">
      <c r="A1321" s="21"/>
      <c r="B1321" s="21"/>
      <c r="C1321" s="21"/>
      <c r="D1321" s="30"/>
      <c r="E1321" s="30"/>
      <c r="F1321" s="44"/>
    </row>
    <row r="1322" spans="1:6" ht="13" x14ac:dyDescent="0.15">
      <c r="A1322" s="21"/>
      <c r="B1322" s="21"/>
      <c r="C1322" s="21"/>
      <c r="D1322" s="30"/>
      <c r="E1322" s="30"/>
      <c r="F1322" s="44"/>
    </row>
    <row r="1323" spans="1:6" ht="13" x14ac:dyDescent="0.15">
      <c r="A1323" s="21"/>
      <c r="B1323" s="21"/>
      <c r="C1323" s="21"/>
      <c r="D1323" s="30"/>
      <c r="E1323" s="30"/>
      <c r="F1323" s="44"/>
    </row>
    <row r="1324" spans="1:6" ht="13" x14ac:dyDescent="0.15">
      <c r="A1324" s="21"/>
      <c r="B1324" s="21"/>
      <c r="C1324" s="21"/>
      <c r="D1324" s="30"/>
      <c r="E1324" s="30"/>
      <c r="F1324" s="44"/>
    </row>
    <row r="1325" spans="1:6" ht="13" x14ac:dyDescent="0.15">
      <c r="A1325" s="21"/>
      <c r="B1325" s="21"/>
      <c r="C1325" s="21"/>
      <c r="D1325" s="30"/>
      <c r="E1325" s="30"/>
      <c r="F1325" s="44"/>
    </row>
    <row r="1326" spans="1:6" ht="13" x14ac:dyDescent="0.15">
      <c r="A1326" s="21"/>
      <c r="B1326" s="21"/>
      <c r="C1326" s="21"/>
      <c r="D1326" s="30"/>
      <c r="E1326" s="30"/>
      <c r="F1326" s="44"/>
    </row>
    <row r="1327" spans="1:6" ht="13" x14ac:dyDescent="0.15">
      <c r="A1327" s="21"/>
      <c r="B1327" s="21"/>
      <c r="C1327" s="21"/>
      <c r="D1327" s="30"/>
      <c r="E1327" s="30"/>
      <c r="F1327" s="44"/>
    </row>
    <row r="1328" spans="1:6" ht="13" x14ac:dyDescent="0.15">
      <c r="A1328" s="21"/>
      <c r="B1328" s="21"/>
      <c r="C1328" s="21"/>
      <c r="D1328" s="30"/>
      <c r="E1328" s="30"/>
      <c r="F1328" s="44"/>
    </row>
    <row r="1329" spans="1:6" ht="13" x14ac:dyDescent="0.15">
      <c r="A1329" s="21"/>
      <c r="B1329" s="21"/>
      <c r="C1329" s="21"/>
      <c r="D1329" s="30"/>
      <c r="E1329" s="30"/>
      <c r="F1329" s="44"/>
    </row>
    <row r="1330" spans="1:6" ht="13" x14ac:dyDescent="0.15">
      <c r="A1330" s="21"/>
      <c r="B1330" s="21"/>
      <c r="C1330" s="21"/>
      <c r="D1330" s="30"/>
      <c r="E1330" s="30"/>
      <c r="F1330" s="44"/>
    </row>
    <row r="1331" spans="1:6" ht="13" x14ac:dyDescent="0.15">
      <c r="A1331" s="21"/>
      <c r="B1331" s="21"/>
      <c r="C1331" s="21"/>
      <c r="D1331" s="30"/>
      <c r="E1331" s="30"/>
      <c r="F1331" s="44"/>
    </row>
    <row r="1332" spans="1:6" ht="13" x14ac:dyDescent="0.15">
      <c r="A1332" s="21"/>
      <c r="B1332" s="21"/>
      <c r="C1332" s="21"/>
      <c r="D1332" s="30"/>
      <c r="E1332" s="30"/>
      <c r="F1332" s="44"/>
    </row>
    <row r="1333" spans="1:6" ht="13" x14ac:dyDescent="0.15">
      <c r="A1333" s="21"/>
      <c r="B1333" s="21"/>
      <c r="C1333" s="21"/>
      <c r="D1333" s="30"/>
      <c r="E1333" s="30"/>
      <c r="F1333" s="44"/>
    </row>
    <row r="1334" spans="1:6" ht="13" x14ac:dyDescent="0.15">
      <c r="A1334" s="21"/>
      <c r="B1334" s="21"/>
      <c r="C1334" s="21"/>
      <c r="D1334" s="30"/>
      <c r="E1334" s="30"/>
      <c r="F1334" s="44"/>
    </row>
    <row r="1335" spans="1:6" ht="13" x14ac:dyDescent="0.15">
      <c r="A1335" s="21"/>
      <c r="B1335" s="21"/>
      <c r="C1335" s="21"/>
      <c r="D1335" s="30"/>
      <c r="E1335" s="30"/>
      <c r="F1335" s="44"/>
    </row>
    <row r="1336" spans="1:6" ht="13" x14ac:dyDescent="0.15">
      <c r="A1336" s="21"/>
      <c r="B1336" s="21"/>
      <c r="C1336" s="21"/>
      <c r="D1336" s="30"/>
      <c r="E1336" s="30"/>
      <c r="F1336" s="44"/>
    </row>
    <row r="1337" spans="1:6" ht="13" x14ac:dyDescent="0.15">
      <c r="A1337" s="21"/>
      <c r="B1337" s="21"/>
      <c r="C1337" s="21"/>
      <c r="D1337" s="30"/>
      <c r="E1337" s="30"/>
      <c r="F1337" s="44"/>
    </row>
    <row r="1338" spans="1:6" ht="13" x14ac:dyDescent="0.15">
      <c r="A1338" s="21"/>
      <c r="B1338" s="21"/>
      <c r="C1338" s="21"/>
      <c r="D1338" s="30"/>
      <c r="E1338" s="30"/>
      <c r="F1338" s="44"/>
    </row>
    <row r="1339" spans="1:6" ht="13" x14ac:dyDescent="0.15">
      <c r="A1339" s="21"/>
      <c r="B1339" s="21"/>
      <c r="C1339" s="21"/>
      <c r="D1339" s="30"/>
      <c r="E1339" s="30"/>
      <c r="F1339" s="44"/>
    </row>
    <row r="1340" spans="1:6" ht="13" x14ac:dyDescent="0.15">
      <c r="A1340" s="21"/>
      <c r="B1340" s="21"/>
      <c r="C1340" s="21"/>
      <c r="D1340" s="30"/>
      <c r="E1340" s="30"/>
      <c r="F1340" s="44"/>
    </row>
    <row r="1341" spans="1:6" ht="13" x14ac:dyDescent="0.15">
      <c r="A1341" s="21"/>
      <c r="B1341" s="21"/>
      <c r="C1341" s="21"/>
      <c r="D1341" s="30"/>
      <c r="E1341" s="30"/>
      <c r="F1341" s="44"/>
    </row>
    <row r="1342" spans="1:6" ht="13" x14ac:dyDescent="0.15">
      <c r="A1342" s="21"/>
      <c r="B1342" s="21"/>
      <c r="C1342" s="21"/>
      <c r="D1342" s="30"/>
      <c r="E1342" s="30"/>
      <c r="F1342" s="44"/>
    </row>
    <row r="1343" spans="1:6" ht="13" x14ac:dyDescent="0.15">
      <c r="A1343" s="21"/>
      <c r="B1343" s="21"/>
      <c r="C1343" s="21"/>
      <c r="D1343" s="30"/>
      <c r="E1343" s="30"/>
      <c r="F1343" s="44"/>
    </row>
    <row r="1344" spans="1:6" ht="13" x14ac:dyDescent="0.15">
      <c r="A1344" s="21"/>
      <c r="B1344" s="21"/>
      <c r="C1344" s="21"/>
      <c r="D1344" s="30"/>
      <c r="E1344" s="30"/>
      <c r="F1344" s="44"/>
    </row>
    <row r="1345" spans="1:6" ht="13" x14ac:dyDescent="0.15">
      <c r="A1345" s="21"/>
      <c r="B1345" s="21"/>
      <c r="C1345" s="21"/>
      <c r="D1345" s="30"/>
      <c r="E1345" s="30"/>
      <c r="F1345" s="44"/>
    </row>
    <row r="1346" spans="1:6" ht="13" x14ac:dyDescent="0.15">
      <c r="A1346" s="21"/>
      <c r="B1346" s="21"/>
      <c r="C1346" s="21"/>
      <c r="D1346" s="30"/>
      <c r="E1346" s="30"/>
      <c r="F1346" s="44"/>
    </row>
    <row r="1347" spans="1:6" ht="13" x14ac:dyDescent="0.15">
      <c r="A1347" s="21"/>
      <c r="B1347" s="21"/>
      <c r="C1347" s="21"/>
      <c r="D1347" s="30"/>
      <c r="E1347" s="30"/>
      <c r="F1347" s="44"/>
    </row>
    <row r="1348" spans="1:6" ht="13" x14ac:dyDescent="0.15">
      <c r="A1348" s="21"/>
      <c r="B1348" s="21"/>
      <c r="C1348" s="21"/>
      <c r="D1348" s="30"/>
      <c r="E1348" s="30"/>
      <c r="F1348" s="44"/>
    </row>
    <row r="1349" spans="1:6" ht="13" x14ac:dyDescent="0.15">
      <c r="A1349" s="21"/>
      <c r="B1349" s="21"/>
      <c r="C1349" s="21"/>
      <c r="D1349" s="30"/>
      <c r="E1349" s="30"/>
      <c r="F1349" s="44"/>
    </row>
    <row r="1350" spans="1:6" ht="13" x14ac:dyDescent="0.15">
      <c r="A1350" s="21"/>
      <c r="B1350" s="21"/>
      <c r="C1350" s="21"/>
      <c r="D1350" s="30"/>
      <c r="E1350" s="30"/>
      <c r="F1350" s="44"/>
    </row>
    <row r="1351" spans="1:6" ht="13" x14ac:dyDescent="0.15">
      <c r="A1351" s="21"/>
      <c r="B1351" s="21"/>
      <c r="C1351" s="21"/>
      <c r="D1351" s="30"/>
      <c r="E1351" s="30"/>
      <c r="F1351" s="44"/>
    </row>
    <row r="1352" spans="1:6" ht="13" x14ac:dyDescent="0.15">
      <c r="A1352" s="21"/>
      <c r="B1352" s="21"/>
      <c r="C1352" s="21"/>
      <c r="D1352" s="30"/>
      <c r="E1352" s="30"/>
      <c r="F1352" s="44"/>
    </row>
    <row r="1353" spans="1:6" ht="13" x14ac:dyDescent="0.15">
      <c r="A1353" s="21"/>
      <c r="B1353" s="21"/>
      <c r="C1353" s="21"/>
      <c r="D1353" s="30"/>
      <c r="E1353" s="30"/>
      <c r="F1353" s="44"/>
    </row>
    <row r="1354" spans="1:6" ht="13" x14ac:dyDescent="0.15">
      <c r="A1354" s="21"/>
      <c r="B1354" s="21"/>
      <c r="C1354" s="21"/>
      <c r="D1354" s="30"/>
      <c r="E1354" s="30"/>
      <c r="F1354" s="44"/>
    </row>
    <row r="1355" spans="1:6" ht="13" x14ac:dyDescent="0.15">
      <c r="A1355" s="21"/>
      <c r="B1355" s="21"/>
      <c r="C1355" s="21"/>
      <c r="D1355" s="30"/>
      <c r="E1355" s="30"/>
      <c r="F1355" s="44"/>
    </row>
    <row r="1356" spans="1:6" ht="13" x14ac:dyDescent="0.15">
      <c r="A1356" s="21"/>
      <c r="B1356" s="21"/>
      <c r="C1356" s="21"/>
      <c r="D1356" s="30"/>
      <c r="E1356" s="30"/>
      <c r="F1356" s="44"/>
    </row>
    <row r="1357" spans="1:6" ht="13" x14ac:dyDescent="0.15">
      <c r="A1357" s="21"/>
      <c r="B1357" s="21"/>
      <c r="C1357" s="21"/>
      <c r="D1357" s="30"/>
      <c r="E1357" s="30"/>
      <c r="F1357" s="44"/>
    </row>
    <row r="1358" spans="1:6" ht="13" x14ac:dyDescent="0.15">
      <c r="A1358" s="21"/>
      <c r="B1358" s="21"/>
      <c r="C1358" s="21"/>
      <c r="D1358" s="30"/>
      <c r="E1358" s="30"/>
      <c r="F1358" s="44"/>
    </row>
    <row r="1359" spans="1:6" ht="13" x14ac:dyDescent="0.15">
      <c r="A1359" s="21"/>
      <c r="B1359" s="21"/>
      <c r="C1359" s="21"/>
      <c r="D1359" s="30"/>
      <c r="E1359" s="30"/>
      <c r="F1359" s="44"/>
    </row>
    <row r="1360" spans="1:6" ht="13" x14ac:dyDescent="0.15">
      <c r="A1360" s="21"/>
      <c r="B1360" s="21"/>
      <c r="C1360" s="21"/>
      <c r="D1360" s="30"/>
      <c r="E1360" s="30"/>
      <c r="F1360" s="44"/>
    </row>
    <row r="1361" spans="1:6" ht="13" x14ac:dyDescent="0.15">
      <c r="A1361" s="21"/>
      <c r="B1361" s="21"/>
      <c r="C1361" s="21"/>
      <c r="D1361" s="30"/>
      <c r="E1361" s="30"/>
      <c r="F1361" s="44"/>
    </row>
    <row r="1362" spans="1:6" ht="13" x14ac:dyDescent="0.15">
      <c r="A1362" s="21"/>
      <c r="B1362" s="21"/>
      <c r="C1362" s="21"/>
      <c r="D1362" s="30"/>
      <c r="E1362" s="30"/>
      <c r="F1362" s="44"/>
    </row>
    <row r="1363" spans="1:6" ht="13" x14ac:dyDescent="0.15">
      <c r="A1363" s="21"/>
      <c r="B1363" s="21"/>
      <c r="C1363" s="21"/>
      <c r="D1363" s="30"/>
      <c r="E1363" s="30"/>
      <c r="F1363" s="44"/>
    </row>
    <row r="1364" spans="1:6" ht="13" x14ac:dyDescent="0.15">
      <c r="A1364" s="21"/>
      <c r="B1364" s="21"/>
      <c r="C1364" s="21"/>
      <c r="D1364" s="30"/>
      <c r="E1364" s="30"/>
      <c r="F1364" s="44"/>
    </row>
    <row r="1365" spans="1:6" ht="13" x14ac:dyDescent="0.15">
      <c r="A1365" s="21"/>
      <c r="B1365" s="21"/>
      <c r="C1365" s="21"/>
      <c r="D1365" s="30"/>
      <c r="E1365" s="30"/>
      <c r="F1365" s="44"/>
    </row>
    <row r="1366" spans="1:6" ht="13" x14ac:dyDescent="0.15">
      <c r="A1366" s="21"/>
      <c r="B1366" s="21"/>
      <c r="C1366" s="21"/>
      <c r="D1366" s="30"/>
      <c r="E1366" s="30"/>
      <c r="F1366" s="44"/>
    </row>
    <row r="1367" spans="1:6" ht="13" x14ac:dyDescent="0.15">
      <c r="A1367" s="21"/>
      <c r="B1367" s="21"/>
      <c r="C1367" s="21"/>
      <c r="D1367" s="30"/>
      <c r="E1367" s="30"/>
      <c r="F1367" s="42"/>
    </row>
    <row r="1368" spans="1:6" ht="13" x14ac:dyDescent="0.15">
      <c r="A1368" s="21"/>
      <c r="B1368" s="21"/>
      <c r="C1368" s="21"/>
      <c r="D1368" s="30"/>
      <c r="E1368" s="30"/>
      <c r="F1368" s="42"/>
    </row>
    <row r="1369" spans="1:6" ht="13" x14ac:dyDescent="0.15">
      <c r="A1369" s="21"/>
      <c r="B1369" s="21"/>
      <c r="C1369" s="21"/>
      <c r="D1369" s="30"/>
      <c r="E1369" s="30"/>
      <c r="F1369" s="42"/>
    </row>
    <row r="1370" spans="1:6" ht="13" x14ac:dyDescent="0.15">
      <c r="A1370" s="21"/>
      <c r="B1370" s="21"/>
      <c r="C1370" s="21"/>
      <c r="D1370" s="30"/>
      <c r="E1370" s="30"/>
      <c r="F1370" s="42"/>
    </row>
    <row r="1371" spans="1:6" ht="13" x14ac:dyDescent="0.15">
      <c r="A1371" s="21"/>
      <c r="B1371" s="21"/>
      <c r="C1371" s="21"/>
      <c r="D1371" s="30"/>
      <c r="E1371" s="30"/>
      <c r="F1371" s="42"/>
    </row>
    <row r="1372" spans="1:6" ht="13" x14ac:dyDescent="0.15">
      <c r="A1372" s="21"/>
      <c r="B1372" s="21"/>
      <c r="C1372" s="21"/>
      <c r="D1372" s="30"/>
      <c r="E1372" s="30"/>
      <c r="F1372" s="42"/>
    </row>
    <row r="1373" spans="1:6" ht="13" x14ac:dyDescent="0.15">
      <c r="A1373" s="21"/>
      <c r="B1373" s="21"/>
      <c r="C1373" s="21"/>
      <c r="D1373" s="30"/>
      <c r="E1373" s="30"/>
      <c r="F1373" s="42"/>
    </row>
    <row r="1374" spans="1:6" ht="13" x14ac:dyDescent="0.15">
      <c r="A1374" s="21"/>
      <c r="B1374" s="21"/>
      <c r="C1374" s="21"/>
      <c r="D1374" s="30"/>
      <c r="E1374" s="30"/>
      <c r="F1374" s="42"/>
    </row>
    <row r="1375" spans="1:6" ht="13" x14ac:dyDescent="0.15">
      <c r="A1375" s="21"/>
      <c r="B1375" s="21"/>
      <c r="C1375" s="21"/>
      <c r="D1375" s="30"/>
      <c r="E1375" s="30"/>
      <c r="F1375" s="42"/>
    </row>
    <row r="1376" spans="1:6" ht="13" x14ac:dyDescent="0.15">
      <c r="A1376" s="21"/>
      <c r="B1376" s="21"/>
      <c r="C1376" s="21"/>
      <c r="D1376" s="30"/>
      <c r="E1376" s="30"/>
      <c r="F1376" s="42"/>
    </row>
    <row r="1377" spans="1:6" ht="13" x14ac:dyDescent="0.15">
      <c r="A1377" s="21"/>
      <c r="B1377" s="21"/>
      <c r="C1377" s="21"/>
      <c r="D1377" s="30"/>
      <c r="E1377" s="30"/>
      <c r="F1377" s="42"/>
    </row>
    <row r="1378" spans="1:6" ht="13" x14ac:dyDescent="0.15">
      <c r="A1378" s="21"/>
      <c r="B1378" s="21"/>
      <c r="C1378" s="21"/>
      <c r="D1378" s="30"/>
      <c r="E1378" s="30"/>
      <c r="F1378" s="42"/>
    </row>
    <row r="1379" spans="1:6" ht="13" x14ac:dyDescent="0.15">
      <c r="A1379" s="21"/>
      <c r="B1379" s="21"/>
      <c r="C1379" s="21"/>
      <c r="D1379" s="30"/>
      <c r="E1379" s="30"/>
      <c r="F1379" s="42"/>
    </row>
    <row r="1380" spans="1:6" ht="13" x14ac:dyDescent="0.15">
      <c r="A1380" s="21"/>
      <c r="B1380" s="21"/>
      <c r="C1380" s="21"/>
      <c r="D1380" s="30"/>
      <c r="E1380" s="30"/>
      <c r="F1380" s="42"/>
    </row>
    <row r="1381" spans="1:6" ht="13" x14ac:dyDescent="0.15">
      <c r="A1381" s="21"/>
      <c r="B1381" s="21"/>
      <c r="C1381" s="21"/>
      <c r="D1381" s="30"/>
      <c r="E1381" s="30"/>
      <c r="F1381" s="42"/>
    </row>
    <row r="1382" spans="1:6" ht="13" x14ac:dyDescent="0.15">
      <c r="A1382" s="21"/>
      <c r="B1382" s="21"/>
      <c r="C1382" s="21"/>
      <c r="D1382" s="30"/>
      <c r="E1382" s="30"/>
      <c r="F1382" s="42"/>
    </row>
    <row r="1383" spans="1:6" ht="13" x14ac:dyDescent="0.15">
      <c r="A1383" s="21"/>
      <c r="B1383" s="21"/>
      <c r="C1383" s="21"/>
      <c r="D1383" s="30"/>
      <c r="E1383" s="30"/>
      <c r="F1383" s="42"/>
    </row>
    <row r="1384" spans="1:6" ht="13" x14ac:dyDescent="0.15">
      <c r="A1384" s="21"/>
      <c r="B1384" s="21"/>
      <c r="C1384" s="21"/>
      <c r="D1384" s="30"/>
      <c r="E1384" s="30"/>
      <c r="F1384" s="42"/>
    </row>
    <row r="1385" spans="1:6" ht="13" x14ac:dyDescent="0.15">
      <c r="A1385" s="21"/>
      <c r="B1385" s="21"/>
      <c r="C1385" s="21"/>
      <c r="D1385" s="30"/>
      <c r="E1385" s="30"/>
      <c r="F1385" s="42"/>
    </row>
    <row r="1386" spans="1:6" ht="13" x14ac:dyDescent="0.15">
      <c r="A1386" s="21"/>
      <c r="B1386" s="21"/>
      <c r="C1386" s="21"/>
      <c r="D1386" s="30"/>
      <c r="E1386" s="30"/>
      <c r="F1386" s="42"/>
    </row>
    <row r="1387" spans="1:6" ht="13" x14ac:dyDescent="0.15">
      <c r="A1387" s="21"/>
      <c r="B1387" s="21"/>
      <c r="C1387" s="21"/>
      <c r="D1387" s="30"/>
      <c r="E1387" s="30"/>
      <c r="F1387" s="42"/>
    </row>
    <row r="1388" spans="1:6" ht="13" x14ac:dyDescent="0.15">
      <c r="A1388" s="21"/>
      <c r="B1388" s="21"/>
      <c r="C1388" s="21"/>
      <c r="D1388" s="30"/>
      <c r="E1388" s="30"/>
      <c r="F1388" s="42"/>
    </row>
    <row r="1389" spans="1:6" ht="13" x14ac:dyDescent="0.15">
      <c r="A1389" s="21"/>
      <c r="B1389" s="21"/>
      <c r="C1389" s="21"/>
      <c r="D1389" s="30"/>
      <c r="E1389" s="30"/>
      <c r="F1389" s="42"/>
    </row>
    <row r="1390" spans="1:6" ht="13" x14ac:dyDescent="0.15">
      <c r="A1390" s="21"/>
      <c r="B1390" s="21"/>
      <c r="C1390" s="21"/>
      <c r="D1390" s="30"/>
      <c r="E1390" s="30"/>
      <c r="F1390" s="42"/>
    </row>
    <row r="1391" spans="1:6" ht="13" x14ac:dyDescent="0.15">
      <c r="A1391" s="21"/>
      <c r="B1391" s="21"/>
      <c r="C1391" s="21"/>
      <c r="D1391" s="30"/>
      <c r="E1391" s="30"/>
      <c r="F1391" s="42"/>
    </row>
    <row r="1392" spans="1:6" ht="13" x14ac:dyDescent="0.15">
      <c r="A1392" s="21"/>
      <c r="B1392" s="21"/>
      <c r="C1392" s="21"/>
      <c r="D1392" s="30"/>
      <c r="E1392" s="30"/>
      <c r="F1392" s="42"/>
    </row>
    <row r="1393" spans="1:6" ht="13" x14ac:dyDescent="0.15">
      <c r="A1393" s="21"/>
      <c r="B1393" s="21"/>
      <c r="C1393" s="21"/>
      <c r="D1393" s="30"/>
      <c r="E1393" s="30"/>
      <c r="F1393" s="42"/>
    </row>
    <row r="1394" spans="1:6" ht="13" x14ac:dyDescent="0.15">
      <c r="A1394" s="21"/>
      <c r="B1394" s="21"/>
      <c r="C1394" s="21"/>
      <c r="D1394" s="30"/>
      <c r="E1394" s="30"/>
      <c r="F1394" s="42"/>
    </row>
    <row r="1395" spans="1:6" ht="13" x14ac:dyDescent="0.15">
      <c r="A1395" s="21"/>
      <c r="B1395" s="21"/>
      <c r="C1395" s="21"/>
      <c r="D1395" s="30"/>
      <c r="E1395" s="30"/>
      <c r="F1395" s="42"/>
    </row>
    <row r="1396" spans="1:6" ht="13" x14ac:dyDescent="0.15">
      <c r="A1396" s="21"/>
      <c r="B1396" s="21"/>
      <c r="C1396" s="21"/>
      <c r="D1396" s="30"/>
      <c r="E1396" s="30"/>
      <c r="F1396" s="42"/>
    </row>
    <row r="1397" spans="1:6" ht="13" x14ac:dyDescent="0.15">
      <c r="A1397" s="21"/>
      <c r="B1397" s="21"/>
      <c r="C1397" s="21"/>
      <c r="D1397" s="30"/>
      <c r="E1397" s="30"/>
      <c r="F1397" s="42"/>
    </row>
    <row r="1398" spans="1:6" ht="13" x14ac:dyDescent="0.15">
      <c r="A1398" s="21"/>
      <c r="B1398" s="21"/>
      <c r="C1398" s="21"/>
      <c r="D1398" s="30"/>
      <c r="E1398" s="30"/>
      <c r="F1398" s="42"/>
    </row>
    <row r="1399" spans="1:6" ht="13" x14ac:dyDescent="0.15">
      <c r="A1399" s="21"/>
      <c r="B1399" s="21"/>
      <c r="C1399" s="21"/>
      <c r="D1399" s="30"/>
      <c r="E1399" s="30"/>
      <c r="F1399" s="42"/>
    </row>
    <row r="1400" spans="1:6" ht="13" x14ac:dyDescent="0.15">
      <c r="A1400" s="21"/>
      <c r="B1400" s="21"/>
      <c r="C1400" s="21"/>
      <c r="D1400" s="30"/>
      <c r="E1400" s="30"/>
      <c r="F1400" s="42"/>
    </row>
    <row r="1401" spans="1:6" ht="13" x14ac:dyDescent="0.15">
      <c r="A1401" s="21"/>
      <c r="B1401" s="21"/>
      <c r="C1401" s="21"/>
      <c r="D1401" s="30"/>
      <c r="E1401" s="30"/>
      <c r="F1401" s="42"/>
    </row>
    <row r="1402" spans="1:6" ht="13" x14ac:dyDescent="0.15">
      <c r="A1402" s="21"/>
      <c r="B1402" s="21"/>
      <c r="C1402" s="21"/>
      <c r="D1402" s="30"/>
      <c r="E1402" s="30"/>
      <c r="F1402" s="42"/>
    </row>
    <row r="1403" spans="1:6" ht="13" x14ac:dyDescent="0.15">
      <c r="A1403" s="21"/>
      <c r="B1403" s="21"/>
      <c r="C1403" s="21"/>
      <c r="D1403" s="30"/>
      <c r="E1403" s="30"/>
      <c r="F1403" s="42"/>
    </row>
    <row r="1404" spans="1:6" ht="13" x14ac:dyDescent="0.15">
      <c r="A1404" s="21"/>
      <c r="B1404" s="21"/>
      <c r="C1404" s="21"/>
      <c r="D1404" s="30"/>
      <c r="E1404" s="30"/>
      <c r="F1404" s="42"/>
    </row>
    <row r="1405" spans="1:6" ht="13" x14ac:dyDescent="0.15">
      <c r="A1405" s="21"/>
      <c r="B1405" s="21"/>
      <c r="C1405" s="21"/>
      <c r="D1405" s="30"/>
      <c r="E1405" s="30"/>
      <c r="F1405" s="42"/>
    </row>
    <row r="1406" spans="1:6" ht="13" x14ac:dyDescent="0.15">
      <c r="A1406" s="21"/>
      <c r="B1406" s="21"/>
      <c r="C1406" s="21"/>
      <c r="D1406" s="30"/>
      <c r="E1406" s="30"/>
      <c r="F1406" s="42"/>
    </row>
    <row r="1407" spans="1:6" ht="13" x14ac:dyDescent="0.15">
      <c r="A1407" s="21"/>
      <c r="B1407" s="21"/>
      <c r="C1407" s="21"/>
      <c r="D1407" s="30"/>
      <c r="E1407" s="30"/>
      <c r="F1407" s="42"/>
    </row>
    <row r="1408" spans="1:6" ht="13" x14ac:dyDescent="0.15">
      <c r="A1408" s="21"/>
      <c r="B1408" s="21"/>
      <c r="C1408" s="21"/>
      <c r="D1408" s="30"/>
      <c r="E1408" s="30"/>
      <c r="F1408" s="42"/>
    </row>
    <row r="1409" spans="1:6" ht="13" x14ac:dyDescent="0.15">
      <c r="A1409" s="21"/>
      <c r="B1409" s="21"/>
      <c r="C1409" s="21"/>
      <c r="D1409" s="30"/>
      <c r="E1409" s="30"/>
      <c r="F1409" s="42"/>
    </row>
    <row r="1410" spans="1:6" ht="13" x14ac:dyDescent="0.15">
      <c r="A1410" s="21"/>
      <c r="B1410" s="21"/>
      <c r="C1410" s="21"/>
      <c r="D1410" s="30"/>
      <c r="E1410" s="30"/>
      <c r="F1410" s="42"/>
    </row>
    <row r="1411" spans="1:6" ht="13" x14ac:dyDescent="0.15">
      <c r="A1411" s="21"/>
      <c r="B1411" s="21"/>
      <c r="C1411" s="21"/>
      <c r="D1411" s="30"/>
      <c r="E1411" s="30"/>
      <c r="F1411" s="42"/>
    </row>
    <row r="1412" spans="1:6" ht="13" x14ac:dyDescent="0.15">
      <c r="A1412" s="21"/>
      <c r="B1412" s="21"/>
      <c r="C1412" s="21"/>
      <c r="D1412" s="30"/>
      <c r="E1412" s="30"/>
      <c r="F1412" s="42"/>
    </row>
    <row r="1413" spans="1:6" ht="13" x14ac:dyDescent="0.15">
      <c r="A1413" s="21"/>
      <c r="B1413" s="21"/>
      <c r="C1413" s="21"/>
      <c r="D1413" s="30"/>
      <c r="E1413" s="30"/>
      <c r="F1413" s="42"/>
    </row>
    <row r="1414" spans="1:6" ht="13" x14ac:dyDescent="0.15">
      <c r="A1414" s="21"/>
      <c r="B1414" s="21"/>
      <c r="C1414" s="21"/>
      <c r="D1414" s="30"/>
      <c r="E1414" s="30"/>
      <c r="F1414" s="42"/>
    </row>
    <row r="1415" spans="1:6" ht="13" x14ac:dyDescent="0.15">
      <c r="A1415" s="21"/>
      <c r="B1415" s="21"/>
      <c r="C1415" s="21"/>
      <c r="D1415" s="30"/>
      <c r="E1415" s="30"/>
      <c r="F1415" s="42"/>
    </row>
    <row r="1416" spans="1:6" ht="13" x14ac:dyDescent="0.15">
      <c r="A1416" s="21"/>
      <c r="B1416" s="21"/>
      <c r="C1416" s="21"/>
      <c r="D1416" s="30"/>
      <c r="E1416" s="30"/>
      <c r="F1416" s="42"/>
    </row>
    <row r="1417" spans="1:6" ht="13" x14ac:dyDescent="0.15">
      <c r="A1417" s="21"/>
      <c r="B1417" s="21"/>
      <c r="C1417" s="21"/>
      <c r="D1417" s="30"/>
      <c r="E1417" s="30"/>
      <c r="F1417" s="42"/>
    </row>
    <row r="1418" spans="1:6" ht="13" x14ac:dyDescent="0.15">
      <c r="A1418" s="21"/>
      <c r="B1418" s="21"/>
      <c r="C1418" s="21"/>
      <c r="D1418" s="30"/>
      <c r="E1418" s="30"/>
      <c r="F1418" s="42"/>
    </row>
    <row r="1419" spans="1:6" ht="13" x14ac:dyDescent="0.15">
      <c r="A1419" s="21"/>
      <c r="B1419" s="21"/>
      <c r="C1419" s="21"/>
      <c r="D1419" s="30"/>
      <c r="E1419" s="30"/>
      <c r="F1419" s="42"/>
    </row>
    <row r="1420" spans="1:6" ht="13" x14ac:dyDescent="0.15">
      <c r="A1420" s="21"/>
      <c r="B1420" s="21"/>
      <c r="C1420" s="21"/>
      <c r="D1420" s="30"/>
      <c r="E1420" s="30"/>
      <c r="F1420" s="42"/>
    </row>
    <row r="1421" spans="1:6" ht="13" x14ac:dyDescent="0.15">
      <c r="A1421" s="21"/>
      <c r="B1421" s="21"/>
      <c r="C1421" s="21"/>
      <c r="D1421" s="30"/>
      <c r="E1421" s="30"/>
      <c r="F1421" s="42"/>
    </row>
    <row r="1422" spans="1:6" ht="13" x14ac:dyDescent="0.15">
      <c r="A1422" s="21"/>
      <c r="B1422" s="21"/>
      <c r="C1422" s="21"/>
      <c r="D1422" s="30"/>
      <c r="E1422" s="30"/>
      <c r="F1422" s="42"/>
    </row>
    <row r="1423" spans="1:6" ht="13" x14ac:dyDescent="0.15">
      <c r="A1423" s="21"/>
      <c r="B1423" s="21"/>
      <c r="C1423" s="21"/>
      <c r="D1423" s="30"/>
      <c r="E1423" s="30"/>
      <c r="F1423" s="42"/>
    </row>
    <row r="1424" spans="1:6" ht="13" x14ac:dyDescent="0.15">
      <c r="A1424" s="21"/>
      <c r="B1424" s="21"/>
      <c r="C1424" s="21"/>
      <c r="D1424" s="30"/>
      <c r="E1424" s="30"/>
      <c r="F1424" s="42"/>
    </row>
    <row r="1425" spans="1:6" ht="13" x14ac:dyDescent="0.15">
      <c r="A1425" s="21"/>
      <c r="B1425" s="21"/>
      <c r="C1425" s="21"/>
      <c r="D1425" s="30"/>
      <c r="E1425" s="30"/>
      <c r="F1425" s="42"/>
    </row>
    <row r="1426" spans="1:6" ht="13" x14ac:dyDescent="0.15">
      <c r="A1426" s="21"/>
      <c r="B1426" s="21"/>
      <c r="C1426" s="21"/>
      <c r="D1426" s="30"/>
      <c r="E1426" s="30"/>
      <c r="F1426" s="42"/>
    </row>
    <row r="1427" spans="1:6" ht="13" x14ac:dyDescent="0.15">
      <c r="A1427" s="21"/>
      <c r="B1427" s="21"/>
      <c r="C1427" s="21"/>
      <c r="D1427" s="30"/>
      <c r="E1427" s="30"/>
      <c r="F1427" s="42"/>
    </row>
    <row r="1428" spans="1:6" ht="13" x14ac:dyDescent="0.15">
      <c r="A1428" s="21"/>
      <c r="B1428" s="21"/>
      <c r="C1428" s="21"/>
      <c r="D1428" s="30"/>
      <c r="E1428" s="30"/>
      <c r="F1428" s="42"/>
    </row>
    <row r="1429" spans="1:6" ht="13" x14ac:dyDescent="0.15">
      <c r="A1429" s="21"/>
      <c r="B1429" s="21"/>
      <c r="C1429" s="21"/>
      <c r="D1429" s="30"/>
      <c r="E1429" s="30"/>
      <c r="F1429" s="42"/>
    </row>
    <row r="1430" spans="1:6" ht="13" x14ac:dyDescent="0.15">
      <c r="A1430" s="21"/>
      <c r="B1430" s="21"/>
      <c r="C1430" s="21"/>
      <c r="D1430" s="30"/>
      <c r="E1430" s="30"/>
      <c r="F1430" s="42"/>
    </row>
    <row r="1431" spans="1:6" ht="13" x14ac:dyDescent="0.15">
      <c r="A1431" s="21"/>
      <c r="B1431" s="21"/>
      <c r="C1431" s="21"/>
      <c r="D1431" s="30"/>
      <c r="E1431" s="30"/>
      <c r="F1431" s="42"/>
    </row>
    <row r="1432" spans="1:6" ht="13" x14ac:dyDescent="0.15">
      <c r="A1432" s="21"/>
      <c r="B1432" s="21"/>
      <c r="C1432" s="21"/>
      <c r="D1432" s="30"/>
      <c r="E1432" s="30"/>
      <c r="F1432" s="42"/>
    </row>
    <row r="1433" spans="1:6" ht="13" x14ac:dyDescent="0.15">
      <c r="A1433" s="21"/>
      <c r="B1433" s="21"/>
      <c r="C1433" s="21"/>
      <c r="D1433" s="30"/>
      <c r="E1433" s="30"/>
      <c r="F1433" s="42"/>
    </row>
    <row r="1434" spans="1:6" ht="13" x14ac:dyDescent="0.15">
      <c r="A1434" s="21"/>
      <c r="B1434" s="21"/>
      <c r="C1434" s="21"/>
      <c r="D1434" s="30"/>
      <c r="E1434" s="30"/>
      <c r="F1434" s="42"/>
    </row>
    <row r="1435" spans="1:6" ht="13" x14ac:dyDescent="0.15">
      <c r="A1435" s="21"/>
      <c r="B1435" s="21"/>
      <c r="C1435" s="21"/>
      <c r="D1435" s="30"/>
      <c r="E1435" s="30"/>
      <c r="F1435" s="42"/>
    </row>
    <row r="1436" spans="1:6" ht="13" x14ac:dyDescent="0.15">
      <c r="A1436" s="21"/>
      <c r="B1436" s="21"/>
      <c r="C1436" s="21"/>
      <c r="D1436" s="30"/>
      <c r="E1436" s="30"/>
      <c r="F1436" s="42"/>
    </row>
    <row r="1437" spans="1:6" ht="13" x14ac:dyDescent="0.15">
      <c r="A1437" s="21"/>
      <c r="B1437" s="21"/>
      <c r="C1437" s="21"/>
      <c r="D1437" s="30"/>
      <c r="E1437" s="30"/>
      <c r="F1437" s="42"/>
    </row>
    <row r="1438" spans="1:6" ht="13" x14ac:dyDescent="0.15">
      <c r="A1438" s="21"/>
      <c r="B1438" s="21"/>
      <c r="C1438" s="21"/>
      <c r="D1438" s="30"/>
      <c r="E1438" s="30"/>
      <c r="F1438" s="42"/>
    </row>
    <row r="1439" spans="1:6" ht="13" x14ac:dyDescent="0.15">
      <c r="A1439" s="21"/>
      <c r="B1439" s="21"/>
      <c r="C1439" s="21"/>
      <c r="D1439" s="30"/>
      <c r="E1439" s="30"/>
      <c r="F1439" s="42"/>
    </row>
    <row r="1440" spans="1:6" ht="13" x14ac:dyDescent="0.15">
      <c r="A1440" s="21"/>
      <c r="B1440" s="21"/>
      <c r="C1440" s="21"/>
      <c r="D1440" s="30"/>
      <c r="E1440" s="30"/>
      <c r="F1440" s="42"/>
    </row>
    <row r="1441" spans="1:6" ht="13" x14ac:dyDescent="0.15">
      <c r="A1441" s="21"/>
      <c r="B1441" s="21"/>
      <c r="C1441" s="21"/>
      <c r="D1441" s="30"/>
      <c r="E1441" s="30"/>
      <c r="F1441" s="42"/>
    </row>
    <row r="1442" spans="1:6" ht="13" x14ac:dyDescent="0.15">
      <c r="A1442" s="21"/>
      <c r="B1442" s="21"/>
      <c r="C1442" s="21"/>
      <c r="D1442" s="30"/>
      <c r="E1442" s="30"/>
      <c r="F1442" s="42"/>
    </row>
    <row r="1443" spans="1:6" ht="13" x14ac:dyDescent="0.15">
      <c r="A1443" s="21"/>
      <c r="B1443" s="21"/>
      <c r="C1443" s="21"/>
      <c r="D1443" s="30"/>
      <c r="E1443" s="30"/>
      <c r="F1443" s="42"/>
    </row>
    <row r="1444" spans="1:6" ht="13" x14ac:dyDescent="0.15">
      <c r="A1444" s="21"/>
      <c r="B1444" s="21"/>
      <c r="C1444" s="21"/>
      <c r="D1444" s="30"/>
      <c r="E1444" s="30"/>
      <c r="F1444" s="42"/>
    </row>
    <row r="1445" spans="1:6" ht="13" x14ac:dyDescent="0.15">
      <c r="A1445" s="21"/>
      <c r="B1445" s="21"/>
      <c r="C1445" s="21"/>
      <c r="D1445" s="30"/>
      <c r="E1445" s="30"/>
      <c r="F1445" s="42"/>
    </row>
    <row r="1446" spans="1:6" ht="13" x14ac:dyDescent="0.15">
      <c r="A1446" s="21"/>
      <c r="B1446" s="21"/>
      <c r="C1446" s="21"/>
      <c r="D1446" s="30"/>
      <c r="E1446" s="30"/>
      <c r="F1446" s="42"/>
    </row>
    <row r="1447" spans="1:6" ht="13" x14ac:dyDescent="0.15">
      <c r="A1447" s="21"/>
      <c r="B1447" s="21"/>
      <c r="C1447" s="21"/>
      <c r="D1447" s="30"/>
      <c r="E1447" s="30"/>
      <c r="F1447" s="42"/>
    </row>
    <row r="1448" spans="1:6" ht="13" x14ac:dyDescent="0.15">
      <c r="A1448" s="21"/>
      <c r="B1448" s="21"/>
      <c r="C1448" s="21"/>
      <c r="D1448" s="30"/>
      <c r="E1448" s="30"/>
      <c r="F1448" s="42"/>
    </row>
    <row r="1449" spans="1:6" ht="13" x14ac:dyDescent="0.15">
      <c r="A1449" s="21"/>
      <c r="B1449" s="21"/>
      <c r="C1449" s="21"/>
      <c r="D1449" s="30"/>
      <c r="E1449" s="30"/>
      <c r="F1449" s="42"/>
    </row>
    <row r="1450" spans="1:6" ht="13" x14ac:dyDescent="0.15">
      <c r="A1450" s="21"/>
      <c r="B1450" s="21"/>
      <c r="C1450" s="21"/>
      <c r="D1450" s="30"/>
      <c r="E1450" s="30"/>
      <c r="F1450" s="42"/>
    </row>
    <row r="1451" spans="1:6" ht="13" x14ac:dyDescent="0.15">
      <c r="A1451" s="21"/>
      <c r="B1451" s="21"/>
      <c r="C1451" s="21"/>
      <c r="D1451" s="30"/>
      <c r="E1451" s="30"/>
      <c r="F1451" s="42"/>
    </row>
    <row r="1452" spans="1:6" ht="13" x14ac:dyDescent="0.15">
      <c r="A1452" s="21"/>
      <c r="B1452" s="21"/>
      <c r="C1452" s="21"/>
      <c r="D1452" s="30"/>
      <c r="E1452" s="30"/>
      <c r="F1452" s="42"/>
    </row>
    <row r="1453" spans="1:6" ht="13" x14ac:dyDescent="0.15">
      <c r="A1453" s="21"/>
      <c r="B1453" s="21"/>
      <c r="C1453" s="21"/>
      <c r="D1453" s="30"/>
      <c r="E1453" s="30"/>
      <c r="F1453" s="42"/>
    </row>
    <row r="1454" spans="1:6" ht="13" x14ac:dyDescent="0.15">
      <c r="A1454" s="21"/>
      <c r="B1454" s="21"/>
      <c r="C1454" s="21"/>
      <c r="D1454" s="30"/>
      <c r="E1454" s="30"/>
      <c r="F1454" s="42"/>
    </row>
    <row r="1455" spans="1:6" ht="13" x14ac:dyDescent="0.15">
      <c r="A1455" s="21"/>
      <c r="B1455" s="21"/>
      <c r="C1455" s="21"/>
      <c r="D1455" s="30"/>
      <c r="E1455" s="30"/>
      <c r="F1455" s="42"/>
    </row>
    <row r="1456" spans="1:6" ht="13" x14ac:dyDescent="0.15">
      <c r="A1456" s="21"/>
      <c r="B1456" s="21"/>
      <c r="C1456" s="21"/>
      <c r="D1456" s="30"/>
      <c r="E1456" s="30"/>
      <c r="F1456" s="42"/>
    </row>
    <row r="1457" spans="1:6" ht="13" x14ac:dyDescent="0.15">
      <c r="A1457" s="21"/>
      <c r="B1457" s="21"/>
      <c r="C1457" s="21"/>
      <c r="D1457" s="30"/>
      <c r="E1457" s="30"/>
      <c r="F1457" s="42"/>
    </row>
    <row r="1458" spans="1:6" ht="13" x14ac:dyDescent="0.15">
      <c r="A1458" s="21"/>
      <c r="B1458" s="21"/>
      <c r="C1458" s="21"/>
      <c r="D1458" s="30"/>
      <c r="E1458" s="30"/>
      <c r="F1458" s="42"/>
    </row>
    <row r="1459" spans="1:6" ht="13" x14ac:dyDescent="0.15">
      <c r="A1459" s="21"/>
      <c r="B1459" s="21"/>
      <c r="C1459" s="21"/>
      <c r="D1459" s="30"/>
      <c r="E1459" s="30"/>
      <c r="F1459" s="42"/>
    </row>
    <row r="1460" spans="1:6" ht="13" x14ac:dyDescent="0.15">
      <c r="A1460" s="21"/>
      <c r="B1460" s="21"/>
      <c r="C1460" s="21"/>
      <c r="D1460" s="30"/>
      <c r="E1460" s="30"/>
      <c r="F1460" s="42"/>
    </row>
    <row r="1461" spans="1:6" ht="13" x14ac:dyDescent="0.15">
      <c r="A1461" s="21"/>
      <c r="B1461" s="21"/>
      <c r="C1461" s="21"/>
      <c r="D1461" s="30"/>
      <c r="E1461" s="30"/>
      <c r="F1461" s="42"/>
    </row>
    <row r="1462" spans="1:6" ht="13" x14ac:dyDescent="0.15">
      <c r="A1462" s="21"/>
      <c r="B1462" s="21"/>
      <c r="C1462" s="21"/>
      <c r="D1462" s="30"/>
      <c r="E1462" s="30"/>
      <c r="F1462" s="42"/>
    </row>
    <row r="1463" spans="1:6" ht="13" x14ac:dyDescent="0.15">
      <c r="A1463" s="21"/>
      <c r="B1463" s="21"/>
      <c r="C1463" s="21"/>
      <c r="D1463" s="30"/>
      <c r="E1463" s="30"/>
      <c r="F1463" s="42"/>
    </row>
    <row r="1464" spans="1:6" ht="13" x14ac:dyDescent="0.15">
      <c r="A1464" s="21"/>
      <c r="B1464" s="21"/>
      <c r="C1464" s="21"/>
      <c r="D1464" s="30"/>
      <c r="E1464" s="30"/>
      <c r="F1464" s="42"/>
    </row>
    <row r="1465" spans="1:6" ht="13" x14ac:dyDescent="0.15">
      <c r="A1465" s="21"/>
      <c r="B1465" s="21"/>
      <c r="C1465" s="21"/>
      <c r="D1465" s="30"/>
      <c r="E1465" s="30"/>
      <c r="F1465" s="42"/>
    </row>
    <row r="1466" spans="1:6" ht="13" x14ac:dyDescent="0.15">
      <c r="A1466" s="21"/>
      <c r="B1466" s="21"/>
      <c r="C1466" s="21"/>
      <c r="D1466" s="30"/>
      <c r="E1466" s="30"/>
      <c r="F1466" s="42"/>
    </row>
    <row r="1467" spans="1:6" ht="13" x14ac:dyDescent="0.15">
      <c r="A1467" s="21"/>
      <c r="B1467" s="21"/>
      <c r="C1467" s="21"/>
      <c r="D1467" s="30"/>
      <c r="E1467" s="30"/>
      <c r="F1467" s="42"/>
    </row>
    <row r="1468" spans="1:6" ht="13" x14ac:dyDescent="0.15">
      <c r="A1468" s="21"/>
      <c r="B1468" s="21"/>
      <c r="C1468" s="21"/>
      <c r="D1468" s="30"/>
      <c r="E1468" s="30"/>
      <c r="F1468" s="42"/>
    </row>
    <row r="1469" spans="1:6" ht="13" x14ac:dyDescent="0.15">
      <c r="A1469" s="21"/>
      <c r="B1469" s="21"/>
      <c r="C1469" s="21"/>
      <c r="D1469" s="30"/>
      <c r="E1469" s="30"/>
      <c r="F1469" s="42"/>
    </row>
    <row r="1470" spans="1:6" ht="13" x14ac:dyDescent="0.15">
      <c r="A1470" s="21"/>
      <c r="B1470" s="21"/>
      <c r="C1470" s="21"/>
      <c r="D1470" s="30"/>
      <c r="E1470" s="30"/>
      <c r="F1470" s="42"/>
    </row>
    <row r="1471" spans="1:6" ht="13" x14ac:dyDescent="0.15">
      <c r="A1471" s="21"/>
      <c r="B1471" s="21"/>
      <c r="C1471" s="21"/>
      <c r="D1471" s="30"/>
      <c r="E1471" s="30"/>
      <c r="F1471" s="42"/>
    </row>
    <row r="1472" spans="1:6" ht="13" x14ac:dyDescent="0.15">
      <c r="A1472" s="21"/>
      <c r="B1472" s="21"/>
      <c r="C1472" s="21"/>
      <c r="D1472" s="30"/>
      <c r="E1472" s="30"/>
      <c r="F1472" s="42"/>
    </row>
    <row r="1473" spans="1:6" ht="13" x14ac:dyDescent="0.15">
      <c r="A1473" s="21"/>
      <c r="B1473" s="21"/>
      <c r="C1473" s="21"/>
      <c r="D1473" s="30"/>
      <c r="E1473" s="30"/>
      <c r="F1473" s="42"/>
    </row>
    <row r="1474" spans="1:6" ht="13" x14ac:dyDescent="0.15">
      <c r="A1474" s="21"/>
      <c r="B1474" s="21"/>
      <c r="C1474" s="21"/>
      <c r="D1474" s="30"/>
      <c r="E1474" s="30"/>
      <c r="F1474" s="42"/>
    </row>
    <row r="1475" spans="1:6" ht="13" x14ac:dyDescent="0.15">
      <c r="A1475" s="21"/>
      <c r="B1475" s="21"/>
      <c r="C1475" s="21"/>
      <c r="D1475" s="30"/>
      <c r="E1475" s="30"/>
      <c r="F1475" s="42"/>
    </row>
    <row r="1476" spans="1:6" ht="13" x14ac:dyDescent="0.15">
      <c r="A1476" s="21"/>
      <c r="B1476" s="21"/>
      <c r="C1476" s="21"/>
      <c r="D1476" s="30"/>
      <c r="E1476" s="30"/>
      <c r="F1476" s="42"/>
    </row>
    <row r="1477" spans="1:6" ht="13" x14ac:dyDescent="0.15">
      <c r="A1477" s="21"/>
      <c r="B1477" s="21"/>
      <c r="C1477" s="21"/>
      <c r="D1477" s="30"/>
      <c r="E1477" s="30"/>
      <c r="F1477" s="42"/>
    </row>
    <row r="1478" spans="1:6" ht="13" x14ac:dyDescent="0.15">
      <c r="A1478" s="21"/>
      <c r="B1478" s="21"/>
      <c r="C1478" s="21"/>
      <c r="D1478" s="30"/>
      <c r="E1478" s="30"/>
      <c r="F1478" s="42"/>
    </row>
    <row r="1479" spans="1:6" ht="13" x14ac:dyDescent="0.15">
      <c r="A1479" s="21"/>
      <c r="B1479" s="21"/>
      <c r="C1479" s="21"/>
      <c r="D1479" s="30"/>
      <c r="E1479" s="30"/>
      <c r="F1479" s="42"/>
    </row>
    <row r="1480" spans="1:6" ht="13" x14ac:dyDescent="0.15">
      <c r="A1480" s="21"/>
      <c r="B1480" s="21"/>
      <c r="C1480" s="21"/>
      <c r="D1480" s="30"/>
      <c r="E1480" s="30"/>
      <c r="F1480" s="42"/>
    </row>
    <row r="1481" spans="1:6" ht="13" x14ac:dyDescent="0.15">
      <c r="A1481" s="21"/>
      <c r="B1481" s="21"/>
      <c r="C1481" s="21"/>
      <c r="D1481" s="30"/>
      <c r="E1481" s="30"/>
      <c r="F1481" s="42"/>
    </row>
    <row r="1482" spans="1:6" ht="13" x14ac:dyDescent="0.15">
      <c r="A1482" s="21"/>
      <c r="B1482" s="21"/>
      <c r="C1482" s="21"/>
      <c r="D1482" s="30"/>
      <c r="E1482" s="30"/>
      <c r="F1482" s="42"/>
    </row>
    <row r="1483" spans="1:6" ht="13" x14ac:dyDescent="0.15">
      <c r="A1483" s="21"/>
      <c r="B1483" s="21"/>
      <c r="C1483" s="21"/>
      <c r="D1483" s="30"/>
      <c r="E1483" s="30"/>
      <c r="F1483" s="42"/>
    </row>
    <row r="1484" spans="1:6" ht="13" x14ac:dyDescent="0.15">
      <c r="A1484" s="21"/>
      <c r="B1484" s="21"/>
      <c r="C1484" s="21"/>
      <c r="D1484" s="30"/>
      <c r="E1484" s="30"/>
      <c r="F1484" s="42"/>
    </row>
    <row r="1485" spans="1:6" ht="13" x14ac:dyDescent="0.15">
      <c r="A1485" s="21"/>
      <c r="B1485" s="21"/>
      <c r="C1485" s="21"/>
      <c r="D1485" s="30"/>
      <c r="E1485" s="30"/>
      <c r="F1485" s="42"/>
    </row>
    <row r="1486" spans="1:6" ht="13" x14ac:dyDescent="0.15">
      <c r="A1486" s="21"/>
      <c r="B1486" s="21"/>
      <c r="C1486" s="21"/>
      <c r="D1486" s="30"/>
      <c r="E1486" s="30"/>
      <c r="F1486" s="42"/>
    </row>
    <row r="1487" spans="1:6" ht="13" x14ac:dyDescent="0.15">
      <c r="A1487" s="21"/>
      <c r="B1487" s="21"/>
      <c r="C1487" s="21"/>
      <c r="D1487" s="30"/>
      <c r="E1487" s="30"/>
      <c r="F1487" s="42"/>
    </row>
    <row r="1488" spans="1:6" ht="13" x14ac:dyDescent="0.15">
      <c r="A1488" s="21"/>
      <c r="B1488" s="21"/>
      <c r="C1488" s="21"/>
      <c r="D1488" s="30"/>
      <c r="E1488" s="30"/>
      <c r="F1488" s="42"/>
    </row>
    <row r="1489" spans="1:6" ht="13" x14ac:dyDescent="0.15">
      <c r="A1489" s="21"/>
      <c r="B1489" s="21"/>
      <c r="C1489" s="21"/>
      <c r="D1489" s="30"/>
      <c r="E1489" s="30"/>
      <c r="F1489" s="42"/>
    </row>
    <row r="1490" spans="1:6" ht="13" x14ac:dyDescent="0.15">
      <c r="A1490" s="21"/>
      <c r="B1490" s="21"/>
      <c r="C1490" s="21"/>
      <c r="D1490" s="30"/>
      <c r="E1490" s="30"/>
      <c r="F1490" s="42"/>
    </row>
    <row r="1491" spans="1:6" ht="13" x14ac:dyDescent="0.15">
      <c r="A1491" s="21"/>
      <c r="B1491" s="21"/>
      <c r="C1491" s="21"/>
      <c r="D1491" s="30"/>
      <c r="E1491" s="30"/>
      <c r="F1491" s="42"/>
    </row>
    <row r="1492" spans="1:6" ht="13" x14ac:dyDescent="0.15">
      <c r="A1492" s="21"/>
      <c r="B1492" s="21"/>
      <c r="C1492" s="21"/>
      <c r="D1492" s="30"/>
      <c r="E1492" s="30"/>
      <c r="F1492" s="42"/>
    </row>
    <row r="1493" spans="1:6" ht="13" x14ac:dyDescent="0.15">
      <c r="A1493" s="21"/>
      <c r="B1493" s="21"/>
      <c r="C1493" s="21"/>
      <c r="D1493" s="30"/>
      <c r="E1493" s="30"/>
      <c r="F1493" s="42"/>
    </row>
    <row r="1494" spans="1:6" ht="13" x14ac:dyDescent="0.15">
      <c r="A1494" s="21"/>
      <c r="B1494" s="21"/>
      <c r="C1494" s="21"/>
      <c r="D1494" s="30"/>
      <c r="E1494" s="30"/>
      <c r="F1494" s="42"/>
    </row>
    <row r="1495" spans="1:6" ht="13" x14ac:dyDescent="0.15">
      <c r="A1495" s="21"/>
      <c r="B1495" s="21"/>
      <c r="C1495" s="21"/>
      <c r="D1495" s="30"/>
      <c r="E1495" s="30"/>
      <c r="F1495" s="42"/>
    </row>
    <row r="1496" spans="1:6" ht="13" x14ac:dyDescent="0.15">
      <c r="A1496" s="21"/>
      <c r="B1496" s="21"/>
      <c r="C1496" s="21"/>
      <c r="D1496" s="30"/>
      <c r="E1496" s="30"/>
      <c r="F1496" s="42"/>
    </row>
    <row r="1497" spans="1:6" ht="13" x14ac:dyDescent="0.15">
      <c r="A1497" s="21"/>
      <c r="B1497" s="21"/>
      <c r="C1497" s="21"/>
      <c r="D1497" s="30"/>
      <c r="E1497" s="30"/>
      <c r="F1497" s="42"/>
    </row>
    <row r="1498" spans="1:6" ht="13" x14ac:dyDescent="0.15">
      <c r="A1498" s="21"/>
      <c r="B1498" s="21"/>
      <c r="C1498" s="21"/>
      <c r="D1498" s="30"/>
      <c r="E1498" s="30"/>
      <c r="F1498" s="42"/>
    </row>
    <row r="1499" spans="1:6" ht="13" x14ac:dyDescent="0.15">
      <c r="A1499" s="21"/>
      <c r="B1499" s="21"/>
      <c r="C1499" s="21"/>
      <c r="D1499" s="30"/>
      <c r="E1499" s="30"/>
      <c r="F1499" s="42"/>
    </row>
    <row r="1500" spans="1:6" ht="13" x14ac:dyDescent="0.15">
      <c r="A1500" s="21"/>
      <c r="B1500" s="21"/>
      <c r="C1500" s="21"/>
      <c r="D1500" s="30"/>
      <c r="E1500" s="30"/>
      <c r="F1500" s="42"/>
    </row>
    <row r="1501" spans="1:6" ht="13" x14ac:dyDescent="0.15">
      <c r="A1501" s="21"/>
      <c r="B1501" s="21"/>
      <c r="C1501" s="21"/>
      <c r="D1501" s="30"/>
      <c r="E1501" s="30"/>
      <c r="F1501" s="42"/>
    </row>
  </sheetData>
  <mergeCells count="752">
    <mergeCell ref="B1153:B1154"/>
    <mergeCell ref="C1153:C1154"/>
    <mergeCell ref="D1153:D1154"/>
    <mergeCell ref="E1153:E1154"/>
    <mergeCell ref="F1153:F1154"/>
    <mergeCell ref="D967:E967"/>
    <mergeCell ref="A970:C970"/>
    <mergeCell ref="A971:A972"/>
    <mergeCell ref="B971:B972"/>
    <mergeCell ref="C971:C972"/>
    <mergeCell ref="F971:F972"/>
    <mergeCell ref="A1138:C1138"/>
    <mergeCell ref="A1139:A1140"/>
    <mergeCell ref="B1139:B1140"/>
    <mergeCell ref="C1139:C1140"/>
    <mergeCell ref="D1139:D1140"/>
    <mergeCell ref="E1139:E1140"/>
    <mergeCell ref="F1139:F1140"/>
    <mergeCell ref="A1123:C1123"/>
    <mergeCell ref="A1124:A1125"/>
    <mergeCell ref="B1124:B1125"/>
    <mergeCell ref="C1124:C1125"/>
    <mergeCell ref="D1124:D1125"/>
    <mergeCell ref="E1124:E1125"/>
    <mergeCell ref="A943:C943"/>
    <mergeCell ref="A944:A945"/>
    <mergeCell ref="B944:B945"/>
    <mergeCell ref="C944:C945"/>
    <mergeCell ref="C957:C958"/>
    <mergeCell ref="D957:D958"/>
    <mergeCell ref="D944:D945"/>
    <mergeCell ref="E944:E945"/>
    <mergeCell ref="F944:F945"/>
    <mergeCell ref="D953:E953"/>
    <mergeCell ref="A956:C956"/>
    <mergeCell ref="A957:A958"/>
    <mergeCell ref="B957:B958"/>
    <mergeCell ref="E957:E958"/>
    <mergeCell ref="F957:F958"/>
    <mergeCell ref="D928:E928"/>
    <mergeCell ref="A931:C931"/>
    <mergeCell ref="A932:A933"/>
    <mergeCell ref="B932:B933"/>
    <mergeCell ref="C932:C933"/>
    <mergeCell ref="F932:F933"/>
    <mergeCell ref="D932:D933"/>
    <mergeCell ref="E932:E933"/>
    <mergeCell ref="D940:E940"/>
    <mergeCell ref="C918:C919"/>
    <mergeCell ref="D918:D919"/>
    <mergeCell ref="D906:D907"/>
    <mergeCell ref="E906:E907"/>
    <mergeCell ref="F906:F907"/>
    <mergeCell ref="D914:E914"/>
    <mergeCell ref="A917:C917"/>
    <mergeCell ref="A918:A919"/>
    <mergeCell ref="B918:B919"/>
    <mergeCell ref="E918:E919"/>
    <mergeCell ref="F918:F919"/>
    <mergeCell ref="A878:C878"/>
    <mergeCell ref="A879:A880"/>
    <mergeCell ref="B879:B880"/>
    <mergeCell ref="C879:C880"/>
    <mergeCell ref="C889:C890"/>
    <mergeCell ref="D889:D890"/>
    <mergeCell ref="D902:E902"/>
    <mergeCell ref="A905:C905"/>
    <mergeCell ref="A906:A907"/>
    <mergeCell ref="B906:B907"/>
    <mergeCell ref="C906:C907"/>
    <mergeCell ref="E889:E890"/>
    <mergeCell ref="D866:E866"/>
    <mergeCell ref="A869:C869"/>
    <mergeCell ref="A870:A871"/>
    <mergeCell ref="B870:B871"/>
    <mergeCell ref="C870:C871"/>
    <mergeCell ref="F870:F871"/>
    <mergeCell ref="D870:D871"/>
    <mergeCell ref="E870:E871"/>
    <mergeCell ref="D875:E875"/>
    <mergeCell ref="C857:C858"/>
    <mergeCell ref="D857:D858"/>
    <mergeCell ref="D847:D848"/>
    <mergeCell ref="E847:E848"/>
    <mergeCell ref="F847:F848"/>
    <mergeCell ref="D853:E853"/>
    <mergeCell ref="A856:C856"/>
    <mergeCell ref="A857:A858"/>
    <mergeCell ref="B857:B858"/>
    <mergeCell ref="E857:E858"/>
    <mergeCell ref="F857:F858"/>
    <mergeCell ref="A837:A838"/>
    <mergeCell ref="B837:B838"/>
    <mergeCell ref="C837:C838"/>
    <mergeCell ref="F837:F838"/>
    <mergeCell ref="D837:D838"/>
    <mergeCell ref="E837:E838"/>
    <mergeCell ref="D843:E843"/>
    <mergeCell ref="A846:C846"/>
    <mergeCell ref="A847:A848"/>
    <mergeCell ref="B847:B848"/>
    <mergeCell ref="C847:C848"/>
    <mergeCell ref="F889:F890"/>
    <mergeCell ref="D879:D880"/>
    <mergeCell ref="E879:E880"/>
    <mergeCell ref="F879:F880"/>
    <mergeCell ref="D885:E885"/>
    <mergeCell ref="A888:C888"/>
    <mergeCell ref="A889:A890"/>
    <mergeCell ref="B889:B890"/>
    <mergeCell ref="A817:A818"/>
    <mergeCell ref="B817:B818"/>
    <mergeCell ref="C817:C818"/>
    <mergeCell ref="D817:D818"/>
    <mergeCell ref="F817:F818"/>
    <mergeCell ref="E817:E818"/>
    <mergeCell ref="D823:E823"/>
    <mergeCell ref="A826:C826"/>
    <mergeCell ref="A827:A828"/>
    <mergeCell ref="B827:B828"/>
    <mergeCell ref="C827:C828"/>
    <mergeCell ref="D827:D828"/>
    <mergeCell ref="E827:E828"/>
    <mergeCell ref="F827:F828"/>
    <mergeCell ref="D833:E833"/>
    <mergeCell ref="A836:C836"/>
    <mergeCell ref="A807:C807"/>
    <mergeCell ref="A808:A809"/>
    <mergeCell ref="B808:B809"/>
    <mergeCell ref="C808:C809"/>
    <mergeCell ref="D808:D809"/>
    <mergeCell ref="E808:E809"/>
    <mergeCell ref="F808:F809"/>
    <mergeCell ref="D813:E813"/>
    <mergeCell ref="A816:C816"/>
    <mergeCell ref="E800:E801"/>
    <mergeCell ref="F800:F801"/>
    <mergeCell ref="D804:E804"/>
    <mergeCell ref="C789:C790"/>
    <mergeCell ref="D789:D790"/>
    <mergeCell ref="A799:C799"/>
    <mergeCell ref="A800:A801"/>
    <mergeCell ref="B800:B801"/>
    <mergeCell ref="C800:C801"/>
    <mergeCell ref="D800:D801"/>
    <mergeCell ref="D747:E747"/>
    <mergeCell ref="A750:C750"/>
    <mergeCell ref="A751:A752"/>
    <mergeCell ref="B751:B752"/>
    <mergeCell ref="C751:C752"/>
    <mergeCell ref="A737:A738"/>
    <mergeCell ref="B737:B738"/>
    <mergeCell ref="A788:C788"/>
    <mergeCell ref="A789:A790"/>
    <mergeCell ref="B789:B790"/>
    <mergeCell ref="F775:F776"/>
    <mergeCell ref="D785:E785"/>
    <mergeCell ref="F674:F675"/>
    <mergeCell ref="D687:E687"/>
    <mergeCell ref="A690:C690"/>
    <mergeCell ref="A691:A692"/>
    <mergeCell ref="B691:B692"/>
    <mergeCell ref="C691:C692"/>
    <mergeCell ref="F691:F692"/>
    <mergeCell ref="D691:D692"/>
    <mergeCell ref="E691:E692"/>
    <mergeCell ref="F706:F707"/>
    <mergeCell ref="D717:E717"/>
    <mergeCell ref="A720:C720"/>
    <mergeCell ref="A721:A722"/>
    <mergeCell ref="B721:B722"/>
    <mergeCell ref="E721:E722"/>
    <mergeCell ref="F721:F722"/>
    <mergeCell ref="D732:E732"/>
    <mergeCell ref="A736:C736"/>
    <mergeCell ref="C737:C738"/>
    <mergeCell ref="F737:F738"/>
    <mergeCell ref="D737:D738"/>
    <mergeCell ref="E737:E738"/>
    <mergeCell ref="A1152:C1152"/>
    <mergeCell ref="A1153:A1154"/>
    <mergeCell ref="D1202:E1202"/>
    <mergeCell ref="E763:E764"/>
    <mergeCell ref="F763:F764"/>
    <mergeCell ref="D751:D752"/>
    <mergeCell ref="E751:E752"/>
    <mergeCell ref="F751:F752"/>
    <mergeCell ref="D759:E759"/>
    <mergeCell ref="A762:C762"/>
    <mergeCell ref="A763:A764"/>
    <mergeCell ref="B763:B764"/>
    <mergeCell ref="C763:C764"/>
    <mergeCell ref="D763:D764"/>
    <mergeCell ref="D771:E771"/>
    <mergeCell ref="A774:C774"/>
    <mergeCell ref="A775:A776"/>
    <mergeCell ref="B775:B776"/>
    <mergeCell ref="C775:C776"/>
    <mergeCell ref="E789:E790"/>
    <mergeCell ref="F789:F790"/>
    <mergeCell ref="D796:E796"/>
    <mergeCell ref="D775:D776"/>
    <mergeCell ref="E775:E776"/>
    <mergeCell ref="A1188:C1188"/>
    <mergeCell ref="A1189:A1190"/>
    <mergeCell ref="B1189:B1190"/>
    <mergeCell ref="C1189:C1190"/>
    <mergeCell ref="D1189:D1190"/>
    <mergeCell ref="E1189:E1190"/>
    <mergeCell ref="F1189:F1190"/>
    <mergeCell ref="A1167:C1167"/>
    <mergeCell ref="A1168:A1169"/>
    <mergeCell ref="B1168:B1169"/>
    <mergeCell ref="C1168:C1169"/>
    <mergeCell ref="D1168:D1169"/>
    <mergeCell ref="E1168:E1169"/>
    <mergeCell ref="F1168:F1169"/>
    <mergeCell ref="D1185:E1185"/>
    <mergeCell ref="A1096:C1096"/>
    <mergeCell ref="A1097:A1098"/>
    <mergeCell ref="B1097:B1098"/>
    <mergeCell ref="C1097:C1098"/>
    <mergeCell ref="D1097:D1098"/>
    <mergeCell ref="A1107:C1107"/>
    <mergeCell ref="A1108:A1109"/>
    <mergeCell ref="B1108:B1109"/>
    <mergeCell ref="C1108:C1109"/>
    <mergeCell ref="D1108:D1109"/>
    <mergeCell ref="D1093:E1093"/>
    <mergeCell ref="E1097:E1098"/>
    <mergeCell ref="F1097:F1098"/>
    <mergeCell ref="D1104:E1104"/>
    <mergeCell ref="D1120:E1120"/>
    <mergeCell ref="D1135:E1135"/>
    <mergeCell ref="D1149:E1149"/>
    <mergeCell ref="D1164:E1164"/>
    <mergeCell ref="D1075:D1076"/>
    <mergeCell ref="E1075:E1076"/>
    <mergeCell ref="F1075:F1076"/>
    <mergeCell ref="D1081:E1081"/>
    <mergeCell ref="D1085:D1086"/>
    <mergeCell ref="E1108:E1109"/>
    <mergeCell ref="F1108:F1109"/>
    <mergeCell ref="F1124:F1125"/>
    <mergeCell ref="D1060:D1061"/>
    <mergeCell ref="E1060:E1061"/>
    <mergeCell ref="D1071:E1071"/>
    <mergeCell ref="A1074:C1074"/>
    <mergeCell ref="A1075:A1076"/>
    <mergeCell ref="B1075:B1076"/>
    <mergeCell ref="C1075:C1076"/>
    <mergeCell ref="E1085:E1086"/>
    <mergeCell ref="F1085:F1086"/>
    <mergeCell ref="A1084:C1084"/>
    <mergeCell ref="A1085:A1086"/>
    <mergeCell ref="B1085:B1086"/>
    <mergeCell ref="C1085:C1086"/>
    <mergeCell ref="A1060:A1061"/>
    <mergeCell ref="B1060:B1061"/>
    <mergeCell ref="C1060:C1061"/>
    <mergeCell ref="F1060:F1061"/>
    <mergeCell ref="F1013:F1014"/>
    <mergeCell ref="D1013:D1014"/>
    <mergeCell ref="E1013:E1014"/>
    <mergeCell ref="D1022:E1022"/>
    <mergeCell ref="A1025:C1025"/>
    <mergeCell ref="A1026:A1027"/>
    <mergeCell ref="B1026:B1027"/>
    <mergeCell ref="C1026:C1027"/>
    <mergeCell ref="C1041:C1042"/>
    <mergeCell ref="D1041:D1042"/>
    <mergeCell ref="F1026:F1027"/>
    <mergeCell ref="D1037:E1037"/>
    <mergeCell ref="A1040:C1040"/>
    <mergeCell ref="A1041:A1042"/>
    <mergeCell ref="B1041:B1042"/>
    <mergeCell ref="E1041:E1042"/>
    <mergeCell ref="F1041:F1042"/>
    <mergeCell ref="D971:D972"/>
    <mergeCell ref="E971:E972"/>
    <mergeCell ref="D981:E981"/>
    <mergeCell ref="A984:C984"/>
    <mergeCell ref="A985:A986"/>
    <mergeCell ref="B985:B986"/>
    <mergeCell ref="C985:C986"/>
    <mergeCell ref="C998:C999"/>
    <mergeCell ref="D998:D999"/>
    <mergeCell ref="D985:D986"/>
    <mergeCell ref="E985:E986"/>
    <mergeCell ref="F985:F986"/>
    <mergeCell ref="D994:E994"/>
    <mergeCell ref="A997:C997"/>
    <mergeCell ref="A998:A999"/>
    <mergeCell ref="B998:B999"/>
    <mergeCell ref="E998:E999"/>
    <mergeCell ref="F998:F999"/>
    <mergeCell ref="D1009:E1009"/>
    <mergeCell ref="A1012:C1012"/>
    <mergeCell ref="D1056:E1056"/>
    <mergeCell ref="A1059:C1059"/>
    <mergeCell ref="E657:E658"/>
    <mergeCell ref="D670:E670"/>
    <mergeCell ref="A673:C673"/>
    <mergeCell ref="A674:A675"/>
    <mergeCell ref="B674:B675"/>
    <mergeCell ref="C674:C675"/>
    <mergeCell ref="D674:D675"/>
    <mergeCell ref="D1026:D1027"/>
    <mergeCell ref="E1026:E1027"/>
    <mergeCell ref="A1013:A1014"/>
    <mergeCell ref="B1013:B1014"/>
    <mergeCell ref="C1013:C1014"/>
    <mergeCell ref="E674:E675"/>
    <mergeCell ref="D702:E702"/>
    <mergeCell ref="A705:C705"/>
    <mergeCell ref="A706:A707"/>
    <mergeCell ref="B706:B707"/>
    <mergeCell ref="C706:C707"/>
    <mergeCell ref="C721:C722"/>
    <mergeCell ref="D721:D722"/>
    <mergeCell ref="D706:D707"/>
    <mergeCell ref="E706:E707"/>
    <mergeCell ref="E613:E614"/>
    <mergeCell ref="F613:F614"/>
    <mergeCell ref="D624:E624"/>
    <mergeCell ref="A627:C627"/>
    <mergeCell ref="A628:A629"/>
    <mergeCell ref="B628:B629"/>
    <mergeCell ref="E638:E639"/>
    <mergeCell ref="F638:F639"/>
    <mergeCell ref="D643:E643"/>
    <mergeCell ref="C628:C629"/>
    <mergeCell ref="D628:D629"/>
    <mergeCell ref="A637:C637"/>
    <mergeCell ref="A638:A639"/>
    <mergeCell ref="B638:B639"/>
    <mergeCell ref="C638:C639"/>
    <mergeCell ref="D638:D639"/>
    <mergeCell ref="A657:A658"/>
    <mergeCell ref="B657:B658"/>
    <mergeCell ref="C657:C658"/>
    <mergeCell ref="D657:D658"/>
    <mergeCell ref="F657:F658"/>
    <mergeCell ref="E589:E590"/>
    <mergeCell ref="F589:F590"/>
    <mergeCell ref="D597:E597"/>
    <mergeCell ref="A600:C600"/>
    <mergeCell ref="A601:A602"/>
    <mergeCell ref="B601:B602"/>
    <mergeCell ref="C601:C602"/>
    <mergeCell ref="F601:F602"/>
    <mergeCell ref="D601:D602"/>
    <mergeCell ref="E601:E602"/>
    <mergeCell ref="D609:E609"/>
    <mergeCell ref="A612:C612"/>
    <mergeCell ref="A613:A614"/>
    <mergeCell ref="B613:B614"/>
    <mergeCell ref="C613:C614"/>
    <mergeCell ref="E628:E629"/>
    <mergeCell ref="F628:F629"/>
    <mergeCell ref="D634:E634"/>
    <mergeCell ref="D613:D614"/>
    <mergeCell ref="A646:C646"/>
    <mergeCell ref="A647:A648"/>
    <mergeCell ref="B647:B648"/>
    <mergeCell ref="C647:C648"/>
    <mergeCell ref="D647:D648"/>
    <mergeCell ref="E647:E648"/>
    <mergeCell ref="F647:F648"/>
    <mergeCell ref="D653:E653"/>
    <mergeCell ref="A656:C656"/>
    <mergeCell ref="A577:A578"/>
    <mergeCell ref="B577:B578"/>
    <mergeCell ref="C577:C578"/>
    <mergeCell ref="D577:D578"/>
    <mergeCell ref="F577:F578"/>
    <mergeCell ref="E577:E578"/>
    <mergeCell ref="D585:E585"/>
    <mergeCell ref="A588:C588"/>
    <mergeCell ref="A589:A590"/>
    <mergeCell ref="B589:B590"/>
    <mergeCell ref="C589:C590"/>
    <mergeCell ref="D589:D590"/>
    <mergeCell ref="A568:C568"/>
    <mergeCell ref="A569:A570"/>
    <mergeCell ref="B569:B570"/>
    <mergeCell ref="C569:C570"/>
    <mergeCell ref="D569:D570"/>
    <mergeCell ref="E569:E570"/>
    <mergeCell ref="F569:F570"/>
    <mergeCell ref="D573:E573"/>
    <mergeCell ref="A576:C576"/>
    <mergeCell ref="D522:E522"/>
    <mergeCell ref="E561:E562"/>
    <mergeCell ref="F561:F562"/>
    <mergeCell ref="D565:E565"/>
    <mergeCell ref="C554:C555"/>
    <mergeCell ref="D554:D555"/>
    <mergeCell ref="A560:C560"/>
    <mergeCell ref="A561:A562"/>
    <mergeCell ref="B561:B562"/>
    <mergeCell ref="C561:C562"/>
    <mergeCell ref="D561:D562"/>
    <mergeCell ref="E554:E555"/>
    <mergeCell ref="F554:F555"/>
    <mergeCell ref="D557:E557"/>
    <mergeCell ref="A525:C525"/>
    <mergeCell ref="A526:A527"/>
    <mergeCell ref="B526:B527"/>
    <mergeCell ref="D510:E510"/>
    <mergeCell ref="D540:D541"/>
    <mergeCell ref="E540:E541"/>
    <mergeCell ref="F540:F541"/>
    <mergeCell ref="D550:E550"/>
    <mergeCell ref="A553:C553"/>
    <mergeCell ref="A554:A555"/>
    <mergeCell ref="B554:B555"/>
    <mergeCell ref="A513:C513"/>
    <mergeCell ref="A514:A515"/>
    <mergeCell ref="B514:B515"/>
    <mergeCell ref="C514:C515"/>
    <mergeCell ref="C526:C527"/>
    <mergeCell ref="D526:D527"/>
    <mergeCell ref="D536:E536"/>
    <mergeCell ref="A539:C539"/>
    <mergeCell ref="A540:A541"/>
    <mergeCell ref="B540:B541"/>
    <mergeCell ref="C540:C541"/>
    <mergeCell ref="E526:E527"/>
    <mergeCell ref="F526:F527"/>
    <mergeCell ref="D514:D515"/>
    <mergeCell ref="E514:E515"/>
    <mergeCell ref="F514:F515"/>
    <mergeCell ref="F487:F488"/>
    <mergeCell ref="D494:E494"/>
    <mergeCell ref="A497:C497"/>
    <mergeCell ref="A498:A499"/>
    <mergeCell ref="B498:B499"/>
    <mergeCell ref="C498:C499"/>
    <mergeCell ref="F498:F499"/>
    <mergeCell ref="D498:D499"/>
    <mergeCell ref="E498:E499"/>
    <mergeCell ref="A433:C433"/>
    <mergeCell ref="A434:A435"/>
    <mergeCell ref="B434:B435"/>
    <mergeCell ref="C434:C435"/>
    <mergeCell ref="D434:D435"/>
    <mergeCell ref="E434:E435"/>
    <mergeCell ref="A462:C462"/>
    <mergeCell ref="F463:F464"/>
    <mergeCell ref="D471:E471"/>
    <mergeCell ref="A463:A464"/>
    <mergeCell ref="B463:B464"/>
    <mergeCell ref="C463:C464"/>
    <mergeCell ref="D463:D464"/>
    <mergeCell ref="E463:E464"/>
    <mergeCell ref="D483:E483"/>
    <mergeCell ref="A486:C486"/>
    <mergeCell ref="A487:A488"/>
    <mergeCell ref="B487:B488"/>
    <mergeCell ref="C487:C488"/>
    <mergeCell ref="D487:D488"/>
    <mergeCell ref="E487:E488"/>
    <mergeCell ref="F434:F435"/>
    <mergeCell ref="A450:C450"/>
    <mergeCell ref="A451:A452"/>
    <mergeCell ref="B451:B452"/>
    <mergeCell ref="C451:C452"/>
    <mergeCell ref="D451:D452"/>
    <mergeCell ref="E451:E452"/>
    <mergeCell ref="F451:F452"/>
    <mergeCell ref="D447:E447"/>
    <mergeCell ref="D459:E459"/>
    <mergeCell ref="A474:C474"/>
    <mergeCell ref="A475:A476"/>
    <mergeCell ref="B475:B476"/>
    <mergeCell ref="C475:C476"/>
    <mergeCell ref="D475:D476"/>
    <mergeCell ref="F475:F476"/>
    <mergeCell ref="E475:E476"/>
    <mergeCell ref="D378:E378"/>
    <mergeCell ref="A381:C381"/>
    <mergeCell ref="A382:A383"/>
    <mergeCell ref="B382:B383"/>
    <mergeCell ref="E393:E394"/>
    <mergeCell ref="F393:F394"/>
    <mergeCell ref="D402:E402"/>
    <mergeCell ref="D415:E415"/>
    <mergeCell ref="D430:E430"/>
    <mergeCell ref="A405:C405"/>
    <mergeCell ref="A406:A407"/>
    <mergeCell ref="B406:B407"/>
    <mergeCell ref="C406:C407"/>
    <mergeCell ref="D406:D407"/>
    <mergeCell ref="E406:E407"/>
    <mergeCell ref="F406:F407"/>
    <mergeCell ref="A418:C418"/>
    <mergeCell ref="A419:A420"/>
    <mergeCell ref="B419:B420"/>
    <mergeCell ref="C419:C420"/>
    <mergeCell ref="D419:D420"/>
    <mergeCell ref="E419:E420"/>
    <mergeCell ref="F419:F420"/>
    <mergeCell ref="E382:E383"/>
    <mergeCell ref="A349:A350"/>
    <mergeCell ref="B349:B350"/>
    <mergeCell ref="C349:C350"/>
    <mergeCell ref="F349:F350"/>
    <mergeCell ref="D349:D350"/>
    <mergeCell ref="E349:E350"/>
    <mergeCell ref="D360:E360"/>
    <mergeCell ref="A363:C363"/>
    <mergeCell ref="A364:A365"/>
    <mergeCell ref="B364:B365"/>
    <mergeCell ref="C364:C365"/>
    <mergeCell ref="D364:D365"/>
    <mergeCell ref="E364:E365"/>
    <mergeCell ref="F364:F365"/>
    <mergeCell ref="A334:C334"/>
    <mergeCell ref="A335:A336"/>
    <mergeCell ref="B335:B336"/>
    <mergeCell ref="C335:C336"/>
    <mergeCell ref="D335:D336"/>
    <mergeCell ref="E335:E336"/>
    <mergeCell ref="F335:F336"/>
    <mergeCell ref="D345:E345"/>
    <mergeCell ref="A348:C348"/>
    <mergeCell ref="D320:E320"/>
    <mergeCell ref="A323:C323"/>
    <mergeCell ref="A324:A325"/>
    <mergeCell ref="B324:B325"/>
    <mergeCell ref="C324:C325"/>
    <mergeCell ref="D324:D325"/>
    <mergeCell ref="F324:F325"/>
    <mergeCell ref="E324:E325"/>
    <mergeCell ref="D331:E331"/>
    <mergeCell ref="F382:F383"/>
    <mergeCell ref="D389:E389"/>
    <mergeCell ref="C382:C383"/>
    <mergeCell ref="D382:D383"/>
    <mergeCell ref="A392:C392"/>
    <mergeCell ref="A393:A394"/>
    <mergeCell ref="B393:B394"/>
    <mergeCell ref="C393:C394"/>
    <mergeCell ref="D393:D394"/>
    <mergeCell ref="E215:E216"/>
    <mergeCell ref="F215:F216"/>
    <mergeCell ref="D220:E220"/>
    <mergeCell ref="D234:E234"/>
    <mergeCell ref="D245:E245"/>
    <mergeCell ref="A223:C223"/>
    <mergeCell ref="A224:A225"/>
    <mergeCell ref="B224:B225"/>
    <mergeCell ref="C224:C225"/>
    <mergeCell ref="D224:D225"/>
    <mergeCell ref="E224:E225"/>
    <mergeCell ref="F224:F225"/>
    <mergeCell ref="A237:C237"/>
    <mergeCell ref="A238:A239"/>
    <mergeCell ref="B238:B239"/>
    <mergeCell ref="C238:C239"/>
    <mergeCell ref="D238:D239"/>
    <mergeCell ref="E238:E239"/>
    <mergeCell ref="F238:F239"/>
    <mergeCell ref="D211:E211"/>
    <mergeCell ref="A214:C214"/>
    <mergeCell ref="A215:A216"/>
    <mergeCell ref="B215:B216"/>
    <mergeCell ref="C215:C216"/>
    <mergeCell ref="D215:D216"/>
    <mergeCell ref="D100:D101"/>
    <mergeCell ref="E100:E101"/>
    <mergeCell ref="F100:F101"/>
    <mergeCell ref="D110:E110"/>
    <mergeCell ref="A113:C113"/>
    <mergeCell ref="A114:A115"/>
    <mergeCell ref="B114:B115"/>
    <mergeCell ref="C114:C115"/>
    <mergeCell ref="D114:D115"/>
    <mergeCell ref="A124:C124"/>
    <mergeCell ref="A125:A126"/>
    <mergeCell ref="B125:B126"/>
    <mergeCell ref="C125:C126"/>
    <mergeCell ref="D125:D126"/>
    <mergeCell ref="A136:C136"/>
    <mergeCell ref="A137:A138"/>
    <mergeCell ref="B137:B138"/>
    <mergeCell ref="C137:C138"/>
    <mergeCell ref="E173:E174"/>
    <mergeCell ref="F160:F161"/>
    <mergeCell ref="E148:E149"/>
    <mergeCell ref="F148:F149"/>
    <mergeCell ref="D169:E169"/>
    <mergeCell ref="F201:F202"/>
    <mergeCell ref="D197:E197"/>
    <mergeCell ref="A186:C186"/>
    <mergeCell ref="A187:A188"/>
    <mergeCell ref="B187:B188"/>
    <mergeCell ref="C187:C188"/>
    <mergeCell ref="D187:D188"/>
    <mergeCell ref="E187:E188"/>
    <mergeCell ref="F187:F188"/>
    <mergeCell ref="A200:C200"/>
    <mergeCell ref="A201:A202"/>
    <mergeCell ref="B201:B202"/>
    <mergeCell ref="C201:C202"/>
    <mergeCell ref="D201:D202"/>
    <mergeCell ref="E201:E202"/>
    <mergeCell ref="D183:E183"/>
    <mergeCell ref="F173:F174"/>
    <mergeCell ref="A173:A174"/>
    <mergeCell ref="B173:B174"/>
    <mergeCell ref="E125:E126"/>
    <mergeCell ref="F125:F126"/>
    <mergeCell ref="D133:E133"/>
    <mergeCell ref="D144:E144"/>
    <mergeCell ref="D156:E156"/>
    <mergeCell ref="A172:C172"/>
    <mergeCell ref="A57:C57"/>
    <mergeCell ref="A58:A59"/>
    <mergeCell ref="B58:B59"/>
    <mergeCell ref="C58:C59"/>
    <mergeCell ref="C72:C73"/>
    <mergeCell ref="D72:D73"/>
    <mergeCell ref="D86:D87"/>
    <mergeCell ref="E86:E87"/>
    <mergeCell ref="D96:E96"/>
    <mergeCell ref="C173:C174"/>
    <mergeCell ref="D173:D174"/>
    <mergeCell ref="D137:D138"/>
    <mergeCell ref="E137:E138"/>
    <mergeCell ref="F137:F138"/>
    <mergeCell ref="D160:D161"/>
    <mergeCell ref="E160:E161"/>
    <mergeCell ref="D40:E40"/>
    <mergeCell ref="A43:C43"/>
    <mergeCell ref="A44:A45"/>
    <mergeCell ref="B44:B45"/>
    <mergeCell ref="C44:C45"/>
    <mergeCell ref="F44:F45"/>
    <mergeCell ref="D44:D45"/>
    <mergeCell ref="E44:E45"/>
    <mergeCell ref="D54:E54"/>
    <mergeCell ref="A147:C147"/>
    <mergeCell ref="A148:A149"/>
    <mergeCell ref="B148:B149"/>
    <mergeCell ref="C148:C149"/>
    <mergeCell ref="D148:D149"/>
    <mergeCell ref="E114:E115"/>
    <mergeCell ref="F114:F115"/>
    <mergeCell ref="D121:E121"/>
    <mergeCell ref="A16:A17"/>
    <mergeCell ref="B16:B17"/>
    <mergeCell ref="C16:C17"/>
    <mergeCell ref="D16:D17"/>
    <mergeCell ref="F16:F17"/>
    <mergeCell ref="E16:E17"/>
    <mergeCell ref="D26:E26"/>
    <mergeCell ref="A29:C29"/>
    <mergeCell ref="A30:A31"/>
    <mergeCell ref="B30:B31"/>
    <mergeCell ref="C30:C31"/>
    <mergeCell ref="D30:D31"/>
    <mergeCell ref="E30:E31"/>
    <mergeCell ref="F30:F31"/>
    <mergeCell ref="A1:C1"/>
    <mergeCell ref="A2:A3"/>
    <mergeCell ref="B2:B3"/>
    <mergeCell ref="C2:C3"/>
    <mergeCell ref="D2:D3"/>
    <mergeCell ref="E2:E3"/>
    <mergeCell ref="F2:F3"/>
    <mergeCell ref="D12:E12"/>
    <mergeCell ref="A15:C15"/>
    <mergeCell ref="F313:F314"/>
    <mergeCell ref="D58:D59"/>
    <mergeCell ref="E58:E59"/>
    <mergeCell ref="F58:F59"/>
    <mergeCell ref="D68:E68"/>
    <mergeCell ref="A71:C71"/>
    <mergeCell ref="A72:A73"/>
    <mergeCell ref="B72:B73"/>
    <mergeCell ref="E72:E73"/>
    <mergeCell ref="F72:F73"/>
    <mergeCell ref="D82:E82"/>
    <mergeCell ref="A85:C85"/>
    <mergeCell ref="A86:A87"/>
    <mergeCell ref="B86:B87"/>
    <mergeCell ref="C86:C87"/>
    <mergeCell ref="F86:F87"/>
    <mergeCell ref="A99:C99"/>
    <mergeCell ref="A100:A101"/>
    <mergeCell ref="B100:B101"/>
    <mergeCell ref="C100:C101"/>
    <mergeCell ref="A159:C159"/>
    <mergeCell ref="A160:A161"/>
    <mergeCell ref="B160:B161"/>
    <mergeCell ref="C160:C161"/>
    <mergeCell ref="D291:E291"/>
    <mergeCell ref="A294:C294"/>
    <mergeCell ref="A295:A296"/>
    <mergeCell ref="B295:B296"/>
    <mergeCell ref="C295:C296"/>
    <mergeCell ref="A312:C312"/>
    <mergeCell ref="A313:A314"/>
    <mergeCell ref="B313:B314"/>
    <mergeCell ref="C313:C314"/>
    <mergeCell ref="D313:D314"/>
    <mergeCell ref="E313:E314"/>
    <mergeCell ref="D298:E298"/>
    <mergeCell ref="D309:E309"/>
    <mergeCell ref="A301:C301"/>
    <mergeCell ref="A302:A303"/>
    <mergeCell ref="B302:B303"/>
    <mergeCell ref="C302:C303"/>
    <mergeCell ref="D302:D303"/>
    <mergeCell ref="E302:E303"/>
    <mergeCell ref="D272:D273"/>
    <mergeCell ref="E272:E273"/>
    <mergeCell ref="F272:F273"/>
    <mergeCell ref="D279:E279"/>
    <mergeCell ref="A282:C282"/>
    <mergeCell ref="A283:A284"/>
    <mergeCell ref="B283:B284"/>
    <mergeCell ref="C283:C284"/>
    <mergeCell ref="F283:F284"/>
    <mergeCell ref="D283:D284"/>
    <mergeCell ref="E283:E284"/>
    <mergeCell ref="F302:F303"/>
    <mergeCell ref="A248:C248"/>
    <mergeCell ref="A249:A250"/>
    <mergeCell ref="B249:B250"/>
    <mergeCell ref="C249:C250"/>
    <mergeCell ref="D249:D250"/>
    <mergeCell ref="E249:E250"/>
    <mergeCell ref="F249:F250"/>
    <mergeCell ref="D295:D296"/>
    <mergeCell ref="E295:E296"/>
    <mergeCell ref="F295:F296"/>
    <mergeCell ref="D255:E255"/>
    <mergeCell ref="A258:C258"/>
    <mergeCell ref="A259:A260"/>
    <mergeCell ref="B259:B260"/>
    <mergeCell ref="C259:C260"/>
    <mergeCell ref="D259:D260"/>
    <mergeCell ref="F259:F260"/>
    <mergeCell ref="E259:E260"/>
    <mergeCell ref="D268:E268"/>
    <mergeCell ref="A271:C271"/>
    <mergeCell ref="A272:A273"/>
    <mergeCell ref="B272:B273"/>
    <mergeCell ref="C272:C2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B160-53C8-40D1-8E81-33D5FA85CFCD}">
  <dimension ref="B1:N288"/>
  <sheetViews>
    <sheetView workbookViewId="0">
      <pane ySplit="1" topLeftCell="A221" activePane="bottomLeft" state="frozen"/>
      <selection pane="bottomLeft" activeCell="B259" sqref="B259"/>
    </sheetView>
  </sheetViews>
  <sheetFormatPr baseColWidth="10" defaultColWidth="8.83203125" defaultRowHeight="13" x14ac:dyDescent="0.15"/>
  <cols>
    <col min="1" max="1" width="4.33203125" customWidth="1"/>
    <col min="2" max="2" width="35.5" customWidth="1"/>
    <col min="3" max="3" width="12.5" customWidth="1"/>
    <col min="4" max="4" width="14.1640625" customWidth="1"/>
    <col min="5" max="5" width="9.83203125" bestFit="1" customWidth="1"/>
    <col min="6" max="6" width="12.5" customWidth="1"/>
    <col min="7" max="7" width="3.33203125" customWidth="1"/>
    <col min="8" max="8" width="13.5" style="98" customWidth="1"/>
    <col min="9" max="9" width="12.5" style="98" customWidth="1"/>
    <col min="10" max="10" width="14" style="98" customWidth="1"/>
    <col min="11" max="11" width="12.5" customWidth="1"/>
    <col min="13" max="13" width="10.83203125" bestFit="1" customWidth="1"/>
  </cols>
  <sheetData>
    <row r="1" spans="2:14" ht="72" x14ac:dyDescent="0.25">
      <c r="B1" s="123" t="s">
        <v>983</v>
      </c>
      <c r="C1" s="123" t="s">
        <v>984</v>
      </c>
      <c r="D1" s="123" t="s">
        <v>985</v>
      </c>
      <c r="E1" s="123" t="s">
        <v>984</v>
      </c>
      <c r="F1" s="123" t="s">
        <v>985</v>
      </c>
      <c r="G1" s="123"/>
      <c r="H1" s="164" t="s">
        <v>1722</v>
      </c>
      <c r="I1" s="164" t="s">
        <v>1721</v>
      </c>
      <c r="J1" s="164" t="s">
        <v>1723</v>
      </c>
      <c r="K1" s="123"/>
    </row>
    <row r="2" spans="2:14" ht="20" x14ac:dyDescent="0.2">
      <c r="B2" s="181" t="s">
        <v>1527</v>
      </c>
      <c r="C2" s="181"/>
      <c r="D2" s="181"/>
      <c r="E2" s="181"/>
      <c r="F2" s="181"/>
      <c r="G2" s="161"/>
      <c r="H2" s="165"/>
      <c r="I2" s="165"/>
      <c r="J2" s="165"/>
      <c r="K2" s="161"/>
      <c r="N2" s="54" t="s">
        <v>1468</v>
      </c>
    </row>
    <row r="3" spans="2:14" x14ac:dyDescent="0.15">
      <c r="B3" s="54" t="s">
        <v>1464</v>
      </c>
      <c r="C3" s="101" t="s">
        <v>995</v>
      </c>
      <c r="D3" s="99">
        <f>3430.7/120</f>
        <v>28.589166666666664</v>
      </c>
      <c r="E3" s="98"/>
      <c r="M3" s="99">
        <f>D3*N3</f>
        <v>7.1472916666666659</v>
      </c>
      <c r="N3" s="132">
        <v>0.25</v>
      </c>
    </row>
    <row r="4" spans="2:14" x14ac:dyDescent="0.15">
      <c r="B4" s="54" t="s">
        <v>1467</v>
      </c>
      <c r="C4" s="101" t="s">
        <v>995</v>
      </c>
      <c r="D4" s="99">
        <v>36.4</v>
      </c>
      <c r="E4" s="98"/>
      <c r="M4" s="99">
        <f>D4*N4</f>
        <v>27.299999999999997</v>
      </c>
      <c r="N4" s="132">
        <v>0.75</v>
      </c>
    </row>
    <row r="5" spans="2:14" x14ac:dyDescent="0.15">
      <c r="B5" s="129" t="s">
        <v>1469</v>
      </c>
      <c r="C5" s="98"/>
      <c r="D5" s="99"/>
      <c r="E5" s="98" t="s">
        <v>996</v>
      </c>
      <c r="F5" s="58">
        <f>M5/1000</f>
        <v>4.0526225490196077E-2</v>
      </c>
      <c r="G5" s="58"/>
      <c r="K5" s="58"/>
      <c r="M5" s="99">
        <f>(SUM(M3:M4))/0.85</f>
        <v>40.526225490196076</v>
      </c>
      <c r="N5" s="54" t="s">
        <v>1471</v>
      </c>
    </row>
    <row r="6" spans="2:14" ht="20" x14ac:dyDescent="0.2">
      <c r="B6" s="181" t="s">
        <v>1528</v>
      </c>
      <c r="C6" s="181"/>
      <c r="D6" s="181"/>
      <c r="E6" s="181"/>
      <c r="F6" s="181"/>
      <c r="G6" s="161"/>
      <c r="H6" s="165"/>
      <c r="I6" s="165"/>
      <c r="J6" s="165"/>
      <c r="K6" s="161"/>
      <c r="N6" s="54" t="s">
        <v>1468</v>
      </c>
    </row>
    <row r="7" spans="2:14" x14ac:dyDescent="0.15">
      <c r="B7" s="54" t="s">
        <v>1466</v>
      </c>
      <c r="C7" s="98" t="s">
        <v>995</v>
      </c>
      <c r="D7" s="99">
        <v>40</v>
      </c>
      <c r="M7" s="99">
        <f>D7*N7</f>
        <v>20</v>
      </c>
      <c r="N7" s="132">
        <v>0.5</v>
      </c>
    </row>
    <row r="8" spans="2:14" x14ac:dyDescent="0.15">
      <c r="B8" s="54" t="s">
        <v>1467</v>
      </c>
      <c r="C8" s="101" t="s">
        <v>995</v>
      </c>
      <c r="D8" s="99">
        <v>36.4</v>
      </c>
      <c r="E8" s="98"/>
      <c r="M8" s="99">
        <f>D8*N8</f>
        <v>18.2</v>
      </c>
      <c r="N8" s="132">
        <v>0.5</v>
      </c>
    </row>
    <row r="9" spans="2:14" x14ac:dyDescent="0.15">
      <c r="B9" s="129" t="s">
        <v>1469</v>
      </c>
      <c r="C9" s="98"/>
      <c r="D9" s="99"/>
      <c r="E9" s="98" t="s">
        <v>996</v>
      </c>
      <c r="F9" s="58">
        <f>M9/1000</f>
        <v>4.4941176470588241E-2</v>
      </c>
      <c r="G9" s="58"/>
      <c r="K9" s="58"/>
      <c r="M9" s="99">
        <f>(SUM(M7:M8))/0.85</f>
        <v>44.941176470588239</v>
      </c>
      <c r="N9" s="54" t="s">
        <v>1471</v>
      </c>
    </row>
    <row r="10" spans="2:14" ht="20" x14ac:dyDescent="0.2">
      <c r="B10" s="181" t="s">
        <v>1465</v>
      </c>
      <c r="C10" s="181"/>
      <c r="D10" s="181"/>
      <c r="E10" s="181"/>
      <c r="F10" s="181"/>
      <c r="G10" s="161"/>
      <c r="H10" s="165"/>
      <c r="I10" s="165"/>
      <c r="J10" s="165"/>
      <c r="K10" s="161"/>
    </row>
    <row r="11" spans="2:14" x14ac:dyDescent="0.15">
      <c r="B11" s="54" t="s">
        <v>997</v>
      </c>
      <c r="C11" s="98" t="s">
        <v>995</v>
      </c>
      <c r="D11" s="99">
        <v>70</v>
      </c>
      <c r="E11" s="98" t="s">
        <v>996</v>
      </c>
      <c r="F11" s="99">
        <f t="shared" ref="F11:F16" si="0">D11/1000</f>
        <v>7.0000000000000007E-2</v>
      </c>
      <c r="G11" s="99"/>
      <c r="K11" s="99"/>
    </row>
    <row r="12" spans="2:14" x14ac:dyDescent="0.15">
      <c r="B12" s="54"/>
      <c r="C12" s="101"/>
      <c r="D12" s="99">
        <v>0</v>
      </c>
      <c r="E12" s="98"/>
      <c r="F12" s="99">
        <f t="shared" si="0"/>
        <v>0</v>
      </c>
      <c r="G12" s="99"/>
      <c r="K12" s="99"/>
    </row>
    <row r="13" spans="2:14" x14ac:dyDescent="0.15">
      <c r="C13" s="98"/>
      <c r="D13" s="99">
        <v>0</v>
      </c>
      <c r="E13" s="98"/>
      <c r="F13" s="99">
        <f t="shared" si="0"/>
        <v>0</v>
      </c>
      <c r="G13" s="99"/>
      <c r="K13" s="99"/>
    </row>
    <row r="14" spans="2:14" x14ac:dyDescent="0.15">
      <c r="C14" s="98"/>
      <c r="D14" s="99">
        <v>0</v>
      </c>
      <c r="E14" s="98"/>
      <c r="F14" s="99">
        <f t="shared" si="0"/>
        <v>0</v>
      </c>
      <c r="G14" s="99"/>
      <c r="K14" s="99"/>
    </row>
    <row r="15" spans="2:14" x14ac:dyDescent="0.15">
      <c r="C15" s="98"/>
      <c r="D15" s="99">
        <v>0</v>
      </c>
      <c r="E15" s="98"/>
      <c r="F15" s="99">
        <f t="shared" si="0"/>
        <v>0</v>
      </c>
      <c r="G15" s="99"/>
      <c r="K15" s="99"/>
    </row>
    <row r="16" spans="2:14" x14ac:dyDescent="0.15">
      <c r="C16" s="98"/>
      <c r="D16" s="99">
        <v>0</v>
      </c>
      <c r="E16" s="98"/>
      <c r="F16" s="99">
        <f t="shared" si="0"/>
        <v>0</v>
      </c>
      <c r="G16" s="99"/>
      <c r="K16" s="99"/>
    </row>
    <row r="18" spans="2:13" ht="20" x14ac:dyDescent="0.15">
      <c r="B18" s="183" t="s">
        <v>986</v>
      </c>
      <c r="C18" s="183"/>
      <c r="D18" s="183"/>
      <c r="E18" s="183"/>
      <c r="F18" s="183"/>
      <c r="G18" s="162"/>
      <c r="H18" s="166"/>
      <c r="I18" s="166"/>
      <c r="J18" s="166"/>
      <c r="K18" s="162"/>
    </row>
    <row r="19" spans="2:13" x14ac:dyDescent="0.15">
      <c r="B19" t="s">
        <v>987</v>
      </c>
      <c r="C19" s="98" t="s">
        <v>988</v>
      </c>
      <c r="D19" s="103">
        <v>160</v>
      </c>
      <c r="E19" s="98" t="s">
        <v>989</v>
      </c>
      <c r="F19" s="58">
        <f>D19/500</f>
        <v>0.32</v>
      </c>
      <c r="G19" s="58"/>
      <c r="K19" s="58"/>
    </row>
    <row r="20" spans="2:13" x14ac:dyDescent="0.15">
      <c r="B20" s="54" t="s">
        <v>1355</v>
      </c>
      <c r="C20" s="98" t="s">
        <v>988</v>
      </c>
      <c r="D20" s="104">
        <v>220</v>
      </c>
      <c r="E20" s="98" t="s">
        <v>989</v>
      </c>
      <c r="F20" s="58">
        <f>D20/1000</f>
        <v>0.22</v>
      </c>
      <c r="G20" s="58"/>
      <c r="K20" s="58"/>
    </row>
    <row r="21" spans="2:13" x14ac:dyDescent="0.15">
      <c r="B21" t="s">
        <v>990</v>
      </c>
      <c r="C21" s="98" t="s">
        <v>988</v>
      </c>
      <c r="D21" s="104">
        <v>270</v>
      </c>
      <c r="E21" s="98" t="s">
        <v>989</v>
      </c>
      <c r="F21" s="58">
        <f>D21/1000</f>
        <v>0.27</v>
      </c>
      <c r="G21" s="58"/>
      <c r="K21" s="58"/>
    </row>
    <row r="22" spans="2:13" x14ac:dyDescent="0.15">
      <c r="B22" t="s">
        <v>991</v>
      </c>
      <c r="C22" s="98" t="s">
        <v>988</v>
      </c>
      <c r="D22" s="104">
        <v>230</v>
      </c>
      <c r="E22" s="98" t="s">
        <v>989</v>
      </c>
      <c r="F22" s="58">
        <f>D22/2000</f>
        <v>0.115</v>
      </c>
      <c r="G22" s="58"/>
      <c r="K22" s="58"/>
    </row>
    <row r="23" spans="2:13" x14ac:dyDescent="0.15">
      <c r="B23" s="100" t="s">
        <v>992</v>
      </c>
      <c r="C23" s="98" t="s">
        <v>988</v>
      </c>
      <c r="D23" s="104">
        <v>250</v>
      </c>
      <c r="E23" s="98" t="s">
        <v>989</v>
      </c>
      <c r="F23" s="58">
        <f t="shared" ref="F23:F24" si="1">D23/1000</f>
        <v>0.25</v>
      </c>
      <c r="G23" s="58"/>
      <c r="K23" s="58"/>
    </row>
    <row r="24" spans="2:13" x14ac:dyDescent="0.15">
      <c r="B24" s="100" t="s">
        <v>993</v>
      </c>
      <c r="C24" s="98" t="s">
        <v>988</v>
      </c>
      <c r="D24" s="104">
        <v>220</v>
      </c>
      <c r="E24" s="98" t="s">
        <v>989</v>
      </c>
      <c r="F24" s="58">
        <f t="shared" si="1"/>
        <v>0.22</v>
      </c>
      <c r="G24" s="58"/>
      <c r="K24" s="58"/>
    </row>
    <row r="25" spans="2:13" x14ac:dyDescent="0.15">
      <c r="B25" s="54" t="s">
        <v>994</v>
      </c>
      <c r="C25" s="98" t="s">
        <v>988</v>
      </c>
      <c r="D25" s="104">
        <v>270</v>
      </c>
      <c r="E25" s="98" t="s">
        <v>989</v>
      </c>
      <c r="F25" s="58">
        <f>D25/5000</f>
        <v>5.3999999999999999E-2</v>
      </c>
      <c r="G25" s="58"/>
      <c r="K25" s="58"/>
    </row>
    <row r="26" spans="2:13" x14ac:dyDescent="0.15">
      <c r="B26" s="54" t="s">
        <v>1317</v>
      </c>
      <c r="C26" s="101" t="s">
        <v>988</v>
      </c>
      <c r="D26" s="104">
        <v>290</v>
      </c>
      <c r="E26" s="98" t="s">
        <v>989</v>
      </c>
      <c r="F26" s="58">
        <f>D26/1000</f>
        <v>0.28999999999999998</v>
      </c>
      <c r="G26" s="58"/>
      <c r="K26" s="58"/>
    </row>
    <row r="27" spans="2:13" x14ac:dyDescent="0.15">
      <c r="B27" s="54" t="s">
        <v>1318</v>
      </c>
      <c r="C27" s="101" t="s">
        <v>988</v>
      </c>
      <c r="D27" s="104">
        <v>150</v>
      </c>
      <c r="E27" s="98" t="s">
        <v>989</v>
      </c>
      <c r="F27" s="58">
        <f>D27/1000</f>
        <v>0.15</v>
      </c>
      <c r="G27" s="58"/>
      <c r="K27" s="58"/>
    </row>
    <row r="28" spans="2:13" x14ac:dyDescent="0.15">
      <c r="B28" s="54" t="s">
        <v>1338</v>
      </c>
      <c r="C28" s="101" t="s">
        <v>1339</v>
      </c>
      <c r="D28" s="104">
        <v>290</v>
      </c>
      <c r="E28" s="98" t="s">
        <v>989</v>
      </c>
      <c r="F28" s="58">
        <f>D28/5000</f>
        <v>5.8000000000000003E-2</v>
      </c>
      <c r="G28" s="58"/>
      <c r="K28" s="58"/>
      <c r="M28" s="98"/>
    </row>
    <row r="29" spans="2:13" ht="20" x14ac:dyDescent="0.2">
      <c r="B29" s="181" t="s">
        <v>1372</v>
      </c>
      <c r="C29" s="181"/>
      <c r="D29" s="181"/>
      <c r="E29" s="181"/>
      <c r="F29" s="181"/>
      <c r="G29" s="161"/>
      <c r="H29" s="165"/>
      <c r="I29" s="165"/>
      <c r="J29" s="165"/>
      <c r="K29" s="161"/>
    </row>
    <row r="30" spans="2:13" x14ac:dyDescent="0.15">
      <c r="B30" s="54" t="s">
        <v>1472</v>
      </c>
      <c r="C30" s="54" t="s">
        <v>988</v>
      </c>
      <c r="D30" s="58">
        <v>130</v>
      </c>
      <c r="F30" s="58">
        <f>D30/500</f>
        <v>0.26</v>
      </c>
      <c r="G30" s="58"/>
      <c r="K30" s="58"/>
    </row>
    <row r="31" spans="2:13" x14ac:dyDescent="0.15">
      <c r="B31" s="54" t="s">
        <v>1473</v>
      </c>
      <c r="C31" s="54" t="s">
        <v>988</v>
      </c>
    </row>
    <row r="32" spans="2:13" x14ac:dyDescent="0.15">
      <c r="B32" s="54" t="s">
        <v>1373</v>
      </c>
      <c r="C32" s="54" t="s">
        <v>988</v>
      </c>
      <c r="D32" s="58">
        <v>190</v>
      </c>
      <c r="F32" s="58">
        <f>D32/500</f>
        <v>0.38</v>
      </c>
      <c r="G32" s="58"/>
      <c r="K32" s="58"/>
    </row>
    <row r="33" spans="2:13" x14ac:dyDescent="0.15">
      <c r="B33" s="54" t="s">
        <v>1474</v>
      </c>
      <c r="C33" s="54" t="s">
        <v>988</v>
      </c>
      <c r="D33" s="58">
        <v>250</v>
      </c>
      <c r="F33" s="58">
        <f>D33/1000</f>
        <v>0.25</v>
      </c>
      <c r="G33" s="58"/>
      <c r="K33" s="58"/>
    </row>
    <row r="34" spans="2:13" x14ac:dyDescent="0.15">
      <c r="B34" s="54" t="s">
        <v>1475</v>
      </c>
      <c r="C34" s="54" t="s">
        <v>988</v>
      </c>
      <c r="D34" s="58">
        <v>130</v>
      </c>
      <c r="F34" s="58">
        <f>D34/5000</f>
        <v>2.5999999999999999E-2</v>
      </c>
      <c r="G34" s="58"/>
      <c r="K34" s="58"/>
    </row>
    <row r="35" spans="2:13" x14ac:dyDescent="0.15">
      <c r="B35" s="54" t="s">
        <v>1476</v>
      </c>
      <c r="C35" s="54" t="s">
        <v>988</v>
      </c>
      <c r="D35" s="58">
        <v>110</v>
      </c>
      <c r="F35" s="58">
        <f>D35/2000</f>
        <v>5.5E-2</v>
      </c>
      <c r="G35" s="58"/>
      <c r="K35" s="58"/>
    </row>
    <row r="36" spans="2:13" x14ac:dyDescent="0.15">
      <c r="B36" s="54"/>
      <c r="C36" s="54"/>
      <c r="D36" s="58"/>
      <c r="F36" s="58"/>
      <c r="G36" s="58"/>
      <c r="K36" s="58"/>
    </row>
    <row r="37" spans="2:13" ht="20" x14ac:dyDescent="0.2">
      <c r="B37" s="181" t="s">
        <v>998</v>
      </c>
      <c r="C37" s="181"/>
      <c r="D37" s="181"/>
      <c r="E37" s="181"/>
      <c r="F37" s="181"/>
      <c r="G37" s="161"/>
      <c r="H37" s="165"/>
      <c r="I37" s="165"/>
      <c r="J37" s="165"/>
      <c r="K37" s="161"/>
      <c r="M37" s="54" t="s">
        <v>1477</v>
      </c>
    </row>
    <row r="38" spans="2:13" x14ac:dyDescent="0.15">
      <c r="B38" t="s">
        <v>999</v>
      </c>
      <c r="C38" s="98" t="s">
        <v>1000</v>
      </c>
      <c r="D38" s="99">
        <v>14.26</v>
      </c>
      <c r="E38" s="98" t="s">
        <v>1001</v>
      </c>
      <c r="F38" s="99">
        <f>D38/1000</f>
        <v>1.426E-2</v>
      </c>
      <c r="G38" s="99"/>
      <c r="K38" s="99"/>
    </row>
    <row r="39" spans="2:13" x14ac:dyDescent="0.15">
      <c r="B39" s="54"/>
      <c r="C39" s="98"/>
      <c r="D39" s="99">
        <v>0</v>
      </c>
      <c r="E39" s="98"/>
      <c r="F39" s="99">
        <f t="shared" ref="F39:F47" si="2">D39/1000</f>
        <v>0</v>
      </c>
      <c r="G39" s="99"/>
      <c r="K39" s="99"/>
    </row>
    <row r="40" spans="2:13" x14ac:dyDescent="0.15">
      <c r="C40" s="98"/>
      <c r="D40" s="99">
        <v>0</v>
      </c>
      <c r="E40" s="98"/>
      <c r="F40" s="99">
        <f t="shared" si="2"/>
        <v>0</v>
      </c>
      <c r="G40" s="99"/>
      <c r="K40" s="99"/>
    </row>
    <row r="41" spans="2:13" x14ac:dyDescent="0.15">
      <c r="C41" s="98"/>
      <c r="D41" s="99">
        <v>0</v>
      </c>
      <c r="E41" s="98"/>
      <c r="F41" s="99">
        <f t="shared" si="2"/>
        <v>0</v>
      </c>
      <c r="G41" s="99"/>
      <c r="K41" s="99"/>
    </row>
    <row r="42" spans="2:13" x14ac:dyDescent="0.15">
      <c r="C42" s="98"/>
      <c r="D42" s="99">
        <v>0</v>
      </c>
      <c r="E42" s="98"/>
      <c r="F42" s="99">
        <f t="shared" si="2"/>
        <v>0</v>
      </c>
      <c r="G42" s="99"/>
      <c r="K42" s="99"/>
    </row>
    <row r="43" spans="2:13" x14ac:dyDescent="0.15">
      <c r="C43" s="98"/>
      <c r="D43" s="99">
        <v>0</v>
      </c>
      <c r="E43" s="98"/>
      <c r="F43" s="99">
        <f t="shared" si="2"/>
        <v>0</v>
      </c>
      <c r="G43" s="99"/>
      <c r="K43" s="99"/>
    </row>
    <row r="44" spans="2:13" x14ac:dyDescent="0.15">
      <c r="C44" s="98"/>
      <c r="D44" s="99">
        <v>0</v>
      </c>
      <c r="E44" s="98"/>
      <c r="F44" s="99">
        <f t="shared" si="2"/>
        <v>0</v>
      </c>
      <c r="G44" s="99"/>
      <c r="K44" s="99"/>
    </row>
    <row r="45" spans="2:13" x14ac:dyDescent="0.15">
      <c r="D45" s="99">
        <v>0</v>
      </c>
      <c r="F45" s="99">
        <f t="shared" si="2"/>
        <v>0</v>
      </c>
      <c r="G45" s="99"/>
      <c r="K45" s="99"/>
    </row>
    <row r="46" spans="2:13" x14ac:dyDescent="0.15">
      <c r="D46" s="99">
        <v>0</v>
      </c>
      <c r="F46" s="99">
        <f t="shared" si="2"/>
        <v>0</v>
      </c>
      <c r="G46" s="99"/>
      <c r="K46" s="99"/>
    </row>
    <row r="47" spans="2:13" x14ac:dyDescent="0.15">
      <c r="D47" s="99">
        <v>0</v>
      </c>
      <c r="F47" s="99">
        <f t="shared" si="2"/>
        <v>0</v>
      </c>
      <c r="G47" s="99"/>
      <c r="K47" s="99"/>
    </row>
    <row r="48" spans="2:13" ht="20" x14ac:dyDescent="0.2">
      <c r="B48" s="181" t="s">
        <v>1002</v>
      </c>
      <c r="C48" s="181"/>
      <c r="D48" s="181"/>
      <c r="E48" s="181"/>
      <c r="F48" s="181"/>
      <c r="G48" s="161"/>
      <c r="H48" s="165"/>
      <c r="I48" s="165"/>
      <c r="J48" s="165"/>
      <c r="K48" s="161"/>
    </row>
    <row r="49" spans="2:11" x14ac:dyDescent="0.15">
      <c r="B49" t="s">
        <v>1003</v>
      </c>
      <c r="C49" t="s">
        <v>1000</v>
      </c>
      <c r="D49" s="58">
        <v>9.3000000000000007</v>
      </c>
      <c r="E49" t="s">
        <v>1001</v>
      </c>
      <c r="F49" s="58">
        <f>D49/1000</f>
        <v>9.300000000000001E-3</v>
      </c>
      <c r="G49" s="58"/>
      <c r="K49" s="58"/>
    </row>
    <row r="50" spans="2:11" x14ac:dyDescent="0.15">
      <c r="B50" t="s">
        <v>1004</v>
      </c>
      <c r="C50" t="s">
        <v>1005</v>
      </c>
      <c r="D50" s="58">
        <v>19.600000000000001</v>
      </c>
      <c r="F50" s="58">
        <f>D50/30</f>
        <v>0.65333333333333343</v>
      </c>
      <c r="G50" s="58"/>
      <c r="K50" s="58"/>
    </row>
    <row r="51" spans="2:11" x14ac:dyDescent="0.15">
      <c r="B51" t="s">
        <v>1006</v>
      </c>
      <c r="C51" t="s">
        <v>1007</v>
      </c>
      <c r="D51" s="58">
        <v>34.799999999999997</v>
      </c>
      <c r="F51" s="58">
        <f>D51/84</f>
        <v>0.41428571428571426</v>
      </c>
      <c r="G51" s="58"/>
      <c r="K51" s="58"/>
    </row>
    <row r="52" spans="2:11" x14ac:dyDescent="0.15">
      <c r="B52" s="54" t="s">
        <v>1326</v>
      </c>
      <c r="C52" s="54" t="s">
        <v>1000</v>
      </c>
      <c r="D52" s="58">
        <v>20</v>
      </c>
      <c r="E52" s="54" t="s">
        <v>996</v>
      </c>
      <c r="F52" s="58">
        <f>D52/1000</f>
        <v>0.02</v>
      </c>
      <c r="G52" s="58"/>
      <c r="K52" s="58"/>
    </row>
    <row r="53" spans="2:11" x14ac:dyDescent="0.15">
      <c r="B53" s="54" t="s">
        <v>1042</v>
      </c>
      <c r="C53" s="54" t="s">
        <v>1390</v>
      </c>
      <c r="D53" s="58">
        <f>254.4/12</f>
        <v>21.2</v>
      </c>
      <c r="F53" s="58">
        <f>D53/1000</f>
        <v>2.12E-2</v>
      </c>
      <c r="G53" s="58"/>
      <c r="K53" s="58"/>
    </row>
    <row r="54" spans="2:11" x14ac:dyDescent="0.15">
      <c r="D54" s="58">
        <v>0</v>
      </c>
      <c r="F54" s="58">
        <f t="shared" ref="F54:F56" si="3">D54/1000</f>
        <v>0</v>
      </c>
      <c r="G54" s="58"/>
      <c r="K54" s="58"/>
    </row>
    <row r="55" spans="2:11" x14ac:dyDescent="0.15">
      <c r="D55" s="58">
        <v>0</v>
      </c>
      <c r="F55" s="58">
        <f t="shared" si="3"/>
        <v>0</v>
      </c>
      <c r="G55" s="58"/>
      <c r="K55" s="58"/>
    </row>
    <row r="56" spans="2:11" x14ac:dyDescent="0.15">
      <c r="D56" s="58">
        <v>0</v>
      </c>
      <c r="F56" s="58">
        <f t="shared" si="3"/>
        <v>0</v>
      </c>
      <c r="G56" s="58"/>
      <c r="K56" s="58"/>
    </row>
    <row r="57" spans="2:11" ht="20" x14ac:dyDescent="0.2">
      <c r="B57" s="181" t="s">
        <v>1008</v>
      </c>
      <c r="C57" s="181"/>
      <c r="D57" s="181"/>
      <c r="E57" s="181"/>
      <c r="F57" s="181"/>
      <c r="G57" s="161"/>
      <c r="H57" s="165"/>
      <c r="I57" s="165"/>
      <c r="J57" s="165"/>
      <c r="K57" s="161"/>
    </row>
    <row r="58" spans="2:11" x14ac:dyDescent="0.15">
      <c r="B58" t="s">
        <v>1009</v>
      </c>
      <c r="C58" t="s">
        <v>1010</v>
      </c>
      <c r="D58" s="58">
        <v>69.5</v>
      </c>
      <c r="E58" t="s">
        <v>1001</v>
      </c>
      <c r="F58" s="58">
        <f>D58/1000</f>
        <v>6.9500000000000006E-2</v>
      </c>
      <c r="G58" s="58"/>
      <c r="K58" s="58"/>
    </row>
    <row r="59" spans="2:11" x14ac:dyDescent="0.15">
      <c r="B59" t="s">
        <v>1011</v>
      </c>
      <c r="C59" t="s">
        <v>1010</v>
      </c>
      <c r="D59" s="58">
        <v>69.5</v>
      </c>
      <c r="E59" t="s">
        <v>1001</v>
      </c>
      <c r="F59" s="58">
        <f t="shared" ref="F59:F62" si="4">D59/1000</f>
        <v>6.9500000000000006E-2</v>
      </c>
      <c r="G59" s="58"/>
      <c r="K59" s="58"/>
    </row>
    <row r="60" spans="2:11" x14ac:dyDescent="0.15">
      <c r="B60" t="s">
        <v>1012</v>
      </c>
      <c r="C60" t="s">
        <v>1010</v>
      </c>
      <c r="D60" s="58">
        <v>69.5</v>
      </c>
      <c r="E60" t="s">
        <v>1001</v>
      </c>
      <c r="F60" s="58">
        <f t="shared" si="4"/>
        <v>6.9500000000000006E-2</v>
      </c>
      <c r="G60" s="58"/>
      <c r="K60" s="58"/>
    </row>
    <row r="61" spans="2:11" x14ac:dyDescent="0.15">
      <c r="B61" t="s">
        <v>1013</v>
      </c>
      <c r="C61" t="s">
        <v>1010</v>
      </c>
      <c r="D61" s="58">
        <v>69.5</v>
      </c>
      <c r="E61" t="s">
        <v>1001</v>
      </c>
      <c r="F61" s="58">
        <f t="shared" si="4"/>
        <v>6.9500000000000006E-2</v>
      </c>
      <c r="G61" s="58"/>
      <c r="K61" s="58"/>
    </row>
    <row r="62" spans="2:11" x14ac:dyDescent="0.15">
      <c r="B62" t="s">
        <v>1014</v>
      </c>
      <c r="C62" t="s">
        <v>1010</v>
      </c>
      <c r="D62" s="58">
        <v>55</v>
      </c>
      <c r="E62" t="s">
        <v>1001</v>
      </c>
      <c r="F62" s="58">
        <f t="shared" si="4"/>
        <v>5.5E-2</v>
      </c>
      <c r="G62" s="58"/>
      <c r="K62" s="58"/>
    </row>
    <row r="63" spans="2:11" x14ac:dyDescent="0.15">
      <c r="B63" t="s">
        <v>1015</v>
      </c>
      <c r="C63" t="s">
        <v>1016</v>
      </c>
      <c r="D63" s="58">
        <v>3.5</v>
      </c>
      <c r="E63" t="s">
        <v>1001</v>
      </c>
      <c r="F63" s="58">
        <f>D63/1000</f>
        <v>3.5000000000000001E-3</v>
      </c>
      <c r="G63" s="58"/>
      <c r="K63" s="58"/>
    </row>
    <row r="64" spans="2:11" x14ac:dyDescent="0.15">
      <c r="B64" t="s">
        <v>1017</v>
      </c>
      <c r="C64" t="s">
        <v>1010</v>
      </c>
      <c r="D64" s="58">
        <v>55</v>
      </c>
      <c r="E64" t="s">
        <v>1001</v>
      </c>
      <c r="F64" s="58">
        <f>D64/1000</f>
        <v>5.5E-2</v>
      </c>
      <c r="G64" s="58"/>
      <c r="K64" s="58"/>
    </row>
    <row r="65" spans="2:11" x14ac:dyDescent="0.15">
      <c r="B65" t="s">
        <v>1018</v>
      </c>
      <c r="C65" t="s">
        <v>1010</v>
      </c>
      <c r="D65" s="58">
        <v>69.5</v>
      </c>
      <c r="E65" t="s">
        <v>1001</v>
      </c>
      <c r="F65" s="58">
        <f>D65/1000</f>
        <v>6.9500000000000006E-2</v>
      </c>
      <c r="G65" s="58"/>
      <c r="K65" s="58"/>
    </row>
    <row r="66" spans="2:11" x14ac:dyDescent="0.15">
      <c r="B66" t="s">
        <v>1019</v>
      </c>
      <c r="C66" t="s">
        <v>1010</v>
      </c>
      <c r="D66" s="58">
        <v>69.5</v>
      </c>
      <c r="E66" t="s">
        <v>1001</v>
      </c>
      <c r="F66" s="58">
        <f>D66/1000</f>
        <v>6.9500000000000006E-2</v>
      </c>
      <c r="G66" s="58"/>
      <c r="K66" s="58"/>
    </row>
    <row r="67" spans="2:11" x14ac:dyDescent="0.15">
      <c r="B67" t="s">
        <v>1020</v>
      </c>
      <c r="C67" t="s">
        <v>1010</v>
      </c>
      <c r="D67" s="58">
        <v>69.5</v>
      </c>
      <c r="E67" t="s">
        <v>1001</v>
      </c>
      <c r="F67" s="58">
        <f t="shared" ref="F67:F75" si="5">D67/1000</f>
        <v>6.9500000000000006E-2</v>
      </c>
      <c r="G67" s="58"/>
      <c r="K67" s="58"/>
    </row>
    <row r="68" spans="2:11" x14ac:dyDescent="0.15">
      <c r="B68" t="s">
        <v>1021</v>
      </c>
      <c r="C68" t="s">
        <v>1010</v>
      </c>
      <c r="D68" s="58">
        <v>69.5</v>
      </c>
      <c r="E68" t="s">
        <v>1001</v>
      </c>
      <c r="F68" s="58">
        <f t="shared" si="5"/>
        <v>6.9500000000000006E-2</v>
      </c>
      <c r="G68" s="58"/>
      <c r="K68" s="58"/>
    </row>
    <row r="69" spans="2:11" x14ac:dyDescent="0.15">
      <c r="B69" t="s">
        <v>1022</v>
      </c>
      <c r="C69" t="s">
        <v>1010</v>
      </c>
      <c r="D69" s="58">
        <v>69.5</v>
      </c>
      <c r="E69" t="s">
        <v>1001</v>
      </c>
      <c r="F69" s="58">
        <f t="shared" si="5"/>
        <v>6.9500000000000006E-2</v>
      </c>
      <c r="G69" s="58"/>
      <c r="K69" s="58"/>
    </row>
    <row r="70" spans="2:11" x14ac:dyDescent="0.15">
      <c r="B70" t="s">
        <v>1023</v>
      </c>
      <c r="C70" t="s">
        <v>1010</v>
      </c>
      <c r="D70" s="58">
        <v>69.5</v>
      </c>
      <c r="E70" t="s">
        <v>1001</v>
      </c>
      <c r="F70" s="58">
        <f t="shared" si="5"/>
        <v>6.9500000000000006E-2</v>
      </c>
      <c r="G70" s="58"/>
      <c r="K70" s="58"/>
    </row>
    <row r="71" spans="2:11" x14ac:dyDescent="0.15">
      <c r="B71" t="s">
        <v>1024</v>
      </c>
      <c r="C71" t="s">
        <v>1010</v>
      </c>
      <c r="D71" s="58">
        <v>69.5</v>
      </c>
      <c r="E71" t="s">
        <v>1001</v>
      </c>
      <c r="F71" s="58">
        <f t="shared" si="5"/>
        <v>6.9500000000000006E-2</v>
      </c>
      <c r="G71" s="58"/>
      <c r="K71" s="58"/>
    </row>
    <row r="72" spans="2:11" x14ac:dyDescent="0.15">
      <c r="B72" t="s">
        <v>1025</v>
      </c>
      <c r="C72" t="s">
        <v>1026</v>
      </c>
      <c r="D72" s="58">
        <v>60</v>
      </c>
      <c r="E72" t="s">
        <v>1001</v>
      </c>
      <c r="F72" s="58">
        <f>D72/1000</f>
        <v>0.06</v>
      </c>
      <c r="G72" s="58"/>
      <c r="K72" s="58"/>
    </row>
    <row r="73" spans="2:11" x14ac:dyDescent="0.15">
      <c r="B73" t="s">
        <v>1027</v>
      </c>
      <c r="C73" t="s">
        <v>1010</v>
      </c>
      <c r="D73" s="58">
        <v>60</v>
      </c>
      <c r="E73" t="s">
        <v>1001</v>
      </c>
      <c r="F73" s="58">
        <f>D73/1000</f>
        <v>0.06</v>
      </c>
      <c r="G73" s="58"/>
      <c r="K73" s="58"/>
    </row>
    <row r="74" spans="2:11" x14ac:dyDescent="0.15">
      <c r="B74" t="s">
        <v>1028</v>
      </c>
      <c r="C74" t="s">
        <v>1010</v>
      </c>
      <c r="D74" s="58">
        <v>69.900000000000006</v>
      </c>
      <c r="E74" t="s">
        <v>1001</v>
      </c>
      <c r="F74" s="58">
        <f>D74/1000</f>
        <v>6.9900000000000004E-2</v>
      </c>
      <c r="G74" s="58"/>
      <c r="K74" s="58"/>
    </row>
    <row r="75" spans="2:11" x14ac:dyDescent="0.15">
      <c r="D75" s="58"/>
      <c r="F75" s="58">
        <f t="shared" si="5"/>
        <v>0</v>
      </c>
      <c r="G75" s="58"/>
      <c r="K75" s="58"/>
    </row>
    <row r="76" spans="2:11" ht="20" x14ac:dyDescent="0.2">
      <c r="B76" s="181" t="s">
        <v>497</v>
      </c>
      <c r="C76" s="181"/>
      <c r="D76" s="181"/>
      <c r="E76" s="181"/>
      <c r="F76" s="181"/>
      <c r="G76" s="161"/>
      <c r="H76" s="165"/>
      <c r="I76" s="165"/>
      <c r="J76" s="165"/>
      <c r="K76" s="161"/>
    </row>
    <row r="77" spans="2:11" x14ac:dyDescent="0.15">
      <c r="B77" t="s">
        <v>1029</v>
      </c>
      <c r="C77" t="s">
        <v>688</v>
      </c>
      <c r="D77" s="58">
        <v>48</v>
      </c>
      <c r="E77" t="s">
        <v>989</v>
      </c>
      <c r="F77" s="58">
        <f>D77/21</f>
        <v>2.2857142857142856</v>
      </c>
      <c r="G77" s="58"/>
      <c r="K77" s="58"/>
    </row>
    <row r="78" spans="2:11" x14ac:dyDescent="0.15">
      <c r="B78" t="s">
        <v>1030</v>
      </c>
      <c r="C78" t="s">
        <v>1031</v>
      </c>
      <c r="D78" s="58">
        <v>34</v>
      </c>
      <c r="E78" t="s">
        <v>989</v>
      </c>
      <c r="F78" s="58">
        <f>D78/8</f>
        <v>4.25</v>
      </c>
      <c r="G78" s="58"/>
      <c r="K78" s="58"/>
    </row>
    <row r="79" spans="2:11" x14ac:dyDescent="0.15">
      <c r="B79" t="s">
        <v>1032</v>
      </c>
      <c r="C79" t="s">
        <v>1033</v>
      </c>
      <c r="D79" s="58">
        <v>34</v>
      </c>
      <c r="E79" t="s">
        <v>989</v>
      </c>
      <c r="F79" s="58">
        <f>D79/8</f>
        <v>4.25</v>
      </c>
      <c r="G79" s="58"/>
      <c r="K79" s="58"/>
    </row>
    <row r="80" spans="2:11" x14ac:dyDescent="0.15">
      <c r="B80" t="s">
        <v>1034</v>
      </c>
      <c r="C80" t="s">
        <v>1033</v>
      </c>
      <c r="D80" s="58">
        <v>34</v>
      </c>
      <c r="E80" t="s">
        <v>989</v>
      </c>
      <c r="F80" s="58">
        <f>D80/8</f>
        <v>4.25</v>
      </c>
      <c r="G80" s="58"/>
      <c r="K80" s="58"/>
    </row>
    <row r="81" spans="2:11" x14ac:dyDescent="0.15">
      <c r="B81" t="s">
        <v>1035</v>
      </c>
      <c r="C81" t="s">
        <v>1036</v>
      </c>
      <c r="D81" s="58">
        <v>2</v>
      </c>
      <c r="E81" t="s">
        <v>989</v>
      </c>
      <c r="F81" s="58">
        <f>D81/1</f>
        <v>2</v>
      </c>
      <c r="G81" s="58"/>
      <c r="K81" s="58"/>
    </row>
    <row r="82" spans="2:11" x14ac:dyDescent="0.15">
      <c r="B82" s="54" t="s">
        <v>1319</v>
      </c>
      <c r="C82" s="54" t="s">
        <v>1033</v>
      </c>
      <c r="D82" s="58">
        <v>25</v>
      </c>
      <c r="E82" s="54" t="s">
        <v>989</v>
      </c>
      <c r="F82" s="58">
        <f>D82/12</f>
        <v>2.0833333333333335</v>
      </c>
      <c r="G82" s="58"/>
      <c r="K82" s="58"/>
    </row>
    <row r="83" spans="2:11" x14ac:dyDescent="0.15">
      <c r="B83" s="54" t="s">
        <v>1749</v>
      </c>
      <c r="C83" s="54" t="s">
        <v>1760</v>
      </c>
      <c r="D83" s="58">
        <v>26</v>
      </c>
      <c r="E83" s="54" t="s">
        <v>1759</v>
      </c>
      <c r="F83" s="58">
        <f>D83/12</f>
        <v>2.1666666666666665</v>
      </c>
      <c r="G83" s="58"/>
      <c r="K83" s="58"/>
    </row>
    <row r="84" spans="2:11" x14ac:dyDescent="0.15">
      <c r="D84" s="58">
        <v>0</v>
      </c>
      <c r="F84" s="58">
        <v>0</v>
      </c>
      <c r="G84" s="58"/>
      <c r="K84" s="58"/>
    </row>
    <row r="85" spans="2:11" x14ac:dyDescent="0.15">
      <c r="D85" s="58">
        <v>0</v>
      </c>
      <c r="F85" s="58">
        <v>0</v>
      </c>
      <c r="G85" s="58"/>
      <c r="K85" s="58"/>
    </row>
    <row r="86" spans="2:11" x14ac:dyDescent="0.15">
      <c r="D86" s="58">
        <v>0</v>
      </c>
      <c r="F86" s="58">
        <v>0</v>
      </c>
      <c r="G86" s="58"/>
      <c r="K86" s="58"/>
    </row>
    <row r="87" spans="2:11" ht="20" x14ac:dyDescent="0.2">
      <c r="B87" s="181" t="s">
        <v>1037</v>
      </c>
      <c r="C87" s="181"/>
      <c r="D87" s="181"/>
      <c r="E87" s="181"/>
      <c r="F87" s="181"/>
      <c r="G87" s="161"/>
      <c r="H87" s="165"/>
      <c r="I87" s="165"/>
      <c r="J87" s="165"/>
      <c r="K87" s="161"/>
    </row>
    <row r="88" spans="2:11" x14ac:dyDescent="0.15">
      <c r="B88" t="s">
        <v>1038</v>
      </c>
      <c r="C88" t="s">
        <v>1039</v>
      </c>
      <c r="D88" s="58">
        <v>47</v>
      </c>
      <c r="F88" s="58">
        <f>D88/2500</f>
        <v>1.8800000000000001E-2</v>
      </c>
      <c r="G88" s="58"/>
      <c r="K88" s="58"/>
    </row>
    <row r="89" spans="2:11" x14ac:dyDescent="0.15">
      <c r="B89" t="s">
        <v>1040</v>
      </c>
      <c r="C89" t="s">
        <v>1041</v>
      </c>
      <c r="D89" s="58">
        <v>11</v>
      </c>
      <c r="F89" s="58">
        <f>D89/50</f>
        <v>0.22</v>
      </c>
      <c r="G89" s="58"/>
      <c r="K89" s="58"/>
    </row>
    <row r="90" spans="2:11" x14ac:dyDescent="0.15">
      <c r="B90" t="s">
        <v>1042</v>
      </c>
      <c r="C90" t="s">
        <v>1043</v>
      </c>
      <c r="D90" s="58">
        <v>26</v>
      </c>
      <c r="F90" s="58">
        <f>D90/1000</f>
        <v>2.5999999999999999E-2</v>
      </c>
      <c r="G90" s="58"/>
      <c r="K90" s="58"/>
    </row>
    <row r="91" spans="2:11" x14ac:dyDescent="0.15">
      <c r="B91" t="s">
        <v>1044</v>
      </c>
      <c r="C91" t="s">
        <v>1045</v>
      </c>
      <c r="D91" s="58">
        <v>38</v>
      </c>
      <c r="F91" s="58">
        <f>D91/500</f>
        <v>7.5999999999999998E-2</v>
      </c>
      <c r="G91" s="58"/>
      <c r="K91" s="58"/>
    </row>
    <row r="92" spans="2:11" x14ac:dyDescent="0.15">
      <c r="B92" t="s">
        <v>1046</v>
      </c>
      <c r="C92" t="s">
        <v>1047</v>
      </c>
      <c r="D92" s="58">
        <v>57</v>
      </c>
      <c r="F92" s="58">
        <f>D92/1000</f>
        <v>5.7000000000000002E-2</v>
      </c>
      <c r="G92" s="58"/>
      <c r="K92" s="58"/>
    </row>
    <row r="93" spans="2:11" x14ac:dyDescent="0.15">
      <c r="B93" t="s">
        <v>1048</v>
      </c>
      <c r="C93" t="s">
        <v>1049</v>
      </c>
      <c r="D93" s="58">
        <v>70</v>
      </c>
      <c r="F93" s="58">
        <f>D93/1000</f>
        <v>7.0000000000000007E-2</v>
      </c>
      <c r="G93" s="58"/>
      <c r="K93" s="58"/>
    </row>
    <row r="94" spans="2:11" x14ac:dyDescent="0.15">
      <c r="B94" t="s">
        <v>1044</v>
      </c>
      <c r="C94" t="s">
        <v>1050</v>
      </c>
      <c r="D94" s="58">
        <v>38</v>
      </c>
      <c r="F94" s="58">
        <f>D94/500</f>
        <v>7.5999999999999998E-2</v>
      </c>
      <c r="G94" s="58"/>
      <c r="K94" s="58"/>
    </row>
    <row r="95" spans="2:11" x14ac:dyDescent="0.15">
      <c r="B95" s="102" t="s">
        <v>1051</v>
      </c>
      <c r="C95" t="s">
        <v>1045</v>
      </c>
      <c r="D95" s="58">
        <v>8</v>
      </c>
      <c r="F95" s="58">
        <f>D95/500</f>
        <v>1.6E-2</v>
      </c>
      <c r="G95" s="58"/>
      <c r="K95" s="58"/>
    </row>
    <row r="96" spans="2:11" x14ac:dyDescent="0.15">
      <c r="B96" t="s">
        <v>1052</v>
      </c>
      <c r="C96" t="s">
        <v>1053</v>
      </c>
      <c r="D96" s="58">
        <v>11.1</v>
      </c>
      <c r="F96" s="58">
        <f>D96/1000</f>
        <v>1.11E-2</v>
      </c>
      <c r="G96" s="58"/>
      <c r="K96" s="58"/>
    </row>
    <row r="97" spans="2:11" x14ac:dyDescent="0.15">
      <c r="B97" t="s">
        <v>1054</v>
      </c>
      <c r="C97" t="s">
        <v>1053</v>
      </c>
      <c r="D97" s="58">
        <v>30</v>
      </c>
      <c r="F97" s="58">
        <f>D97/1000</f>
        <v>0.03</v>
      </c>
      <c r="G97" s="58"/>
      <c r="K97" s="58"/>
    </row>
    <row r="98" spans="2:11" x14ac:dyDescent="0.15">
      <c r="B98" t="s">
        <v>1055</v>
      </c>
      <c r="C98" t="s">
        <v>1056</v>
      </c>
      <c r="D98" s="58">
        <v>13</v>
      </c>
      <c r="F98" s="58">
        <f>D98/200</f>
        <v>6.5000000000000002E-2</v>
      </c>
      <c r="G98" s="58"/>
      <c r="K98" s="58"/>
    </row>
    <row r="99" spans="2:11" x14ac:dyDescent="0.15">
      <c r="B99" t="s">
        <v>1057</v>
      </c>
      <c r="C99" t="s">
        <v>1045</v>
      </c>
      <c r="D99" s="58">
        <v>39</v>
      </c>
      <c r="F99" s="58">
        <f>D99/500</f>
        <v>7.8E-2</v>
      </c>
      <c r="G99" s="58"/>
      <c r="K99" s="58"/>
    </row>
    <row r="100" spans="2:11" x14ac:dyDescent="0.15">
      <c r="B100" s="54" t="s">
        <v>1324</v>
      </c>
      <c r="C100" s="54" t="s">
        <v>1325</v>
      </c>
      <c r="D100" s="58">
        <v>17.5</v>
      </c>
      <c r="F100" s="58">
        <f>D100/1000</f>
        <v>1.7500000000000002E-2</v>
      </c>
      <c r="G100" s="58"/>
      <c r="K100" s="58"/>
    </row>
    <row r="101" spans="2:11" x14ac:dyDescent="0.15">
      <c r="B101" s="54" t="s">
        <v>1706</v>
      </c>
      <c r="C101" s="54" t="s">
        <v>1067</v>
      </c>
      <c r="D101" s="58">
        <f>22.5</f>
        <v>22.5</v>
      </c>
      <c r="E101" s="54" t="s">
        <v>996</v>
      </c>
      <c r="F101" s="58">
        <f>D101/5000</f>
        <v>4.4999999999999997E-3</v>
      </c>
      <c r="G101" s="58"/>
      <c r="K101" s="58"/>
    </row>
    <row r="102" spans="2:11" x14ac:dyDescent="0.15">
      <c r="B102" s="54" t="s">
        <v>1715</v>
      </c>
      <c r="C102" s="54" t="s">
        <v>1067</v>
      </c>
      <c r="D102" s="58">
        <v>120</v>
      </c>
      <c r="E102" s="54" t="s">
        <v>996</v>
      </c>
      <c r="F102" s="58">
        <f>D102/1000</f>
        <v>0.12</v>
      </c>
      <c r="G102" s="58"/>
      <c r="K102" s="58"/>
    </row>
    <row r="103" spans="2:11" x14ac:dyDescent="0.15">
      <c r="B103" s="54"/>
      <c r="C103" s="54"/>
      <c r="D103" s="58"/>
      <c r="F103" s="58"/>
      <c r="G103" s="58"/>
      <c r="K103" s="58"/>
    </row>
    <row r="104" spans="2:11" x14ac:dyDescent="0.15">
      <c r="B104" s="54"/>
      <c r="C104" s="54"/>
      <c r="D104" s="58"/>
      <c r="F104" s="58"/>
      <c r="G104" s="58"/>
      <c r="K104" s="58"/>
    </row>
    <row r="105" spans="2:11" x14ac:dyDescent="0.15">
      <c r="B105" s="54"/>
      <c r="C105" s="54"/>
      <c r="D105" s="58"/>
      <c r="F105" s="58"/>
      <c r="G105" s="58"/>
      <c r="K105" s="58"/>
    </row>
    <row r="107" spans="2:11" ht="20" x14ac:dyDescent="0.2">
      <c r="B107" s="181" t="s">
        <v>1058</v>
      </c>
      <c r="C107" s="181"/>
      <c r="D107" s="181"/>
      <c r="E107" s="181"/>
      <c r="F107" s="181"/>
      <c r="G107" s="161"/>
      <c r="H107" s="165"/>
      <c r="I107" s="165"/>
      <c r="J107" s="165"/>
      <c r="K107" s="161"/>
    </row>
    <row r="108" spans="2:11" x14ac:dyDescent="0.15">
      <c r="B108" t="s">
        <v>1059</v>
      </c>
      <c r="C108" t="s">
        <v>1049</v>
      </c>
      <c r="D108" s="58">
        <v>9.5</v>
      </c>
      <c r="E108" t="s">
        <v>1060</v>
      </c>
      <c r="F108" s="58">
        <f>D108/1000</f>
        <v>9.4999999999999998E-3</v>
      </c>
      <c r="G108" s="58"/>
      <c r="K108" s="58"/>
    </row>
    <row r="109" spans="2:11" x14ac:dyDescent="0.15">
      <c r="B109" t="s">
        <v>1061</v>
      </c>
      <c r="C109" t="s">
        <v>995</v>
      </c>
      <c r="D109" s="58">
        <v>20</v>
      </c>
      <c r="E109" t="s">
        <v>996</v>
      </c>
      <c r="F109" s="58">
        <f>D109/1000</f>
        <v>0.02</v>
      </c>
      <c r="G109" s="58"/>
      <c r="K109" s="58"/>
    </row>
    <row r="110" spans="2:11" x14ac:dyDescent="0.15">
      <c r="B110" t="s">
        <v>1062</v>
      </c>
      <c r="C110" t="s">
        <v>1049</v>
      </c>
      <c r="D110" s="58">
        <v>3.5</v>
      </c>
      <c r="E110" t="s">
        <v>996</v>
      </c>
      <c r="F110" s="58">
        <f>D110/1000</f>
        <v>3.5000000000000001E-3</v>
      </c>
      <c r="G110" s="58"/>
      <c r="K110" s="58"/>
    </row>
    <row r="111" spans="2:11" x14ac:dyDescent="0.15">
      <c r="B111" t="s">
        <v>1063</v>
      </c>
      <c r="C111" t="s">
        <v>1049</v>
      </c>
      <c r="D111" s="58">
        <v>8.5</v>
      </c>
      <c r="E111" t="s">
        <v>996</v>
      </c>
      <c r="F111" s="58">
        <f>D111/1000</f>
        <v>8.5000000000000006E-3</v>
      </c>
      <c r="G111" s="58"/>
      <c r="K111" s="58"/>
    </row>
    <row r="112" spans="2:11" x14ac:dyDescent="0.15">
      <c r="B112" t="s">
        <v>1064</v>
      </c>
      <c r="C112" t="s">
        <v>1065</v>
      </c>
      <c r="D112" s="58">
        <v>15.9</v>
      </c>
      <c r="E112" t="s">
        <v>989</v>
      </c>
      <c r="F112" s="58">
        <f>D112/30</f>
        <v>0.53</v>
      </c>
      <c r="G112" s="58"/>
      <c r="K112" s="58"/>
    </row>
    <row r="113" spans="2:11" x14ac:dyDescent="0.15">
      <c r="B113" t="s">
        <v>1066</v>
      </c>
      <c r="C113" t="s">
        <v>1067</v>
      </c>
      <c r="D113" s="58">
        <v>3.6</v>
      </c>
      <c r="E113" t="s">
        <v>996</v>
      </c>
      <c r="F113" s="58">
        <f>D113/1000</f>
        <v>3.5999999999999999E-3</v>
      </c>
      <c r="G113" s="58"/>
      <c r="K113" s="58"/>
    </row>
    <row r="114" spans="2:11" x14ac:dyDescent="0.15">
      <c r="B114" t="s">
        <v>1068</v>
      </c>
      <c r="C114" t="s">
        <v>1067</v>
      </c>
      <c r="D114" s="58">
        <v>7.5</v>
      </c>
      <c r="E114" t="s">
        <v>996</v>
      </c>
      <c r="F114" s="58">
        <f t="shared" ref="F114:F118" si="6">D114/1000</f>
        <v>7.4999999999999997E-3</v>
      </c>
      <c r="G114" s="58"/>
      <c r="K114" s="58"/>
    </row>
    <row r="115" spans="2:11" x14ac:dyDescent="0.15">
      <c r="B115" t="s">
        <v>1069</v>
      </c>
      <c r="C115" t="s">
        <v>1067</v>
      </c>
      <c r="D115" s="58">
        <v>4.3</v>
      </c>
      <c r="E115" t="s">
        <v>996</v>
      </c>
      <c r="F115" s="58">
        <f t="shared" si="6"/>
        <v>4.3E-3</v>
      </c>
      <c r="G115" s="58"/>
      <c r="K115" s="58"/>
    </row>
    <row r="116" spans="2:11" x14ac:dyDescent="0.15">
      <c r="B116" t="s">
        <v>1070</v>
      </c>
      <c r="C116" t="s">
        <v>1067</v>
      </c>
      <c r="D116" s="58">
        <v>3.3</v>
      </c>
      <c r="E116" t="s">
        <v>996</v>
      </c>
      <c r="F116" s="58">
        <f t="shared" si="6"/>
        <v>3.3E-3</v>
      </c>
      <c r="G116" s="58"/>
      <c r="K116" s="58"/>
    </row>
    <row r="117" spans="2:11" x14ac:dyDescent="0.15">
      <c r="B117" t="s">
        <v>1071</v>
      </c>
      <c r="C117" t="s">
        <v>1067</v>
      </c>
      <c r="D117" s="58">
        <v>4.5</v>
      </c>
      <c r="E117" t="s">
        <v>996</v>
      </c>
      <c r="F117" s="58">
        <f t="shared" si="6"/>
        <v>4.4999999999999997E-3</v>
      </c>
      <c r="G117" s="58"/>
      <c r="K117" s="58"/>
    </row>
    <row r="118" spans="2:11" x14ac:dyDescent="0.15">
      <c r="B118" t="s">
        <v>1072</v>
      </c>
      <c r="C118" t="s">
        <v>1067</v>
      </c>
      <c r="D118" s="58">
        <v>7</v>
      </c>
      <c r="E118" t="s">
        <v>996</v>
      </c>
      <c r="F118" s="58">
        <f t="shared" si="6"/>
        <v>7.0000000000000001E-3</v>
      </c>
      <c r="G118" s="58"/>
      <c r="K118" s="58"/>
    </row>
    <row r="119" spans="2:11" x14ac:dyDescent="0.15">
      <c r="B119" t="s">
        <v>1073</v>
      </c>
      <c r="C119" t="s">
        <v>1074</v>
      </c>
      <c r="D119" s="58">
        <v>5.5</v>
      </c>
      <c r="E119" t="s">
        <v>996</v>
      </c>
      <c r="F119" s="58">
        <f>D119/500</f>
        <v>1.0999999999999999E-2</v>
      </c>
      <c r="G119" s="58"/>
      <c r="K119" s="58"/>
    </row>
    <row r="120" spans="2:11" x14ac:dyDescent="0.15">
      <c r="B120" t="s">
        <v>1075</v>
      </c>
      <c r="C120" t="s">
        <v>1076</v>
      </c>
      <c r="D120" s="58">
        <v>5.5</v>
      </c>
      <c r="E120" t="s">
        <v>996</v>
      </c>
      <c r="F120" s="58">
        <f>D120/500</f>
        <v>1.0999999999999999E-2</v>
      </c>
      <c r="G120" s="58"/>
      <c r="K120" s="58"/>
    </row>
    <row r="121" spans="2:11" x14ac:dyDescent="0.15">
      <c r="B121" t="s">
        <v>1077</v>
      </c>
      <c r="C121" t="s">
        <v>1078</v>
      </c>
      <c r="D121" s="58">
        <v>9.5</v>
      </c>
      <c r="E121" t="s">
        <v>996</v>
      </c>
      <c r="F121" s="58">
        <f>D121/500</f>
        <v>1.9E-2</v>
      </c>
      <c r="G121" s="58"/>
      <c r="K121" s="58"/>
    </row>
    <row r="122" spans="2:11" x14ac:dyDescent="0.15">
      <c r="B122" t="s">
        <v>1079</v>
      </c>
      <c r="C122" t="s">
        <v>1080</v>
      </c>
      <c r="D122" s="58">
        <v>4.8</v>
      </c>
      <c r="E122" t="s">
        <v>996</v>
      </c>
      <c r="F122" s="58">
        <f>D122/400</f>
        <v>1.2E-2</v>
      </c>
      <c r="G122" s="58"/>
      <c r="K122" s="58"/>
    </row>
    <row r="123" spans="2:11" x14ac:dyDescent="0.15">
      <c r="B123" t="s">
        <v>1081</v>
      </c>
      <c r="C123" t="s">
        <v>995</v>
      </c>
      <c r="D123" s="58">
        <v>10</v>
      </c>
      <c r="E123" t="s">
        <v>996</v>
      </c>
      <c r="F123" s="58">
        <f>D123/1000</f>
        <v>0.01</v>
      </c>
      <c r="G123" s="58"/>
      <c r="K123" s="58"/>
    </row>
    <row r="124" spans="2:11" x14ac:dyDescent="0.15">
      <c r="B124" t="s">
        <v>1082</v>
      </c>
      <c r="C124" t="s">
        <v>1067</v>
      </c>
      <c r="D124" s="58">
        <v>4.8</v>
      </c>
      <c r="F124" s="58">
        <f t="shared" ref="F124:F125" si="7">D124/1000</f>
        <v>4.7999999999999996E-3</v>
      </c>
      <c r="G124" s="58"/>
      <c r="K124" s="58"/>
    </row>
    <row r="125" spans="2:11" x14ac:dyDescent="0.15">
      <c r="B125" t="s">
        <v>1083</v>
      </c>
      <c r="C125" t="s">
        <v>1067</v>
      </c>
      <c r="D125" s="58">
        <v>18</v>
      </c>
      <c r="E125" t="s">
        <v>996</v>
      </c>
      <c r="F125" s="58">
        <f t="shared" si="7"/>
        <v>1.7999999999999999E-2</v>
      </c>
      <c r="G125" s="58"/>
      <c r="K125" s="58"/>
    </row>
    <row r="126" spans="2:11" x14ac:dyDescent="0.15">
      <c r="B126" t="s">
        <v>1084</v>
      </c>
      <c r="C126" t="s">
        <v>1080</v>
      </c>
      <c r="D126" s="58">
        <v>13</v>
      </c>
      <c r="E126" t="s">
        <v>996</v>
      </c>
      <c r="F126" s="58">
        <f>D126/250</f>
        <v>5.1999999999999998E-2</v>
      </c>
      <c r="G126" s="58"/>
      <c r="K126" s="58"/>
    </row>
    <row r="127" spans="2:11" x14ac:dyDescent="0.15">
      <c r="B127" t="s">
        <v>1085</v>
      </c>
      <c r="C127" t="s">
        <v>995</v>
      </c>
      <c r="D127" s="58">
        <v>13</v>
      </c>
      <c r="E127" t="s">
        <v>996</v>
      </c>
      <c r="F127" s="58">
        <f>D127/1000</f>
        <v>1.2999999999999999E-2</v>
      </c>
      <c r="G127" s="58"/>
      <c r="K127" s="58"/>
    </row>
    <row r="128" spans="2:11" x14ac:dyDescent="0.15">
      <c r="B128" t="s">
        <v>1086</v>
      </c>
      <c r="C128" t="s">
        <v>1087</v>
      </c>
      <c r="D128" s="58">
        <v>9.5</v>
      </c>
      <c r="E128" t="s">
        <v>996</v>
      </c>
      <c r="F128" s="58">
        <f>D128/500</f>
        <v>1.9E-2</v>
      </c>
      <c r="G128" s="58"/>
      <c r="K128" s="58"/>
    </row>
    <row r="129" spans="2:11" x14ac:dyDescent="0.15">
      <c r="B129" t="s">
        <v>1088</v>
      </c>
      <c r="C129" t="s">
        <v>1067</v>
      </c>
      <c r="D129" s="58">
        <v>12</v>
      </c>
      <c r="E129" t="s">
        <v>996</v>
      </c>
      <c r="F129" s="58">
        <f>D129/1000</f>
        <v>1.2E-2</v>
      </c>
      <c r="G129" s="58"/>
      <c r="K129" s="58"/>
    </row>
    <row r="130" spans="2:11" x14ac:dyDescent="0.15">
      <c r="B130" t="s">
        <v>1089</v>
      </c>
      <c r="C130" t="s">
        <v>1026</v>
      </c>
      <c r="D130" s="58">
        <v>9.8000000000000007</v>
      </c>
      <c r="E130" t="s">
        <v>996</v>
      </c>
      <c r="F130" s="58">
        <f>D130/200</f>
        <v>4.9000000000000002E-2</v>
      </c>
      <c r="G130" s="58"/>
      <c r="K130" s="58"/>
    </row>
    <row r="131" spans="2:11" x14ac:dyDescent="0.15">
      <c r="B131" t="s">
        <v>1090</v>
      </c>
      <c r="C131" t="s">
        <v>1091</v>
      </c>
      <c r="D131" s="58">
        <v>37</v>
      </c>
      <c r="E131" t="s">
        <v>1001</v>
      </c>
      <c r="F131" s="58">
        <f>D131/3500</f>
        <v>1.0571428571428572E-2</v>
      </c>
      <c r="G131" s="58"/>
      <c r="K131" s="58"/>
    </row>
    <row r="132" spans="2:11" x14ac:dyDescent="0.15">
      <c r="B132" t="s">
        <v>1092</v>
      </c>
      <c r="C132" t="s">
        <v>1093</v>
      </c>
      <c r="D132" s="58">
        <v>16</v>
      </c>
      <c r="E132" t="s">
        <v>1001</v>
      </c>
      <c r="F132" s="58">
        <f>D132/1000</f>
        <v>1.6E-2</v>
      </c>
      <c r="G132" s="58"/>
      <c r="K132" s="58"/>
    </row>
    <row r="133" spans="2:11" x14ac:dyDescent="0.15">
      <c r="B133" t="s">
        <v>1094</v>
      </c>
      <c r="C133" t="s">
        <v>1095</v>
      </c>
      <c r="D133" s="58">
        <v>4</v>
      </c>
      <c r="E133" t="s">
        <v>996</v>
      </c>
      <c r="F133" s="58">
        <f>D133/400</f>
        <v>0.01</v>
      </c>
      <c r="G133" s="58"/>
      <c r="K133" s="58"/>
    </row>
    <row r="134" spans="2:11" x14ac:dyDescent="0.15">
      <c r="B134" t="s">
        <v>1096</v>
      </c>
      <c r="C134" t="s">
        <v>1049</v>
      </c>
      <c r="D134" s="58">
        <v>88.8</v>
      </c>
      <c r="E134" t="s">
        <v>996</v>
      </c>
      <c r="F134" s="58">
        <f>D134/1000</f>
        <v>8.8800000000000004E-2</v>
      </c>
      <c r="G134" s="58"/>
      <c r="K134" s="58"/>
    </row>
    <row r="135" spans="2:11" x14ac:dyDescent="0.15">
      <c r="B135" t="s">
        <v>1097</v>
      </c>
      <c r="C135" t="s">
        <v>1049</v>
      </c>
      <c r="D135" s="58">
        <v>3.5</v>
      </c>
      <c r="E135" t="s">
        <v>996</v>
      </c>
      <c r="F135" s="58">
        <f>D135/50</f>
        <v>7.0000000000000007E-2</v>
      </c>
      <c r="G135" s="58"/>
      <c r="K135" s="58"/>
    </row>
    <row r="136" spans="2:11" x14ac:dyDescent="0.15">
      <c r="B136" t="s">
        <v>1098</v>
      </c>
      <c r="C136" t="s">
        <v>1099</v>
      </c>
      <c r="D136" s="58">
        <v>4.3</v>
      </c>
      <c r="E136" t="s">
        <v>996</v>
      </c>
      <c r="F136" s="58">
        <f>D136/50</f>
        <v>8.5999999999999993E-2</v>
      </c>
      <c r="G136" s="58"/>
      <c r="K136" s="58"/>
    </row>
    <row r="137" spans="2:11" x14ac:dyDescent="0.15">
      <c r="B137" t="s">
        <v>1083</v>
      </c>
      <c r="C137" t="s">
        <v>1049</v>
      </c>
      <c r="D137" s="58">
        <v>18</v>
      </c>
      <c r="E137" t="s">
        <v>996</v>
      </c>
      <c r="F137" s="58">
        <f>D137/1000</f>
        <v>1.7999999999999999E-2</v>
      </c>
      <c r="G137" s="58"/>
      <c r="K137" s="58"/>
    </row>
    <row r="138" spans="2:11" x14ac:dyDescent="0.15">
      <c r="B138" t="s">
        <v>1100</v>
      </c>
      <c r="C138" t="s">
        <v>988</v>
      </c>
      <c r="D138" s="58">
        <f>99.5/24</f>
        <v>4.145833333333333</v>
      </c>
      <c r="E138" t="s">
        <v>996</v>
      </c>
      <c r="F138" s="58">
        <f>D138/300</f>
        <v>1.3819444444444443E-2</v>
      </c>
      <c r="G138" s="58"/>
      <c r="K138" s="58"/>
    </row>
    <row r="139" spans="2:11" x14ac:dyDescent="0.15">
      <c r="B139" t="s">
        <v>1101</v>
      </c>
      <c r="C139" t="s">
        <v>988</v>
      </c>
      <c r="D139" s="58">
        <f>86/24</f>
        <v>3.5833333333333335</v>
      </c>
      <c r="E139" t="s">
        <v>996</v>
      </c>
      <c r="F139" s="58">
        <f>D139/300</f>
        <v>1.1944444444444445E-2</v>
      </c>
      <c r="G139" s="58"/>
      <c r="K139" s="58"/>
    </row>
    <row r="140" spans="2:11" x14ac:dyDescent="0.15">
      <c r="B140" t="s">
        <v>1102</v>
      </c>
      <c r="C140" t="s">
        <v>1103</v>
      </c>
      <c r="D140" s="58">
        <v>1.5</v>
      </c>
      <c r="E140" t="s">
        <v>989</v>
      </c>
      <c r="F140" s="58">
        <f>D140/1</f>
        <v>1.5</v>
      </c>
      <c r="G140" s="58"/>
      <c r="K140" s="58"/>
    </row>
    <row r="141" spans="2:11" x14ac:dyDescent="0.15">
      <c r="B141" t="s">
        <v>1104</v>
      </c>
      <c r="C141" t="s">
        <v>1103</v>
      </c>
      <c r="D141" s="58">
        <v>1.5</v>
      </c>
      <c r="E141" t="s">
        <v>989</v>
      </c>
      <c r="F141" s="58">
        <f>D141/1</f>
        <v>1.5</v>
      </c>
      <c r="G141" s="58"/>
      <c r="K141" s="58"/>
    </row>
    <row r="142" spans="2:11" x14ac:dyDescent="0.15">
      <c r="B142" s="54" t="s">
        <v>1069</v>
      </c>
      <c r="C142" s="54" t="s">
        <v>605</v>
      </c>
      <c r="D142" s="58">
        <v>4.3</v>
      </c>
      <c r="E142" s="54" t="s">
        <v>996</v>
      </c>
      <c r="F142" s="58">
        <f>D142/1000</f>
        <v>4.3E-3</v>
      </c>
      <c r="G142" s="58"/>
      <c r="K142" s="58"/>
    </row>
    <row r="143" spans="2:11" x14ac:dyDescent="0.15">
      <c r="B143" s="54" t="s">
        <v>1657</v>
      </c>
      <c r="C143" s="54" t="s">
        <v>1658</v>
      </c>
      <c r="D143" s="58">
        <v>4.2</v>
      </c>
      <c r="E143" s="54" t="s">
        <v>1080</v>
      </c>
      <c r="F143" s="58">
        <f>D143/200</f>
        <v>2.1000000000000001E-2</v>
      </c>
      <c r="G143" s="58"/>
      <c r="K143" s="58"/>
    </row>
    <row r="144" spans="2:11" x14ac:dyDescent="0.15">
      <c r="B144" s="54" t="s">
        <v>1705</v>
      </c>
      <c r="C144" s="54" t="s">
        <v>995</v>
      </c>
      <c r="D144" s="58">
        <v>28</v>
      </c>
      <c r="E144" s="54" t="s">
        <v>996</v>
      </c>
      <c r="F144" s="58">
        <f>D144/1000</f>
        <v>2.8000000000000001E-2</v>
      </c>
      <c r="G144" s="58"/>
      <c r="K144" s="58"/>
    </row>
    <row r="145" spans="2:11" x14ac:dyDescent="0.15">
      <c r="B145" s="54" t="s">
        <v>1710</v>
      </c>
      <c r="C145" s="54" t="s">
        <v>1711</v>
      </c>
      <c r="D145" s="58">
        <v>9.8000000000000007</v>
      </c>
      <c r="F145" s="58">
        <f>D145/500</f>
        <v>1.9600000000000003E-2</v>
      </c>
      <c r="G145" s="58"/>
      <c r="K145" s="58"/>
    </row>
    <row r="146" spans="2:11" x14ac:dyDescent="0.15">
      <c r="D146" s="58"/>
      <c r="F146" s="58"/>
      <c r="G146" s="58"/>
      <c r="K146" s="58"/>
    </row>
    <row r="147" spans="2:11" x14ac:dyDescent="0.15">
      <c r="D147" s="58"/>
      <c r="F147" s="58"/>
      <c r="G147" s="58"/>
      <c r="K147" s="58"/>
    </row>
    <row r="148" spans="2:11" ht="20" x14ac:dyDescent="0.2">
      <c r="B148" s="181" t="s">
        <v>1105</v>
      </c>
      <c r="C148" s="181"/>
      <c r="D148" s="181"/>
      <c r="E148" s="181"/>
      <c r="F148" s="181"/>
      <c r="G148" s="161"/>
      <c r="H148" s="165"/>
      <c r="I148" s="165"/>
      <c r="J148" s="165"/>
      <c r="K148" s="161"/>
    </row>
    <row r="149" spans="2:11" x14ac:dyDescent="0.15">
      <c r="B149" t="s">
        <v>1106</v>
      </c>
      <c r="C149" t="s">
        <v>1103</v>
      </c>
      <c r="D149" s="58">
        <v>7.5</v>
      </c>
      <c r="E149" t="s">
        <v>1103</v>
      </c>
      <c r="F149" s="58">
        <v>7.5</v>
      </c>
      <c r="G149" s="58"/>
      <c r="K149" s="58"/>
    </row>
    <row r="150" spans="2:11" x14ac:dyDescent="0.15">
      <c r="B150" t="s">
        <v>1107</v>
      </c>
      <c r="C150" t="s">
        <v>1103</v>
      </c>
      <c r="D150" s="58">
        <v>7.5</v>
      </c>
      <c r="E150" t="s">
        <v>1103</v>
      </c>
      <c r="F150" s="58">
        <v>7.5</v>
      </c>
      <c r="G150" s="58"/>
      <c r="K150" s="58"/>
    </row>
    <row r="151" spans="2:11" x14ac:dyDescent="0.15">
      <c r="B151" t="s">
        <v>1108</v>
      </c>
      <c r="C151" t="s">
        <v>1103</v>
      </c>
      <c r="D151" s="58">
        <v>7.5</v>
      </c>
      <c r="E151" t="s">
        <v>1103</v>
      </c>
      <c r="F151" s="58">
        <v>7.5</v>
      </c>
      <c r="G151" s="58"/>
      <c r="K151" s="58"/>
    </row>
    <row r="152" spans="2:11" x14ac:dyDescent="0.15">
      <c r="B152" t="s">
        <v>1109</v>
      </c>
      <c r="C152" t="s">
        <v>1103</v>
      </c>
      <c r="D152" s="58">
        <v>7.5</v>
      </c>
      <c r="E152" t="s">
        <v>1103</v>
      </c>
      <c r="F152" s="58">
        <v>7.5</v>
      </c>
      <c r="G152" s="58"/>
      <c r="K152" s="58"/>
    </row>
    <row r="153" spans="2:11" x14ac:dyDescent="0.15">
      <c r="D153" s="58"/>
      <c r="F153" s="58"/>
      <c r="G153" s="58"/>
      <c r="K153" s="58"/>
    </row>
    <row r="157" spans="2:11" ht="20" x14ac:dyDescent="0.2">
      <c r="B157" s="182" t="s">
        <v>1294</v>
      </c>
      <c r="C157" s="182"/>
      <c r="D157" s="182"/>
      <c r="E157" s="182"/>
      <c r="F157" s="182"/>
      <c r="G157" s="163"/>
      <c r="H157" s="165"/>
      <c r="I157" s="165"/>
      <c r="J157" s="165"/>
      <c r="K157" s="163"/>
    </row>
    <row r="158" spans="2:11" x14ac:dyDescent="0.15">
      <c r="B158" s="54" t="s">
        <v>1121</v>
      </c>
      <c r="C158" s="54" t="s">
        <v>1087</v>
      </c>
      <c r="D158" s="58">
        <v>60</v>
      </c>
      <c r="E158" s="54" t="s">
        <v>1129</v>
      </c>
      <c r="F158" s="58">
        <f>D158/1000</f>
        <v>0.06</v>
      </c>
      <c r="G158" s="58"/>
      <c r="K158" s="58"/>
    </row>
    <row r="159" spans="2:11" x14ac:dyDescent="0.15">
      <c r="B159" s="54" t="s">
        <v>1120</v>
      </c>
      <c r="C159" s="54" t="s">
        <v>1087</v>
      </c>
      <c r="D159" s="58">
        <v>60</v>
      </c>
      <c r="E159" s="54" t="s">
        <v>1129</v>
      </c>
      <c r="F159" s="58">
        <f>D159/500</f>
        <v>0.12</v>
      </c>
      <c r="G159" s="58"/>
      <c r="K159" s="58"/>
    </row>
    <row r="160" spans="2:11" x14ac:dyDescent="0.15">
      <c r="B160" s="54" t="s">
        <v>1320</v>
      </c>
      <c r="C160" s="54" t="s">
        <v>1080</v>
      </c>
      <c r="D160" s="58">
        <v>57</v>
      </c>
      <c r="E160" s="54" t="s">
        <v>1129</v>
      </c>
      <c r="F160" s="58">
        <f>D160/1000</f>
        <v>5.7000000000000002E-2</v>
      </c>
      <c r="G160" s="58"/>
      <c r="K160" s="58"/>
    </row>
    <row r="162" spans="2:11" ht="20" x14ac:dyDescent="0.2">
      <c r="B162" s="181" t="s">
        <v>1110</v>
      </c>
      <c r="C162" s="181"/>
      <c r="D162" s="181"/>
      <c r="E162" s="181"/>
      <c r="F162" s="181"/>
      <c r="G162" s="161"/>
      <c r="H162" s="165"/>
      <c r="I162" s="165"/>
      <c r="J162" s="165"/>
      <c r="K162" s="161"/>
    </row>
    <row r="163" spans="2:11" x14ac:dyDescent="0.15">
      <c r="B163" t="s">
        <v>1111</v>
      </c>
      <c r="C163" t="s">
        <v>1067</v>
      </c>
      <c r="D163" s="58">
        <v>50.8</v>
      </c>
      <c r="F163" s="58">
        <f>D163/1000</f>
        <v>5.0799999999999998E-2</v>
      </c>
      <c r="G163" s="58"/>
      <c r="K163" s="58"/>
    </row>
    <row r="164" spans="2:11" x14ac:dyDescent="0.15">
      <c r="B164" t="s">
        <v>1112</v>
      </c>
      <c r="C164" t="s">
        <v>1067</v>
      </c>
      <c r="D164" s="58">
        <v>4.8</v>
      </c>
      <c r="F164" s="58">
        <f>D164/1000</f>
        <v>4.7999999999999996E-3</v>
      </c>
      <c r="G164" s="58"/>
      <c r="K164" s="58"/>
    </row>
    <row r="165" spans="2:11" x14ac:dyDescent="0.15">
      <c r="B165" t="s">
        <v>1113</v>
      </c>
      <c r="C165" t="s">
        <v>1067</v>
      </c>
      <c r="D165" s="58">
        <v>32</v>
      </c>
      <c r="F165" s="58">
        <f>D165/500</f>
        <v>6.4000000000000001E-2</v>
      </c>
      <c r="G165" s="58"/>
      <c r="K165" s="58"/>
    </row>
    <row r="166" spans="2:11" x14ac:dyDescent="0.15">
      <c r="B166" t="s">
        <v>1114</v>
      </c>
      <c r="C166" t="s">
        <v>995</v>
      </c>
      <c r="D166" s="58">
        <v>7.2</v>
      </c>
      <c r="E166" t="s">
        <v>996</v>
      </c>
      <c r="F166" s="58">
        <f>D166/1000</f>
        <v>7.1999999999999998E-3</v>
      </c>
      <c r="G166" s="58"/>
      <c r="K166" s="58"/>
    </row>
    <row r="168" spans="2:11" ht="20" x14ac:dyDescent="0.2">
      <c r="B168" s="181" t="s">
        <v>1115</v>
      </c>
      <c r="C168" s="181"/>
      <c r="D168" s="181"/>
      <c r="E168" s="181"/>
      <c r="F168" s="181"/>
      <c r="G168" s="161"/>
      <c r="H168" s="165"/>
      <c r="I168" s="165"/>
      <c r="J168" s="165"/>
      <c r="K168" s="161"/>
    </row>
    <row r="169" spans="2:11" x14ac:dyDescent="0.15">
      <c r="B169" t="s">
        <v>1116</v>
      </c>
      <c r="C169" t="s">
        <v>1067</v>
      </c>
      <c r="D169" s="58">
        <v>70</v>
      </c>
      <c r="F169" s="58">
        <f>D169/1000</f>
        <v>7.0000000000000007E-2</v>
      </c>
      <c r="G169" s="58"/>
      <c r="K169" s="58"/>
    </row>
    <row r="170" spans="2:11" x14ac:dyDescent="0.15">
      <c r="B170" t="s">
        <v>1117</v>
      </c>
      <c r="C170" t="s">
        <v>183</v>
      </c>
      <c r="D170" s="58">
        <v>125</v>
      </c>
      <c r="F170" s="58">
        <f>D170/1000</f>
        <v>0.125</v>
      </c>
      <c r="G170" s="58"/>
      <c r="K170" s="58"/>
    </row>
    <row r="171" spans="2:11" x14ac:dyDescent="0.15">
      <c r="D171" s="58">
        <v>0</v>
      </c>
      <c r="F171" s="58">
        <v>0</v>
      </c>
      <c r="G171" s="58"/>
      <c r="K171" s="58"/>
    </row>
    <row r="172" spans="2:11" x14ac:dyDescent="0.15">
      <c r="D172" s="58">
        <v>0</v>
      </c>
      <c r="F172" s="58">
        <v>0</v>
      </c>
      <c r="G172" s="58"/>
      <c r="K172" s="58"/>
    </row>
    <row r="173" spans="2:11" x14ac:dyDescent="0.15">
      <c r="F173" s="58">
        <v>0</v>
      </c>
      <c r="G173" s="58"/>
      <c r="K173" s="58"/>
    </row>
    <row r="178" spans="2:11" ht="20" x14ac:dyDescent="0.2">
      <c r="B178" s="181" t="s">
        <v>1118</v>
      </c>
      <c r="C178" s="181"/>
      <c r="D178" s="181"/>
      <c r="E178" s="181"/>
      <c r="F178" s="181"/>
      <c r="G178" s="161"/>
      <c r="H178" s="165"/>
      <c r="I178" s="165"/>
      <c r="J178" s="165"/>
      <c r="K178" s="161"/>
    </row>
    <row r="179" spans="2:11" x14ac:dyDescent="0.15">
      <c r="B179" t="s">
        <v>1119</v>
      </c>
      <c r="C179" t="s">
        <v>1067</v>
      </c>
      <c r="D179" s="58">
        <v>4.8</v>
      </c>
      <c r="E179" t="s">
        <v>996</v>
      </c>
      <c r="F179" s="58">
        <f>D179/1000</f>
        <v>4.7999999999999996E-3</v>
      </c>
      <c r="G179" s="58"/>
      <c r="K179" s="58"/>
    </row>
    <row r="184" spans="2:11" ht="20" x14ac:dyDescent="0.2">
      <c r="B184" s="181" t="s">
        <v>1328</v>
      </c>
      <c r="C184" s="181"/>
      <c r="D184" s="181"/>
      <c r="E184" s="181"/>
      <c r="F184" s="181"/>
      <c r="G184" s="161"/>
      <c r="H184" s="165"/>
      <c r="I184" s="165"/>
      <c r="J184" s="165"/>
      <c r="K184" s="161"/>
    </row>
    <row r="185" spans="2:11" x14ac:dyDescent="0.15">
      <c r="B185" s="54" t="s">
        <v>1327</v>
      </c>
      <c r="C185" s="54" t="s">
        <v>1329</v>
      </c>
      <c r="D185" s="58">
        <v>20</v>
      </c>
      <c r="F185" s="58">
        <f>D185/50</f>
        <v>0.4</v>
      </c>
      <c r="G185" s="58"/>
      <c r="K185" s="58"/>
    </row>
    <row r="186" spans="2:11" x14ac:dyDescent="0.15">
      <c r="B186" s="54" t="s">
        <v>1365</v>
      </c>
      <c r="C186" s="54"/>
      <c r="D186" s="58"/>
      <c r="F186" s="58"/>
      <c r="G186" s="58"/>
      <c r="K186" s="58"/>
    </row>
    <row r="187" spans="2:11" x14ac:dyDescent="0.15">
      <c r="B187" s="54" t="s">
        <v>1420</v>
      </c>
      <c r="C187" s="54" t="s">
        <v>1419</v>
      </c>
      <c r="D187">
        <v>5.3</v>
      </c>
      <c r="F187">
        <f>D187/50</f>
        <v>0.106</v>
      </c>
    </row>
    <row r="189" spans="2:11" ht="20" x14ac:dyDescent="0.2">
      <c r="B189" s="181" t="s">
        <v>1333</v>
      </c>
      <c r="C189" s="181"/>
      <c r="D189" s="181"/>
      <c r="E189" s="181"/>
      <c r="F189" s="181"/>
      <c r="G189" s="161"/>
      <c r="H189" s="165"/>
      <c r="I189" s="165"/>
      <c r="J189" s="165"/>
      <c r="K189" s="161"/>
    </row>
    <row r="190" spans="2:11" x14ac:dyDescent="0.15">
      <c r="B190" s="54" t="s">
        <v>1332</v>
      </c>
      <c r="C190" s="54" t="s">
        <v>1331</v>
      </c>
      <c r="D190" s="58">
        <v>220</v>
      </c>
      <c r="F190" s="58">
        <f>D190/500</f>
        <v>0.44</v>
      </c>
      <c r="G190" s="58"/>
      <c r="K190" s="58"/>
    </row>
    <row r="194" spans="2:11" ht="20" x14ac:dyDescent="0.2">
      <c r="B194" s="181" t="s">
        <v>1366</v>
      </c>
      <c r="C194" s="181"/>
      <c r="D194" s="181"/>
      <c r="E194" s="181"/>
      <c r="F194" s="181"/>
      <c r="G194" s="161"/>
      <c r="H194" s="165"/>
      <c r="I194" s="165"/>
      <c r="J194" s="165"/>
      <c r="K194" s="161"/>
    </row>
    <row r="195" spans="2:11" x14ac:dyDescent="0.15">
      <c r="B195" s="54" t="s">
        <v>1367</v>
      </c>
      <c r="C195" s="54" t="s">
        <v>1080</v>
      </c>
      <c r="D195" s="58">
        <v>50</v>
      </c>
      <c r="F195" s="58">
        <f>D195/500</f>
        <v>0.1</v>
      </c>
      <c r="G195" s="58"/>
      <c r="K195" s="58"/>
    </row>
    <row r="196" spans="2:11" x14ac:dyDescent="0.15">
      <c r="B196" s="54" t="s">
        <v>1308</v>
      </c>
      <c r="C196" s="54" t="s">
        <v>995</v>
      </c>
      <c r="D196" s="58">
        <v>30</v>
      </c>
      <c r="F196" s="58">
        <f>D196/1000</f>
        <v>0.03</v>
      </c>
      <c r="G196" s="58"/>
      <c r="K196" s="58"/>
    </row>
    <row r="197" spans="2:11" x14ac:dyDescent="0.15">
      <c r="B197" s="54" t="s">
        <v>1421</v>
      </c>
      <c r="C197" s="54" t="s">
        <v>1067</v>
      </c>
      <c r="D197" s="58">
        <v>18</v>
      </c>
      <c r="F197" s="58">
        <f>D197/1000</f>
        <v>1.7999999999999999E-2</v>
      </c>
      <c r="G197" s="58"/>
      <c r="K197" s="58"/>
    </row>
    <row r="198" spans="2:11" x14ac:dyDescent="0.15">
      <c r="B198" s="54" t="s">
        <v>1441</v>
      </c>
      <c r="C198" s="54" t="s">
        <v>472</v>
      </c>
      <c r="D198" s="58">
        <v>21</v>
      </c>
      <c r="F198" s="58">
        <f t="shared" ref="F198:F203" si="8">D198/740</f>
        <v>2.837837837837838E-2</v>
      </c>
      <c r="G198" s="58"/>
      <c r="K198" s="58"/>
    </row>
    <row r="199" spans="2:11" x14ac:dyDescent="0.15">
      <c r="B199" s="54" t="s">
        <v>1442</v>
      </c>
      <c r="C199" s="54" t="s">
        <v>472</v>
      </c>
      <c r="D199" s="58">
        <v>21</v>
      </c>
      <c r="F199" s="58">
        <f t="shared" si="8"/>
        <v>2.837837837837838E-2</v>
      </c>
      <c r="G199" s="58"/>
      <c r="K199" s="58"/>
    </row>
    <row r="200" spans="2:11" x14ac:dyDescent="0.15">
      <c r="B200" s="54" t="s">
        <v>1443</v>
      </c>
      <c r="C200" s="54" t="s">
        <v>472</v>
      </c>
      <c r="D200" s="58">
        <v>21</v>
      </c>
      <c r="F200" s="58">
        <f t="shared" si="8"/>
        <v>2.837837837837838E-2</v>
      </c>
      <c r="G200" s="58"/>
      <c r="K200" s="58"/>
    </row>
    <row r="201" spans="2:11" x14ac:dyDescent="0.15">
      <c r="B201" s="54" t="s">
        <v>1444</v>
      </c>
      <c r="C201" s="54" t="s">
        <v>472</v>
      </c>
      <c r="D201" s="58">
        <v>21</v>
      </c>
      <c r="F201" s="58">
        <f t="shared" si="8"/>
        <v>2.837837837837838E-2</v>
      </c>
      <c r="G201" s="58"/>
      <c r="K201" s="58"/>
    </row>
    <row r="202" spans="2:11" x14ac:dyDescent="0.15">
      <c r="B202" s="54" t="s">
        <v>1445</v>
      </c>
      <c r="C202" s="54" t="s">
        <v>472</v>
      </c>
      <c r="D202" s="58">
        <v>21</v>
      </c>
      <c r="F202" s="58">
        <f t="shared" si="8"/>
        <v>2.837837837837838E-2</v>
      </c>
      <c r="G202" s="58"/>
      <c r="K202" s="58"/>
    </row>
    <row r="203" spans="2:11" x14ac:dyDescent="0.15">
      <c r="B203" s="54" t="s">
        <v>1446</v>
      </c>
      <c r="C203" s="54" t="s">
        <v>472</v>
      </c>
      <c r="D203" s="58">
        <v>21</v>
      </c>
      <c r="F203" s="58">
        <f t="shared" si="8"/>
        <v>2.837837837837838E-2</v>
      </c>
      <c r="G203" s="58"/>
      <c r="K203" s="58"/>
    </row>
    <row r="204" spans="2:11" ht="20" x14ac:dyDescent="0.2">
      <c r="B204" s="181" t="s">
        <v>1372</v>
      </c>
      <c r="C204" s="181"/>
      <c r="D204" s="181"/>
      <c r="E204" s="181"/>
      <c r="F204" s="181"/>
      <c r="G204" s="161"/>
      <c r="H204" s="165"/>
      <c r="I204" s="165"/>
      <c r="J204" s="165"/>
      <c r="K204" s="161"/>
    </row>
    <row r="205" spans="2:11" x14ac:dyDescent="0.15">
      <c r="B205" s="54" t="s">
        <v>1472</v>
      </c>
      <c r="C205" s="54" t="s">
        <v>988</v>
      </c>
      <c r="D205" s="58">
        <v>130</v>
      </c>
      <c r="F205" s="58">
        <f>D205/500</f>
        <v>0.26</v>
      </c>
      <c r="G205" s="58"/>
      <c r="K205" s="58"/>
    </row>
    <row r="206" spans="2:11" x14ac:dyDescent="0.15">
      <c r="B206" s="54" t="s">
        <v>1473</v>
      </c>
      <c r="C206" s="54" t="s">
        <v>988</v>
      </c>
    </row>
    <row r="207" spans="2:11" x14ac:dyDescent="0.15">
      <c r="B207" s="54" t="s">
        <v>1373</v>
      </c>
      <c r="C207" s="54" t="s">
        <v>988</v>
      </c>
      <c r="D207" s="58">
        <v>190</v>
      </c>
      <c r="F207" s="58">
        <f>D207/500</f>
        <v>0.38</v>
      </c>
      <c r="G207" s="58"/>
      <c r="K207" s="58"/>
    </row>
    <row r="208" spans="2:11" x14ac:dyDescent="0.15">
      <c r="B208" s="54" t="s">
        <v>1474</v>
      </c>
      <c r="C208" s="54" t="s">
        <v>988</v>
      </c>
      <c r="D208" s="58">
        <v>250</v>
      </c>
      <c r="F208" s="58">
        <f>D208/1000</f>
        <v>0.25</v>
      </c>
      <c r="G208" s="58"/>
      <c r="K208" s="58"/>
    </row>
    <row r="209" spans="2:13" x14ac:dyDescent="0.15">
      <c r="B209" s="54" t="s">
        <v>1475</v>
      </c>
      <c r="C209" s="54" t="s">
        <v>988</v>
      </c>
      <c r="D209" s="58">
        <v>130</v>
      </c>
      <c r="F209" s="58">
        <f>D209/5000</f>
        <v>2.5999999999999999E-2</v>
      </c>
      <c r="G209" s="58"/>
      <c r="K209" s="58"/>
    </row>
    <row r="210" spans="2:13" x14ac:dyDescent="0.15">
      <c r="B210" s="54" t="s">
        <v>1476</v>
      </c>
      <c r="C210" s="54" t="s">
        <v>988</v>
      </c>
      <c r="D210" s="58">
        <v>110</v>
      </c>
      <c r="F210" s="58">
        <f>D210/2000</f>
        <v>5.5E-2</v>
      </c>
      <c r="G210" s="58"/>
      <c r="K210" s="58"/>
    </row>
    <row r="211" spans="2:13" x14ac:dyDescent="0.15">
      <c r="B211" s="54" t="s">
        <v>1538</v>
      </c>
      <c r="C211" s="54" t="s">
        <v>988</v>
      </c>
      <c r="D211" s="58">
        <f>3.8*40</f>
        <v>152</v>
      </c>
      <c r="F211" s="58">
        <f>D211/2000</f>
        <v>7.5999999999999998E-2</v>
      </c>
      <c r="G211" s="58"/>
      <c r="K211" s="58"/>
      <c r="M211" s="54"/>
    </row>
    <row r="213" spans="2:13" ht="20" x14ac:dyDescent="0.2">
      <c r="B213" s="181" t="s">
        <v>1391</v>
      </c>
      <c r="C213" s="181"/>
      <c r="D213" s="181"/>
      <c r="E213" s="181"/>
      <c r="F213" s="181"/>
      <c r="G213" s="161"/>
      <c r="H213" s="165"/>
      <c r="I213" s="165"/>
      <c r="J213" s="165"/>
      <c r="K213" s="161"/>
    </row>
    <row r="214" spans="2:13" x14ac:dyDescent="0.15">
      <c r="B214" s="54" t="s">
        <v>1392</v>
      </c>
      <c r="C214" s="54" t="s">
        <v>1393</v>
      </c>
      <c r="D214" s="58">
        <v>24</v>
      </c>
      <c r="F214" s="58">
        <f>D214/1000</f>
        <v>2.4E-2</v>
      </c>
      <c r="G214" s="58"/>
      <c r="K214" s="58"/>
    </row>
    <row r="215" spans="2:13" x14ac:dyDescent="0.15">
      <c r="B215" s="54" t="s">
        <v>1394</v>
      </c>
      <c r="C215" s="54" t="s">
        <v>1067</v>
      </c>
      <c r="D215" s="58">
        <v>24</v>
      </c>
      <c r="F215" s="58">
        <f>D215/1000</f>
        <v>2.4E-2</v>
      </c>
      <c r="G215" s="58"/>
      <c r="K215" s="58"/>
    </row>
    <row r="216" spans="2:13" x14ac:dyDescent="0.15">
      <c r="B216" s="54" t="s">
        <v>1395</v>
      </c>
      <c r="C216" s="54" t="s">
        <v>995</v>
      </c>
      <c r="D216" s="58">
        <v>24</v>
      </c>
      <c r="F216" s="58">
        <f t="shared" ref="F216:F217" si="9">D216/1000</f>
        <v>2.4E-2</v>
      </c>
      <c r="G216" s="58"/>
      <c r="K216" s="58"/>
    </row>
    <row r="217" spans="2:13" x14ac:dyDescent="0.15">
      <c r="B217" s="54" t="s">
        <v>1396</v>
      </c>
      <c r="C217" s="54" t="s">
        <v>1067</v>
      </c>
      <c r="D217" s="58">
        <v>24</v>
      </c>
      <c r="F217" s="58">
        <f t="shared" si="9"/>
        <v>2.4E-2</v>
      </c>
      <c r="G217" s="58"/>
      <c r="K217" s="58"/>
    </row>
    <row r="218" spans="2:13" x14ac:dyDescent="0.15">
      <c r="B218" s="54" t="s">
        <v>1400</v>
      </c>
      <c r="C218" s="54" t="s">
        <v>995</v>
      </c>
      <c r="D218" s="58">
        <v>24</v>
      </c>
      <c r="F218" s="58">
        <f>D218/1000</f>
        <v>2.4E-2</v>
      </c>
      <c r="G218" s="58"/>
      <c r="K218" s="58"/>
    </row>
    <row r="222" spans="2:13" ht="20" x14ac:dyDescent="0.2">
      <c r="B222" s="181" t="s">
        <v>1485</v>
      </c>
      <c r="C222" s="181"/>
      <c r="D222" s="181"/>
      <c r="E222" s="181"/>
      <c r="F222" s="181"/>
      <c r="G222" s="161"/>
      <c r="H222" s="165"/>
      <c r="I222" s="165"/>
      <c r="J222" s="165"/>
      <c r="K222" s="161"/>
    </row>
    <row r="223" spans="2:13" x14ac:dyDescent="0.15">
      <c r="B223" s="54" t="s">
        <v>1478</v>
      </c>
      <c r="C223" s="54" t="s">
        <v>183</v>
      </c>
      <c r="D223" s="58">
        <v>5.9</v>
      </c>
      <c r="F223" s="58"/>
      <c r="G223" s="58"/>
      <c r="H223" s="101" t="s">
        <v>1727</v>
      </c>
      <c r="I223" s="101" t="s">
        <v>1728</v>
      </c>
      <c r="J223" s="101" t="s">
        <v>1729</v>
      </c>
      <c r="K223" s="58"/>
    </row>
    <row r="224" spans="2:13" x14ac:dyDescent="0.15">
      <c r="B224" s="54" t="s">
        <v>1522</v>
      </c>
      <c r="C224" s="54" t="s">
        <v>183</v>
      </c>
      <c r="D224" s="58">
        <v>5.5</v>
      </c>
      <c r="F224" s="58"/>
      <c r="G224" s="58"/>
      <c r="H224" s="101" t="s">
        <v>1727</v>
      </c>
      <c r="I224" s="101" t="s">
        <v>1728</v>
      </c>
      <c r="J224" s="101" t="s">
        <v>1729</v>
      </c>
      <c r="K224" s="58"/>
    </row>
    <row r="225" spans="2:11" x14ac:dyDescent="0.15">
      <c r="B225" t="s">
        <v>1479</v>
      </c>
      <c r="C225" t="s">
        <v>183</v>
      </c>
      <c r="D225" s="58">
        <v>36.5</v>
      </c>
      <c r="H225" s="101" t="s">
        <v>1727</v>
      </c>
      <c r="I225" s="101" t="s">
        <v>1728</v>
      </c>
      <c r="J225" s="101" t="s">
        <v>1727</v>
      </c>
    </row>
    <row r="226" spans="2:11" x14ac:dyDescent="0.15">
      <c r="B226" t="s">
        <v>1480</v>
      </c>
      <c r="C226" s="54" t="s">
        <v>183</v>
      </c>
      <c r="D226" s="58">
        <v>39.9</v>
      </c>
      <c r="H226" s="101" t="s">
        <v>1724</v>
      </c>
      <c r="I226" s="101" t="s">
        <v>1726</v>
      </c>
      <c r="J226" s="101" t="s">
        <v>1726</v>
      </c>
    </row>
    <row r="227" spans="2:11" x14ac:dyDescent="0.15">
      <c r="B227" s="54" t="s">
        <v>1566</v>
      </c>
      <c r="C227" s="54" t="s">
        <v>183</v>
      </c>
      <c r="D227" s="58">
        <v>35.9</v>
      </c>
      <c r="H227" s="101" t="s">
        <v>1725</v>
      </c>
      <c r="I227" s="101" t="s">
        <v>1726</v>
      </c>
      <c r="J227" s="101" t="s">
        <v>1726</v>
      </c>
    </row>
    <row r="228" spans="2:11" x14ac:dyDescent="0.15">
      <c r="B228" t="s">
        <v>1487</v>
      </c>
      <c r="C228" s="54" t="s">
        <v>183</v>
      </c>
      <c r="D228" s="58">
        <v>9.9</v>
      </c>
      <c r="H228" s="101" t="s">
        <v>1725</v>
      </c>
      <c r="I228" s="101" t="s">
        <v>1726</v>
      </c>
      <c r="J228" s="101" t="s">
        <v>1726</v>
      </c>
    </row>
    <row r="229" spans="2:11" x14ac:dyDescent="0.15">
      <c r="B229" s="54" t="s">
        <v>1488</v>
      </c>
      <c r="C229" s="54" t="s">
        <v>183</v>
      </c>
      <c r="D229" s="58">
        <v>24.9</v>
      </c>
      <c r="H229" s="101" t="s">
        <v>1725</v>
      </c>
      <c r="I229" s="101" t="s">
        <v>1726</v>
      </c>
      <c r="J229" s="101" t="s">
        <v>1726</v>
      </c>
    </row>
    <row r="230" spans="2:11" x14ac:dyDescent="0.15">
      <c r="B230" t="s">
        <v>1483</v>
      </c>
      <c r="C230" s="54" t="s">
        <v>183</v>
      </c>
      <c r="D230" s="58">
        <f>25.9/0.5</f>
        <v>51.8</v>
      </c>
      <c r="H230" s="101" t="s">
        <v>1726</v>
      </c>
      <c r="I230" s="101" t="s">
        <v>1730</v>
      </c>
      <c r="J230" s="101" t="s">
        <v>1730</v>
      </c>
    </row>
    <row r="231" spans="2:11" x14ac:dyDescent="0.15">
      <c r="B231" s="54" t="s">
        <v>1491</v>
      </c>
      <c r="C231" s="54" t="s">
        <v>183</v>
      </c>
      <c r="D231" s="58">
        <f>3.9*4</f>
        <v>15.6</v>
      </c>
      <c r="H231" s="101" t="s">
        <v>1725</v>
      </c>
      <c r="I231" s="101" t="s">
        <v>1726</v>
      </c>
      <c r="J231" s="101" t="s">
        <v>1726</v>
      </c>
    </row>
    <row r="232" spans="2:11" x14ac:dyDescent="0.15">
      <c r="B232" s="54" t="s">
        <v>1521</v>
      </c>
      <c r="C232" s="54">
        <v>7.0000000000000007E-2</v>
      </c>
      <c r="D232" s="58">
        <v>25.5</v>
      </c>
      <c r="F232" s="58">
        <f>D232/C232</f>
        <v>364.28571428571428</v>
      </c>
      <c r="G232" s="58"/>
      <c r="H232" s="101" t="s">
        <v>1731</v>
      </c>
      <c r="I232" s="101" t="s">
        <v>1731</v>
      </c>
      <c r="J232" s="101" t="s">
        <v>1732</v>
      </c>
      <c r="K232" s="58"/>
    </row>
    <row r="233" spans="2:11" x14ac:dyDescent="0.15">
      <c r="B233" s="54" t="s">
        <v>1524</v>
      </c>
      <c r="C233" s="54" t="s">
        <v>183</v>
      </c>
      <c r="D233" s="58">
        <v>5.8</v>
      </c>
      <c r="H233" s="101" t="s">
        <v>1724</v>
      </c>
      <c r="I233" s="101" t="s">
        <v>1726</v>
      </c>
      <c r="J233" s="101" t="s">
        <v>1726</v>
      </c>
    </row>
    <row r="234" spans="2:11" x14ac:dyDescent="0.15">
      <c r="B234" s="54" t="s">
        <v>1534</v>
      </c>
      <c r="C234" s="54" t="s">
        <v>183</v>
      </c>
      <c r="D234" s="58">
        <v>4</v>
      </c>
      <c r="H234" s="101" t="s">
        <v>1725</v>
      </c>
      <c r="I234" s="101" t="s">
        <v>1726</v>
      </c>
      <c r="J234" s="101" t="s">
        <v>1726</v>
      </c>
    </row>
    <row r="235" spans="2:11" x14ac:dyDescent="0.15">
      <c r="B235" s="54" t="s">
        <v>1557</v>
      </c>
      <c r="C235" s="54" t="s">
        <v>183</v>
      </c>
      <c r="D235" s="58">
        <v>22.5</v>
      </c>
      <c r="H235" s="101" t="s">
        <v>1724</v>
      </c>
      <c r="I235" s="101" t="s">
        <v>1726</v>
      </c>
      <c r="J235" s="101" t="s">
        <v>1730</v>
      </c>
    </row>
    <row r="236" spans="2:11" x14ac:dyDescent="0.15">
      <c r="B236" s="54" t="s">
        <v>1558</v>
      </c>
      <c r="C236" s="54" t="s">
        <v>183</v>
      </c>
      <c r="D236" s="58">
        <v>24.9</v>
      </c>
      <c r="H236" s="101" t="s">
        <v>1724</v>
      </c>
      <c r="I236" s="101" t="s">
        <v>1726</v>
      </c>
      <c r="J236" s="101" t="s">
        <v>1730</v>
      </c>
    </row>
    <row r="237" spans="2:11" x14ac:dyDescent="0.15">
      <c r="B237" s="54" t="s">
        <v>1559</v>
      </c>
      <c r="C237" s="54" t="s">
        <v>183</v>
      </c>
      <c r="D237" s="58">
        <v>20.5</v>
      </c>
      <c r="H237" s="101" t="s">
        <v>1724</v>
      </c>
      <c r="I237" s="101" t="s">
        <v>1726</v>
      </c>
      <c r="J237" s="101" t="s">
        <v>1730</v>
      </c>
    </row>
    <row r="238" spans="2:11" x14ac:dyDescent="0.15">
      <c r="B238" s="54" t="s">
        <v>1577</v>
      </c>
      <c r="C238" s="54">
        <v>1</v>
      </c>
      <c r="D238" s="58">
        <f>13.9/200</f>
        <v>6.9500000000000006E-2</v>
      </c>
      <c r="H238" s="101" t="s">
        <v>1733</v>
      </c>
      <c r="I238" s="101" t="s">
        <v>1733</v>
      </c>
      <c r="J238" s="101" t="s">
        <v>1734</v>
      </c>
    </row>
    <row r="239" spans="2:11" x14ac:dyDescent="0.15">
      <c r="B239" s="54" t="s">
        <v>1573</v>
      </c>
      <c r="C239" s="54" t="s">
        <v>183</v>
      </c>
      <c r="D239" s="58">
        <v>25.9</v>
      </c>
      <c r="H239" s="101" t="s">
        <v>1725</v>
      </c>
      <c r="I239" s="101" t="s">
        <v>1726</v>
      </c>
      <c r="J239" s="101" t="s">
        <v>1726</v>
      </c>
    </row>
    <row r="240" spans="2:11" x14ac:dyDescent="0.15">
      <c r="B240" s="54" t="s">
        <v>1579</v>
      </c>
      <c r="C240" s="54" t="s">
        <v>183</v>
      </c>
      <c r="D240" s="58">
        <v>6.2</v>
      </c>
      <c r="H240" s="101" t="s">
        <v>1730</v>
      </c>
      <c r="I240" s="101" t="s">
        <v>1735</v>
      </c>
      <c r="J240" s="101" t="s">
        <v>1736</v>
      </c>
    </row>
    <row r="241" spans="2:11" x14ac:dyDescent="0.15">
      <c r="B241" s="54"/>
      <c r="C241" s="54"/>
      <c r="D241" s="58"/>
      <c r="H241" s="101"/>
      <c r="I241" s="101"/>
      <c r="J241" s="101"/>
    </row>
    <row r="242" spans="2:11" x14ac:dyDescent="0.15">
      <c r="B242" s="54" t="s">
        <v>1640</v>
      </c>
      <c r="C242" s="54" t="s">
        <v>183</v>
      </c>
      <c r="D242" s="58">
        <f>11.5*4</f>
        <v>46</v>
      </c>
    </row>
    <row r="243" spans="2:11" x14ac:dyDescent="0.15">
      <c r="B243" s="54" t="s">
        <v>1641</v>
      </c>
      <c r="C243" s="54" t="s">
        <v>183</v>
      </c>
      <c r="D243" s="58">
        <v>10.5</v>
      </c>
    </row>
    <row r="244" spans="2:11" x14ac:dyDescent="0.15">
      <c r="B244" s="54" t="s">
        <v>1642</v>
      </c>
      <c r="C244" s="54" t="s">
        <v>183</v>
      </c>
      <c r="D244" s="58">
        <v>20.8</v>
      </c>
    </row>
    <row r="245" spans="2:11" x14ac:dyDescent="0.15">
      <c r="B245" s="54" t="s">
        <v>1785</v>
      </c>
      <c r="C245" s="54" t="s">
        <v>183</v>
      </c>
      <c r="D245" s="58"/>
      <c r="I245" s="101" t="s">
        <v>1760</v>
      </c>
      <c r="J245" s="101" t="s">
        <v>1726</v>
      </c>
    </row>
    <row r="246" spans="2:11" x14ac:dyDescent="0.15">
      <c r="B246" s="54" t="s">
        <v>1643</v>
      </c>
      <c r="C246" s="54" t="s">
        <v>183</v>
      </c>
      <c r="D246" s="58">
        <v>5.9</v>
      </c>
    </row>
    <row r="247" spans="2:11" x14ac:dyDescent="0.15">
      <c r="B247" s="54" t="s">
        <v>1644</v>
      </c>
      <c r="C247" s="54" t="s">
        <v>183</v>
      </c>
      <c r="D247" s="58">
        <f>22.9*2</f>
        <v>45.8</v>
      </c>
    </row>
    <row r="248" spans="2:11" x14ac:dyDescent="0.15">
      <c r="B248" s="54" t="s">
        <v>1645</v>
      </c>
      <c r="C248" s="54" t="s">
        <v>183</v>
      </c>
      <c r="D248" s="58">
        <f>22.5*2</f>
        <v>45</v>
      </c>
    </row>
    <row r="249" spans="2:11" x14ac:dyDescent="0.15">
      <c r="B249" s="54" t="s">
        <v>1646</v>
      </c>
      <c r="C249" s="54" t="s">
        <v>183</v>
      </c>
      <c r="D249" s="58">
        <v>51.9</v>
      </c>
    </row>
    <row r="250" spans="2:11" x14ac:dyDescent="0.15">
      <c r="B250" s="54"/>
      <c r="C250" s="54"/>
      <c r="D250" s="58"/>
    </row>
    <row r="251" spans="2:11" x14ac:dyDescent="0.15">
      <c r="B251" t="s">
        <v>1560</v>
      </c>
      <c r="C251" s="54" t="s">
        <v>183</v>
      </c>
      <c r="D251" s="58">
        <v>49.9</v>
      </c>
    </row>
    <row r="252" spans="2:11" x14ac:dyDescent="0.15">
      <c r="B252" t="s">
        <v>1556</v>
      </c>
      <c r="C252" s="54" t="s">
        <v>183</v>
      </c>
      <c r="D252" s="58">
        <v>100</v>
      </c>
    </row>
    <row r="253" spans="2:11" x14ac:dyDescent="0.15">
      <c r="B253" t="s">
        <v>1555</v>
      </c>
      <c r="C253" s="54" t="s">
        <v>183</v>
      </c>
      <c r="D253" s="58">
        <v>94</v>
      </c>
    </row>
    <row r="254" spans="2:11" x14ac:dyDescent="0.15">
      <c r="B254" s="54" t="s">
        <v>1520</v>
      </c>
      <c r="C254" s="54" t="s">
        <v>183</v>
      </c>
      <c r="D254" s="58">
        <f>23.9/0.15</f>
        <v>159.33333333333334</v>
      </c>
    </row>
    <row r="255" spans="2:11" x14ac:dyDescent="0.15">
      <c r="B255" s="54" t="s">
        <v>1523</v>
      </c>
      <c r="C255" s="54">
        <v>7.0000000000000007E-2</v>
      </c>
      <c r="D255" s="58">
        <v>17.899999999999999</v>
      </c>
      <c r="F255" s="58">
        <f>D255/C255</f>
        <v>255.71428571428567</v>
      </c>
      <c r="G255" s="58"/>
      <c r="K255" s="58"/>
    </row>
    <row r="256" spans="2:11" x14ac:dyDescent="0.15">
      <c r="B256" s="54" t="s">
        <v>1533</v>
      </c>
      <c r="C256" s="54" t="s">
        <v>183</v>
      </c>
      <c r="D256" s="104">
        <f>19.2/0.5</f>
        <v>38.4</v>
      </c>
    </row>
    <row r="257" spans="2:11" x14ac:dyDescent="0.15">
      <c r="B257" s="54" t="s">
        <v>1572</v>
      </c>
      <c r="C257" s="54" t="s">
        <v>183</v>
      </c>
      <c r="D257" s="58">
        <v>8.9</v>
      </c>
    </row>
    <row r="258" spans="2:11" x14ac:dyDescent="0.15">
      <c r="B258" s="54" t="s">
        <v>1574</v>
      </c>
      <c r="C258" s="54" t="s">
        <v>183</v>
      </c>
      <c r="D258" s="58">
        <v>7.6</v>
      </c>
    </row>
    <row r="259" spans="2:11" x14ac:dyDescent="0.15">
      <c r="B259" s="54" t="s">
        <v>1575</v>
      </c>
      <c r="C259" s="54" t="s">
        <v>183</v>
      </c>
      <c r="D259" s="58">
        <v>4.4000000000000004</v>
      </c>
    </row>
    <row r="260" spans="2:11" x14ac:dyDescent="0.15">
      <c r="B260" s="54" t="s">
        <v>1576</v>
      </c>
      <c r="C260" s="54" t="s">
        <v>183</v>
      </c>
      <c r="D260" s="58">
        <v>11.5</v>
      </c>
    </row>
    <row r="261" spans="2:11" x14ac:dyDescent="0.15">
      <c r="B261" s="54"/>
      <c r="C261" s="54"/>
      <c r="D261" s="58"/>
    </row>
    <row r="263" spans="2:11" ht="20" x14ac:dyDescent="0.2">
      <c r="B263" s="181" t="s">
        <v>1498</v>
      </c>
      <c r="C263" s="181"/>
      <c r="D263" s="181"/>
      <c r="E263" s="181"/>
      <c r="F263" s="181"/>
      <c r="G263" s="161"/>
      <c r="H263" s="165"/>
      <c r="I263" s="165"/>
      <c r="J263" s="165"/>
      <c r="K263" s="161"/>
    </row>
    <row r="264" spans="2:11" x14ac:dyDescent="0.15">
      <c r="B264" s="54" t="s">
        <v>1499</v>
      </c>
      <c r="C264" s="54" t="s">
        <v>1502</v>
      </c>
      <c r="D264">
        <v>28.5</v>
      </c>
      <c r="E264" s="54" t="s">
        <v>1036</v>
      </c>
      <c r="F264">
        <f>D264/15</f>
        <v>1.9</v>
      </c>
    </row>
    <row r="265" spans="2:11" x14ac:dyDescent="0.15">
      <c r="B265" s="54" t="s">
        <v>1500</v>
      </c>
      <c r="C265" s="54" t="s">
        <v>1502</v>
      </c>
      <c r="D265">
        <v>28.5</v>
      </c>
      <c r="E265" s="54" t="s">
        <v>1036</v>
      </c>
      <c r="F265">
        <f t="shared" ref="F265:F266" si="10">D265/15</f>
        <v>1.9</v>
      </c>
    </row>
    <row r="266" spans="2:11" x14ac:dyDescent="0.15">
      <c r="B266" s="54" t="s">
        <v>1501</v>
      </c>
      <c r="C266" s="54" t="s">
        <v>1502</v>
      </c>
      <c r="D266">
        <v>28.5</v>
      </c>
      <c r="E266" s="54" t="s">
        <v>1036</v>
      </c>
      <c r="F266">
        <f t="shared" si="10"/>
        <v>1.9</v>
      </c>
    </row>
    <row r="269" spans="2:11" ht="20" x14ac:dyDescent="0.2">
      <c r="B269" s="181" t="s">
        <v>1761</v>
      </c>
      <c r="C269" s="181"/>
      <c r="D269" s="181"/>
      <c r="E269" s="181"/>
      <c r="F269" s="181"/>
      <c r="G269" s="161"/>
      <c r="H269" s="165"/>
      <c r="I269" s="165"/>
      <c r="J269" s="165"/>
      <c r="K269" s="161"/>
    </row>
    <row r="270" spans="2:11" x14ac:dyDescent="0.15">
      <c r="B270" s="54" t="s">
        <v>1600</v>
      </c>
      <c r="C270" s="54" t="s">
        <v>183</v>
      </c>
      <c r="D270" s="58">
        <f>11.5/0.5</f>
        <v>23</v>
      </c>
      <c r="H270" s="101" t="s">
        <v>1760</v>
      </c>
      <c r="I270" s="101" t="s">
        <v>1726</v>
      </c>
      <c r="J270" s="101" t="s">
        <v>1730</v>
      </c>
    </row>
    <row r="271" spans="2:11" x14ac:dyDescent="0.15">
      <c r="B271" s="54" t="s">
        <v>1601</v>
      </c>
      <c r="C271" s="54" t="s">
        <v>183</v>
      </c>
      <c r="D271" s="58">
        <f>13.2/0.5</f>
        <v>26.4</v>
      </c>
      <c r="H271" s="101" t="s">
        <v>1760</v>
      </c>
      <c r="I271" s="101" t="s">
        <v>1726</v>
      </c>
      <c r="J271" s="101" t="s">
        <v>1730</v>
      </c>
    </row>
    <row r="272" spans="2:11" x14ac:dyDescent="0.15">
      <c r="B272" s="54" t="s">
        <v>1579</v>
      </c>
      <c r="C272" s="54" t="s">
        <v>183</v>
      </c>
      <c r="D272" s="58">
        <v>6</v>
      </c>
    </row>
    <row r="273" spans="2:11" x14ac:dyDescent="0.15">
      <c r="B273" s="54" t="s">
        <v>1763</v>
      </c>
      <c r="C273" s="54" t="s">
        <v>183</v>
      </c>
      <c r="D273" s="58">
        <v>5.05</v>
      </c>
    </row>
    <row r="274" spans="2:11" x14ac:dyDescent="0.15">
      <c r="B274" s="54" t="s">
        <v>1510</v>
      </c>
      <c r="C274" s="54" t="s">
        <v>1762</v>
      </c>
      <c r="D274" s="58">
        <f>45.9/3</f>
        <v>15.299999999999999</v>
      </c>
    </row>
    <row r="276" spans="2:11" ht="20" x14ac:dyDescent="0.2">
      <c r="B276" s="181" t="s">
        <v>1610</v>
      </c>
      <c r="C276" s="181"/>
      <c r="D276" s="181"/>
      <c r="E276" s="181"/>
      <c r="F276" s="181"/>
      <c r="G276" s="161"/>
      <c r="H276" s="165"/>
      <c r="I276" s="165"/>
      <c r="J276" s="165"/>
      <c r="K276" s="161"/>
    </row>
    <row r="277" spans="2:11" x14ac:dyDescent="0.15">
      <c r="B277" s="54" t="s">
        <v>1611</v>
      </c>
      <c r="C277" s="54" t="s">
        <v>183</v>
      </c>
      <c r="D277" s="58">
        <v>32.93</v>
      </c>
    </row>
    <row r="278" spans="2:11" x14ac:dyDescent="0.15">
      <c r="B278" s="54" t="s">
        <v>1616</v>
      </c>
      <c r="C278" s="54" t="s">
        <v>183</v>
      </c>
      <c r="D278" s="58">
        <f>58.08/2</f>
        <v>29.04</v>
      </c>
    </row>
    <row r="281" spans="2:11" ht="20" x14ac:dyDescent="0.2">
      <c r="B281" s="181" t="s">
        <v>1631</v>
      </c>
      <c r="C281" s="181"/>
      <c r="D281" s="181"/>
      <c r="E281" s="181"/>
      <c r="F281" s="181"/>
      <c r="G281" s="161"/>
      <c r="H281" s="165"/>
      <c r="I281" s="165"/>
      <c r="J281" s="165"/>
      <c r="K281" s="161"/>
    </row>
    <row r="282" spans="2:11" x14ac:dyDescent="0.15">
      <c r="B282" s="54" t="s">
        <v>1632</v>
      </c>
      <c r="C282" s="54" t="s">
        <v>1067</v>
      </c>
      <c r="D282" s="58">
        <f>17*10</f>
        <v>170</v>
      </c>
      <c r="E282" s="54" t="s">
        <v>1129</v>
      </c>
      <c r="F282" s="58">
        <f>D282/1000</f>
        <v>0.17</v>
      </c>
      <c r="G282" s="58"/>
      <c r="K282" s="58"/>
    </row>
    <row r="283" spans="2:11" x14ac:dyDescent="0.15">
      <c r="B283" s="54" t="s">
        <v>1633</v>
      </c>
      <c r="C283" s="54" t="s">
        <v>1635</v>
      </c>
      <c r="D283" s="58">
        <f>3*10</f>
        <v>30</v>
      </c>
      <c r="E283" s="54" t="s">
        <v>1129</v>
      </c>
      <c r="F283" s="58">
        <f>D283/1000</f>
        <v>0.03</v>
      </c>
      <c r="G283" s="58"/>
      <c r="K283" s="58"/>
    </row>
    <row r="284" spans="2:11" x14ac:dyDescent="0.15">
      <c r="B284" s="54" t="s">
        <v>1634</v>
      </c>
      <c r="C284" s="54" t="s">
        <v>1067</v>
      </c>
      <c r="D284" s="58">
        <f>7.4*4</f>
        <v>29.6</v>
      </c>
      <c r="E284" s="54" t="s">
        <v>1129</v>
      </c>
      <c r="F284" s="58">
        <f>D284/1000</f>
        <v>2.9600000000000001E-2</v>
      </c>
      <c r="G284" s="58"/>
      <c r="K284" s="58"/>
    </row>
    <row r="287" spans="2:11" ht="20" x14ac:dyDescent="0.2">
      <c r="B287" s="181" t="s">
        <v>1656</v>
      </c>
      <c r="C287" s="181"/>
      <c r="D287" s="181"/>
      <c r="E287" s="181"/>
      <c r="F287" s="181"/>
      <c r="G287" s="161"/>
      <c r="H287" s="165"/>
      <c r="I287" s="165"/>
      <c r="J287" s="165"/>
      <c r="K287" s="161"/>
    </row>
    <row r="288" spans="2:11" x14ac:dyDescent="0.15">
      <c r="B288" s="54" t="s">
        <v>1764</v>
      </c>
      <c r="C288" s="54" t="s">
        <v>1765</v>
      </c>
      <c r="D288" s="58">
        <v>4.4000000000000004</v>
      </c>
      <c r="F288" s="58">
        <f>D288/7</f>
        <v>0.62857142857142867</v>
      </c>
    </row>
  </sheetData>
  <mergeCells count="27">
    <mergeCell ref="B2:F2"/>
    <mergeCell ref="B6:F6"/>
    <mergeCell ref="B57:F57"/>
    <mergeCell ref="B18:F18"/>
    <mergeCell ref="B29:F29"/>
    <mergeCell ref="B10:F10"/>
    <mergeCell ref="B37:F37"/>
    <mergeCell ref="B48:F48"/>
    <mergeCell ref="B263:F263"/>
    <mergeCell ref="B222:F222"/>
    <mergeCell ref="B162:F162"/>
    <mergeCell ref="B213:F213"/>
    <mergeCell ref="B287:F287"/>
    <mergeCell ref="B76:F76"/>
    <mergeCell ref="B87:F87"/>
    <mergeCell ref="B107:F107"/>
    <mergeCell ref="B276:F276"/>
    <mergeCell ref="B269:F269"/>
    <mergeCell ref="B189:F189"/>
    <mergeCell ref="B204:F204"/>
    <mergeCell ref="B194:F194"/>
    <mergeCell ref="B148:F148"/>
    <mergeCell ref="B157:F157"/>
    <mergeCell ref="B168:F168"/>
    <mergeCell ref="B178:F178"/>
    <mergeCell ref="B184:F184"/>
    <mergeCell ref="B281:F2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6269-2D65-784D-A904-C8556AA717A5}">
  <dimension ref="B3:F47"/>
  <sheetViews>
    <sheetView topLeftCell="A13" workbookViewId="0">
      <selection activeCell="B35" sqref="B35:F36"/>
    </sheetView>
  </sheetViews>
  <sheetFormatPr baseColWidth="10" defaultRowHeight="13" x14ac:dyDescent="0.15"/>
  <cols>
    <col min="2" max="2" width="18.83203125" bestFit="1" customWidth="1"/>
    <col min="3" max="3" width="12.6640625" bestFit="1" customWidth="1"/>
    <col min="5" max="5" width="11.83203125" bestFit="1" customWidth="1"/>
    <col min="6" max="6" width="14.6640625" bestFit="1" customWidth="1"/>
  </cols>
  <sheetData>
    <row r="3" spans="2:6" x14ac:dyDescent="0.15">
      <c r="B3" s="167" t="s">
        <v>1457</v>
      </c>
      <c r="C3" s="167"/>
      <c r="D3" s="167"/>
      <c r="E3" s="167"/>
      <c r="F3" s="167"/>
    </row>
    <row r="4" spans="2:6" x14ac:dyDescent="0.15">
      <c r="B4" s="167"/>
      <c r="C4" s="167"/>
      <c r="D4" s="167"/>
      <c r="E4" s="167"/>
      <c r="F4" s="167"/>
    </row>
    <row r="5" spans="2:6" ht="16" x14ac:dyDescent="0.2">
      <c r="B5" s="119" t="s">
        <v>1122</v>
      </c>
      <c r="C5" s="119" t="s">
        <v>1123</v>
      </c>
      <c r="D5" s="119" t="s">
        <v>1124</v>
      </c>
      <c r="E5" s="119" t="s">
        <v>1125</v>
      </c>
      <c r="F5" s="119" t="s">
        <v>1126</v>
      </c>
    </row>
    <row r="6" spans="2:6" x14ac:dyDescent="0.15">
      <c r="B6" s="108" t="s">
        <v>1452</v>
      </c>
      <c r="C6" s="106">
        <v>1.5</v>
      </c>
      <c r="D6" s="108" t="s">
        <v>1415</v>
      </c>
      <c r="E6" s="107">
        <f>INGREDIENTS!F196</f>
        <v>0.03</v>
      </c>
      <c r="F6" s="107">
        <f>E6*C6</f>
        <v>4.4999999999999998E-2</v>
      </c>
    </row>
    <row r="7" spans="2:6" x14ac:dyDescent="0.15">
      <c r="B7" s="108" t="s">
        <v>1453</v>
      </c>
      <c r="C7" s="106">
        <v>300</v>
      </c>
      <c r="D7" s="108" t="s">
        <v>1129</v>
      </c>
      <c r="E7" s="107">
        <f>12.9/300</f>
        <v>4.3000000000000003E-2</v>
      </c>
      <c r="F7" s="107">
        <f t="shared" ref="F7:F10" si="0">E7*C7</f>
        <v>12.9</v>
      </c>
    </row>
    <row r="8" spans="2:6" x14ac:dyDescent="0.15">
      <c r="B8" s="108" t="s">
        <v>1454</v>
      </c>
      <c r="C8" s="106">
        <v>15</v>
      </c>
      <c r="D8" s="108" t="s">
        <v>1129</v>
      </c>
      <c r="E8" s="107">
        <f>3.8/30</f>
        <v>0.12666666666666665</v>
      </c>
      <c r="F8" s="107">
        <f t="shared" si="0"/>
        <v>1.8999999999999997</v>
      </c>
    </row>
    <row r="9" spans="2:6" x14ac:dyDescent="0.15">
      <c r="B9" s="108" t="s">
        <v>1455</v>
      </c>
      <c r="C9" s="106">
        <v>30</v>
      </c>
      <c r="D9" s="108" t="s">
        <v>1304</v>
      </c>
      <c r="E9" s="107">
        <f>3.8/30</f>
        <v>0.12666666666666665</v>
      </c>
      <c r="F9" s="107">
        <f t="shared" si="0"/>
        <v>3.7999999999999994</v>
      </c>
    </row>
    <row r="10" spans="2:6" x14ac:dyDescent="0.15">
      <c r="B10" s="108" t="s">
        <v>1456</v>
      </c>
      <c r="C10" s="106">
        <v>90</v>
      </c>
      <c r="D10" s="108" t="s">
        <v>1165</v>
      </c>
      <c r="E10" s="107">
        <f>14.1/90</f>
        <v>0.15666666666666668</v>
      </c>
      <c r="F10" s="107">
        <f t="shared" si="0"/>
        <v>14.100000000000001</v>
      </c>
    </row>
    <row r="11" spans="2:6" x14ac:dyDescent="0.15">
      <c r="B11" s="108"/>
      <c r="C11" s="106"/>
      <c r="D11" s="108"/>
      <c r="E11" s="107"/>
      <c r="F11" s="107"/>
    </row>
    <row r="12" spans="2:6" x14ac:dyDescent="0.15">
      <c r="B12" s="108"/>
      <c r="C12" s="106"/>
      <c r="D12" s="108"/>
      <c r="E12" s="107"/>
      <c r="F12" s="107"/>
    </row>
    <row r="13" spans="2:6" x14ac:dyDescent="0.15">
      <c r="B13" s="108"/>
      <c r="C13" s="106"/>
      <c r="D13" s="108"/>
      <c r="E13" s="107"/>
      <c r="F13" s="107"/>
    </row>
    <row r="14" spans="2:6" ht="18" x14ac:dyDescent="0.2">
      <c r="F14" s="110">
        <f>SUM(F6:F13)</f>
        <v>32.745000000000005</v>
      </c>
    </row>
    <row r="15" spans="2:6" x14ac:dyDescent="0.15">
      <c r="B15" s="115" t="s">
        <v>1199</v>
      </c>
      <c r="C15" s="116">
        <v>2000</v>
      </c>
    </row>
    <row r="16" spans="2:6" ht="18" x14ac:dyDescent="0.2">
      <c r="B16" s="131" t="s">
        <v>1458</v>
      </c>
      <c r="C16" s="117">
        <f>F14/C15</f>
        <v>1.6372500000000002E-2</v>
      </c>
      <c r="D16" s="130"/>
    </row>
    <row r="17" spans="2:6" x14ac:dyDescent="0.15">
      <c r="C17" s="58"/>
      <c r="D17" s="112"/>
    </row>
    <row r="19" spans="2:6" x14ac:dyDescent="0.15">
      <c r="B19" s="167" t="s">
        <v>1463</v>
      </c>
      <c r="C19" s="167"/>
      <c r="D19" s="167"/>
      <c r="E19" s="167"/>
      <c r="F19" s="167"/>
    </row>
    <row r="20" spans="2:6" x14ac:dyDescent="0.15">
      <c r="B20" s="167"/>
      <c r="C20" s="167"/>
      <c r="D20" s="167"/>
      <c r="E20" s="167"/>
      <c r="F20" s="167"/>
    </row>
    <row r="21" spans="2:6" ht="16" x14ac:dyDescent="0.2">
      <c r="B21" s="119" t="s">
        <v>1122</v>
      </c>
      <c r="C21" s="119" t="s">
        <v>1123</v>
      </c>
      <c r="D21" s="119" t="s">
        <v>1124</v>
      </c>
      <c r="E21" s="119" t="s">
        <v>1125</v>
      </c>
      <c r="F21" s="119" t="s">
        <v>1126</v>
      </c>
    </row>
    <row r="22" spans="2:6" x14ac:dyDescent="0.15">
      <c r="B22" s="108" t="s">
        <v>1360</v>
      </c>
      <c r="C22" s="106">
        <v>1</v>
      </c>
      <c r="D22" s="106" t="s">
        <v>1036</v>
      </c>
      <c r="E22" s="107">
        <f>INGREDIENTS!F21</f>
        <v>0.27</v>
      </c>
      <c r="F22" s="107">
        <f>E22*C22</f>
        <v>0.27</v>
      </c>
    </row>
    <row r="23" spans="2:6" x14ac:dyDescent="0.15">
      <c r="B23" s="108" t="s">
        <v>1374</v>
      </c>
      <c r="C23" s="106">
        <v>1</v>
      </c>
      <c r="D23" s="106" t="s">
        <v>1103</v>
      </c>
      <c r="E23" s="107">
        <f>INGREDIENTS!F22</f>
        <v>0.115</v>
      </c>
      <c r="F23" s="107">
        <f>E23*C23</f>
        <v>0.115</v>
      </c>
    </row>
    <row r="24" spans="2:6" x14ac:dyDescent="0.15">
      <c r="B24" s="108" t="s">
        <v>1171</v>
      </c>
      <c r="C24" s="106">
        <v>1</v>
      </c>
      <c r="D24" s="108" t="s">
        <v>1376</v>
      </c>
      <c r="E24" s="107">
        <f>INGREDIENTS!F28</f>
        <v>5.8000000000000003E-2</v>
      </c>
      <c r="F24" s="107">
        <f>E24*C24</f>
        <v>5.8000000000000003E-2</v>
      </c>
    </row>
    <row r="25" spans="2:6" x14ac:dyDescent="0.15">
      <c r="B25" s="108" t="s">
        <v>1459</v>
      </c>
      <c r="C25" s="106">
        <v>30</v>
      </c>
      <c r="D25" s="108" t="s">
        <v>1001</v>
      </c>
      <c r="E25" s="107">
        <f>11.5/1000</f>
        <v>1.15E-2</v>
      </c>
      <c r="F25" s="107">
        <f>E25*C25</f>
        <v>0.34499999999999997</v>
      </c>
    </row>
    <row r="26" spans="2:6" x14ac:dyDescent="0.15">
      <c r="B26" s="108" t="s">
        <v>1181</v>
      </c>
      <c r="C26" s="106">
        <v>20</v>
      </c>
      <c r="D26" s="108" t="s">
        <v>1001</v>
      </c>
      <c r="E26" s="107">
        <f>69/1000</f>
        <v>6.9000000000000006E-2</v>
      </c>
      <c r="F26" s="107">
        <f>E26*C26</f>
        <v>1.3800000000000001</v>
      </c>
    </row>
    <row r="27" spans="2:6" x14ac:dyDescent="0.15">
      <c r="B27" s="108" t="s">
        <v>1119</v>
      </c>
      <c r="C27" s="106">
        <v>10</v>
      </c>
      <c r="D27" s="108" t="s">
        <v>1001</v>
      </c>
      <c r="E27" s="107">
        <f>INGREDIENTS!F179</f>
        <v>4.7999999999999996E-3</v>
      </c>
      <c r="F27" s="107">
        <f t="shared" ref="F27:F29" si="1">E27*C27</f>
        <v>4.7999999999999994E-2</v>
      </c>
    </row>
    <row r="28" spans="2:6" x14ac:dyDescent="0.15">
      <c r="B28" s="108" t="s">
        <v>1178</v>
      </c>
      <c r="C28" s="106">
        <v>10</v>
      </c>
      <c r="D28" s="108" t="s">
        <v>1001</v>
      </c>
      <c r="E28" s="107">
        <f>INGREDIENTS!F108</f>
        <v>9.4999999999999998E-3</v>
      </c>
      <c r="F28" s="107">
        <f t="shared" si="1"/>
        <v>9.5000000000000001E-2</v>
      </c>
    </row>
    <row r="29" spans="2:6" x14ac:dyDescent="0.15">
      <c r="B29" s="108" t="s">
        <v>1460</v>
      </c>
      <c r="C29" s="106">
        <v>90</v>
      </c>
      <c r="D29" s="108" t="s">
        <v>1001</v>
      </c>
      <c r="E29" s="107">
        <f>INGREDIENTS!F38</f>
        <v>1.426E-2</v>
      </c>
      <c r="F29" s="107">
        <f t="shared" si="1"/>
        <v>1.2834000000000001</v>
      </c>
    </row>
    <row r="30" spans="2:6" ht="18" x14ac:dyDescent="0.2">
      <c r="F30" s="110">
        <f>SUM(F22:F29)</f>
        <v>3.5944000000000003</v>
      </c>
    </row>
    <row r="31" spans="2:6" x14ac:dyDescent="0.15">
      <c r="B31" t="s">
        <v>1132</v>
      </c>
      <c r="C31" s="58">
        <v>13</v>
      </c>
    </row>
    <row r="32" spans="2:6" ht="18" x14ac:dyDescent="0.2">
      <c r="B32" t="s">
        <v>1125</v>
      </c>
      <c r="C32" s="58">
        <f>F30+5%</f>
        <v>3.6444000000000001</v>
      </c>
      <c r="D32" s="111">
        <f>C32/C31</f>
        <v>0.28033846153846154</v>
      </c>
    </row>
    <row r="35" spans="2:6" x14ac:dyDescent="0.15">
      <c r="B35" s="167" t="s">
        <v>1461</v>
      </c>
      <c r="C35" s="167"/>
      <c r="D35" s="167"/>
      <c r="E35" s="167"/>
      <c r="F35" s="167"/>
    </row>
    <row r="36" spans="2:6" x14ac:dyDescent="0.15">
      <c r="B36" s="167"/>
      <c r="C36" s="167"/>
      <c r="D36" s="167"/>
      <c r="E36" s="167"/>
      <c r="F36" s="167"/>
    </row>
    <row r="37" spans="2:6" x14ac:dyDescent="0.15">
      <c r="B37" s="108" t="s">
        <v>1360</v>
      </c>
      <c r="C37" s="106">
        <v>1</v>
      </c>
      <c r="D37" s="106" t="s">
        <v>1036</v>
      </c>
      <c r="E37" s="107">
        <f>INGREDIENTS!F21</f>
        <v>0.27</v>
      </c>
      <c r="F37" s="107">
        <f>E37*C37</f>
        <v>0.27</v>
      </c>
    </row>
    <row r="38" spans="2:6" x14ac:dyDescent="0.15">
      <c r="B38" s="108" t="s">
        <v>1374</v>
      </c>
      <c r="C38" s="106">
        <v>1</v>
      </c>
      <c r="D38" s="106" t="s">
        <v>1103</v>
      </c>
      <c r="E38" s="107">
        <f>INGREDIENTS!F11</f>
        <v>7.0000000000000007E-2</v>
      </c>
      <c r="F38" s="107">
        <f t="shared" ref="F38:F40" si="2">E38*C38</f>
        <v>7.0000000000000007E-2</v>
      </c>
    </row>
    <row r="39" spans="2:6" x14ac:dyDescent="0.15">
      <c r="B39" s="108" t="s">
        <v>1171</v>
      </c>
      <c r="C39" s="106">
        <v>1</v>
      </c>
      <c r="D39" s="108" t="s">
        <v>1376</v>
      </c>
      <c r="E39" s="107">
        <f>INGREDIENTS!F28</f>
        <v>5.8000000000000003E-2</v>
      </c>
      <c r="F39" s="107">
        <f t="shared" si="2"/>
        <v>5.8000000000000003E-2</v>
      </c>
    </row>
    <row r="40" spans="2:6" x14ac:dyDescent="0.15">
      <c r="B40" s="108" t="s">
        <v>1462</v>
      </c>
      <c r="C40" s="106">
        <v>180</v>
      </c>
      <c r="D40" s="108" t="s">
        <v>1001</v>
      </c>
      <c r="E40" s="107">
        <f>C16</f>
        <v>1.6372500000000002E-2</v>
      </c>
      <c r="F40" s="107">
        <f t="shared" si="2"/>
        <v>2.9470500000000004</v>
      </c>
    </row>
    <row r="41" spans="2:6" x14ac:dyDescent="0.15">
      <c r="B41" s="108"/>
      <c r="C41" s="106"/>
      <c r="D41" s="108"/>
      <c r="E41" s="107"/>
      <c r="F41" s="107"/>
    </row>
    <row r="42" spans="2:6" x14ac:dyDescent="0.15">
      <c r="B42" s="108"/>
      <c r="C42" s="106"/>
      <c r="D42" s="108"/>
      <c r="E42" s="107"/>
      <c r="F42" s="107"/>
    </row>
    <row r="43" spans="2:6" x14ac:dyDescent="0.15">
      <c r="B43" s="108"/>
      <c r="C43" s="106"/>
      <c r="D43" s="108"/>
      <c r="E43" s="107"/>
      <c r="F43" s="107"/>
    </row>
    <row r="44" spans="2:6" x14ac:dyDescent="0.15">
      <c r="B44" s="108"/>
      <c r="C44" s="106"/>
      <c r="D44" s="108"/>
      <c r="E44" s="107"/>
      <c r="F44" s="107"/>
    </row>
    <row r="45" spans="2:6" ht="18" x14ac:dyDescent="0.2">
      <c r="F45" s="110">
        <f>SUM(F37:F44)</f>
        <v>3.3450500000000005</v>
      </c>
    </row>
    <row r="46" spans="2:6" x14ac:dyDescent="0.15">
      <c r="B46" t="s">
        <v>1132</v>
      </c>
      <c r="C46" s="58">
        <v>15</v>
      </c>
    </row>
    <row r="47" spans="2:6" ht="18" x14ac:dyDescent="0.2">
      <c r="B47" t="s">
        <v>1125</v>
      </c>
      <c r="C47" s="58">
        <f>F45+5%</f>
        <v>3.3950500000000003</v>
      </c>
      <c r="D47" s="111">
        <f>C47/C46</f>
        <v>0.22633666666666669</v>
      </c>
    </row>
  </sheetData>
  <mergeCells count="3">
    <mergeCell ref="B3:F4"/>
    <mergeCell ref="B19:F20"/>
    <mergeCell ref="B35:F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39F0-73EB-3745-B06C-AC155A282908}">
  <dimension ref="B2:F92"/>
  <sheetViews>
    <sheetView workbookViewId="0">
      <selection activeCell="B8" sqref="B8:F22"/>
    </sheetView>
  </sheetViews>
  <sheetFormatPr baseColWidth="10" defaultRowHeight="13" x14ac:dyDescent="0.15"/>
  <cols>
    <col min="2" max="2" width="18.5" customWidth="1"/>
    <col min="4" max="4" width="11.83203125" bestFit="1" customWidth="1"/>
    <col min="5" max="5" width="11.6640625" bestFit="1" customWidth="1"/>
    <col min="6" max="6" width="14" bestFit="1" customWidth="1"/>
  </cols>
  <sheetData>
    <row r="2" spans="2:6" x14ac:dyDescent="0.15">
      <c r="D2" s="129" t="s">
        <v>1447</v>
      </c>
      <c r="E2" s="98">
        <v>250</v>
      </c>
      <c r="F2" s="58">
        <f>E2*$C$6</f>
        <v>788.62475675675682</v>
      </c>
    </row>
    <row r="3" spans="2:6" x14ac:dyDescent="0.15">
      <c r="D3" s="129" t="s">
        <v>1448</v>
      </c>
      <c r="E3" s="98">
        <v>400</v>
      </c>
      <c r="F3" s="58">
        <f>E3*$C$6</f>
        <v>1261.7996108108109</v>
      </c>
    </row>
    <row r="4" spans="2:6" x14ac:dyDescent="0.15">
      <c r="D4" s="129" t="s">
        <v>1449</v>
      </c>
      <c r="E4" s="98">
        <v>550</v>
      </c>
      <c r="F4" s="58">
        <f>E4*$C$6</f>
        <v>1734.974464864865</v>
      </c>
    </row>
    <row r="6" spans="2:6" x14ac:dyDescent="0.15">
      <c r="B6" s="129" t="s">
        <v>1450</v>
      </c>
      <c r="C6" s="58">
        <f>(AVERAGE(C22,C39,C57,C74,C92))*0.8</f>
        <v>3.1544990270270272</v>
      </c>
      <c r="D6" s="129" t="s">
        <v>1451</v>
      </c>
      <c r="E6" s="98">
        <v>5</v>
      </c>
      <c r="F6" s="58">
        <f>F3/E6</f>
        <v>252.35992216216218</v>
      </c>
    </row>
    <row r="8" spans="2:6" x14ac:dyDescent="0.15">
      <c r="B8" s="167" t="s">
        <v>1429</v>
      </c>
      <c r="C8" s="167"/>
      <c r="D8" s="167"/>
      <c r="E8" s="167"/>
      <c r="F8" s="167"/>
    </row>
    <row r="9" spans="2:6" x14ac:dyDescent="0.15">
      <c r="B9" s="167"/>
      <c r="C9" s="167"/>
      <c r="D9" s="167"/>
      <c r="E9" s="167"/>
      <c r="F9" s="167"/>
    </row>
    <row r="10" spans="2:6" ht="16" x14ac:dyDescent="0.2">
      <c r="B10" s="119" t="s">
        <v>1122</v>
      </c>
      <c r="C10" s="119" t="s">
        <v>1123</v>
      </c>
      <c r="D10" s="119" t="s">
        <v>1124</v>
      </c>
      <c r="E10" s="119" t="s">
        <v>1125</v>
      </c>
      <c r="F10" s="119" t="s">
        <v>1126</v>
      </c>
    </row>
    <row r="11" spans="2:6" x14ac:dyDescent="0.15">
      <c r="B11" s="108" t="s">
        <v>1422</v>
      </c>
      <c r="C11" s="106">
        <v>30</v>
      </c>
      <c r="D11" s="108" t="s">
        <v>1001</v>
      </c>
      <c r="E11" s="107">
        <f>INGREDIENTS!F201</f>
        <v>2.837837837837838E-2</v>
      </c>
      <c r="F11" s="107">
        <f>E11*C11</f>
        <v>0.85135135135135143</v>
      </c>
    </row>
    <row r="12" spans="2:6" x14ac:dyDescent="0.15">
      <c r="B12" s="108" t="s">
        <v>1178</v>
      </c>
      <c r="C12" s="106">
        <v>10</v>
      </c>
      <c r="D12" s="108" t="s">
        <v>1176</v>
      </c>
      <c r="E12" s="107">
        <f>INGREDIENTS!F108</f>
        <v>9.4999999999999998E-3</v>
      </c>
      <c r="F12" s="107">
        <f t="shared" ref="F12:F18" si="0">E12*C12</f>
        <v>9.5000000000000001E-2</v>
      </c>
    </row>
    <row r="13" spans="2:6" x14ac:dyDescent="0.15">
      <c r="B13" s="108" t="s">
        <v>1423</v>
      </c>
      <c r="C13" s="106">
        <v>1</v>
      </c>
      <c r="D13" s="108" t="s">
        <v>1376</v>
      </c>
      <c r="E13" s="107">
        <f>INGREDIENTS!F187</f>
        <v>0.106</v>
      </c>
      <c r="F13" s="107">
        <f t="shared" si="0"/>
        <v>0.106</v>
      </c>
    </row>
    <row r="14" spans="2:6" x14ac:dyDescent="0.15">
      <c r="B14" s="108" t="s">
        <v>1094</v>
      </c>
      <c r="C14" s="106">
        <v>0.5</v>
      </c>
      <c r="D14" s="108" t="s">
        <v>1304</v>
      </c>
      <c r="E14" s="107">
        <f>INGREDIENTS!F133</f>
        <v>0.01</v>
      </c>
      <c r="F14" s="107">
        <f t="shared" si="0"/>
        <v>5.0000000000000001E-3</v>
      </c>
    </row>
    <row r="15" spans="2:6" x14ac:dyDescent="0.15">
      <c r="B15" s="108" t="s">
        <v>1424</v>
      </c>
      <c r="C15" s="106">
        <v>5</v>
      </c>
      <c r="D15" s="108" t="s">
        <v>1165</v>
      </c>
      <c r="E15" s="107">
        <f>INGREDIENTS!F179</f>
        <v>4.7999999999999996E-3</v>
      </c>
      <c r="F15" s="107">
        <f t="shared" si="0"/>
        <v>2.3999999999999997E-2</v>
      </c>
    </row>
    <row r="16" spans="2:6" x14ac:dyDescent="0.15">
      <c r="B16" s="108" t="s">
        <v>1425</v>
      </c>
      <c r="C16" s="106">
        <v>1</v>
      </c>
      <c r="D16" s="108" t="s">
        <v>1376</v>
      </c>
      <c r="E16" s="107">
        <f>INGREDIENTS!F21</f>
        <v>0.27</v>
      </c>
      <c r="F16" s="107">
        <f t="shared" si="0"/>
        <v>0.27</v>
      </c>
    </row>
    <row r="17" spans="2:6" x14ac:dyDescent="0.15">
      <c r="B17" s="108" t="s">
        <v>1426</v>
      </c>
      <c r="C17" s="106">
        <v>1</v>
      </c>
      <c r="D17" s="108" t="s">
        <v>1376</v>
      </c>
      <c r="E17" s="107">
        <f>INGREDIENTS!F22</f>
        <v>0.115</v>
      </c>
      <c r="F17" s="107">
        <f t="shared" si="0"/>
        <v>0.115</v>
      </c>
    </row>
    <row r="18" spans="2:6" x14ac:dyDescent="0.15">
      <c r="B18" s="108" t="s">
        <v>1171</v>
      </c>
      <c r="C18" s="106">
        <v>1</v>
      </c>
      <c r="D18" s="108" t="s">
        <v>1376</v>
      </c>
      <c r="E18" s="107">
        <f>INGREDIENTS!F28</f>
        <v>5.8000000000000003E-2</v>
      </c>
      <c r="F18" s="107">
        <f t="shared" si="0"/>
        <v>5.8000000000000003E-2</v>
      </c>
    </row>
    <row r="19" spans="2:6" ht="18" x14ac:dyDescent="0.2">
      <c r="F19" s="110">
        <f>SUM(F11:F18)</f>
        <v>1.5243513513513514</v>
      </c>
    </row>
    <row r="20" spans="2:6" x14ac:dyDescent="0.15">
      <c r="B20" t="s">
        <v>1132</v>
      </c>
      <c r="C20" s="58">
        <v>5.5</v>
      </c>
    </row>
    <row r="21" spans="2:6" ht="18" x14ac:dyDescent="0.2">
      <c r="B21" t="s">
        <v>1125</v>
      </c>
      <c r="C21" s="58">
        <f>F19+5%</f>
        <v>1.5743513513513514</v>
      </c>
      <c r="D21" s="111">
        <f>C21/C20</f>
        <v>0.28624570024570023</v>
      </c>
    </row>
    <row r="22" spans="2:6" x14ac:dyDescent="0.15">
      <c r="B22" t="s">
        <v>1133</v>
      </c>
      <c r="C22" s="58">
        <f>C20-C21</f>
        <v>3.9256486486486484</v>
      </c>
      <c r="D22" s="112"/>
    </row>
    <row r="25" spans="2:6" x14ac:dyDescent="0.15">
      <c r="B25" s="167" t="s">
        <v>1427</v>
      </c>
      <c r="C25" s="167"/>
      <c r="D25" s="167"/>
      <c r="E25" s="167"/>
      <c r="F25" s="167"/>
    </row>
    <row r="26" spans="2:6" x14ac:dyDescent="0.15">
      <c r="B26" s="167"/>
      <c r="C26" s="167"/>
      <c r="D26" s="167"/>
      <c r="E26" s="167"/>
      <c r="F26" s="167"/>
    </row>
    <row r="27" spans="2:6" ht="16" x14ac:dyDescent="0.2">
      <c r="B27" s="119" t="s">
        <v>1122</v>
      </c>
      <c r="C27" s="119" t="s">
        <v>1123</v>
      </c>
      <c r="D27" s="119" t="s">
        <v>1124</v>
      </c>
      <c r="E27" s="119" t="s">
        <v>1125</v>
      </c>
      <c r="F27" s="119" t="s">
        <v>1126</v>
      </c>
    </row>
    <row r="28" spans="2:6" x14ac:dyDescent="0.15">
      <c r="B28" s="108" t="s">
        <v>1306</v>
      </c>
      <c r="C28" s="106">
        <v>90</v>
      </c>
      <c r="D28" s="108" t="s">
        <v>1165</v>
      </c>
      <c r="E28" s="107">
        <f>'KITCHEN Prep Cards'!C24</f>
        <v>4.6000000000000008E-3</v>
      </c>
      <c r="F28" s="107">
        <f>E28*C28</f>
        <v>0.41400000000000009</v>
      </c>
    </row>
    <row r="29" spans="2:6" x14ac:dyDescent="0.15">
      <c r="B29" s="108" t="s">
        <v>1428</v>
      </c>
      <c r="C29" s="106">
        <v>25</v>
      </c>
      <c r="D29" s="108" t="s">
        <v>1165</v>
      </c>
      <c r="E29" s="107">
        <f>INGREDIENTS!F198</f>
        <v>2.837837837837838E-2</v>
      </c>
      <c r="F29" s="107">
        <f t="shared" ref="F29:F35" si="1">E29*C29</f>
        <v>0.70945945945945954</v>
      </c>
    </row>
    <row r="30" spans="2:6" x14ac:dyDescent="0.15">
      <c r="B30" s="108" t="s">
        <v>1178</v>
      </c>
      <c r="C30" s="106">
        <v>15</v>
      </c>
      <c r="D30" s="108" t="s">
        <v>1165</v>
      </c>
      <c r="E30" s="107">
        <f>INGREDIENTS!F108</f>
        <v>9.4999999999999998E-3</v>
      </c>
      <c r="F30" s="107">
        <f t="shared" si="1"/>
        <v>0.14249999999999999</v>
      </c>
    </row>
    <row r="31" spans="2:6" x14ac:dyDescent="0.15">
      <c r="B31" s="108" t="s">
        <v>1424</v>
      </c>
      <c r="C31" s="106">
        <v>5</v>
      </c>
      <c r="D31" s="108" t="s">
        <v>1165</v>
      </c>
      <c r="E31" s="107">
        <f>INGREDIENTS!F179</f>
        <v>4.7999999999999996E-3</v>
      </c>
      <c r="F31" s="107">
        <f t="shared" si="1"/>
        <v>2.3999999999999997E-2</v>
      </c>
    </row>
    <row r="32" spans="2:6" x14ac:dyDescent="0.15">
      <c r="B32" s="108" t="s">
        <v>1094</v>
      </c>
      <c r="C32" s="106">
        <v>0.5</v>
      </c>
      <c r="D32" s="108" t="s">
        <v>1129</v>
      </c>
      <c r="E32" s="107">
        <f>INGREDIENTS!F133</f>
        <v>0.01</v>
      </c>
      <c r="F32" s="107">
        <f t="shared" si="1"/>
        <v>5.0000000000000001E-3</v>
      </c>
    </row>
    <row r="33" spans="2:6" x14ac:dyDescent="0.15">
      <c r="B33" s="108" t="s">
        <v>1425</v>
      </c>
      <c r="C33" s="106">
        <v>1</v>
      </c>
      <c r="D33" s="108" t="s">
        <v>1376</v>
      </c>
      <c r="E33" s="107">
        <f>INGREDIENTS!F21</f>
        <v>0.27</v>
      </c>
      <c r="F33" s="107">
        <f t="shared" si="1"/>
        <v>0.27</v>
      </c>
    </row>
    <row r="34" spans="2:6" x14ac:dyDescent="0.15">
      <c r="B34" s="108" t="s">
        <v>1426</v>
      </c>
      <c r="C34" s="106">
        <v>1</v>
      </c>
      <c r="D34" s="108" t="s">
        <v>1376</v>
      </c>
      <c r="E34" s="107">
        <f>INGREDIENTS!F22</f>
        <v>0.115</v>
      </c>
      <c r="F34" s="107">
        <f t="shared" si="1"/>
        <v>0.115</v>
      </c>
    </row>
    <row r="35" spans="2:6" x14ac:dyDescent="0.15">
      <c r="B35" s="108" t="s">
        <v>1171</v>
      </c>
      <c r="C35" s="106">
        <v>1</v>
      </c>
      <c r="D35" s="108" t="s">
        <v>1376</v>
      </c>
      <c r="E35" s="107">
        <f>INGREDIENTS!F28</f>
        <v>5.8000000000000003E-2</v>
      </c>
      <c r="F35" s="107">
        <f t="shared" si="1"/>
        <v>5.8000000000000003E-2</v>
      </c>
    </row>
    <row r="36" spans="2:6" ht="18" x14ac:dyDescent="0.2">
      <c r="F36" s="110">
        <f>SUM(F28:F35)</f>
        <v>1.7379594594594596</v>
      </c>
    </row>
    <row r="37" spans="2:6" x14ac:dyDescent="0.15">
      <c r="B37" t="s">
        <v>1132</v>
      </c>
      <c r="C37" s="58">
        <v>5.5</v>
      </c>
    </row>
    <row r="38" spans="2:6" ht="18" x14ac:dyDescent="0.2">
      <c r="B38" t="s">
        <v>1125</v>
      </c>
      <c r="C38" s="58">
        <f>F36+5%</f>
        <v>1.7879594594594597</v>
      </c>
      <c r="D38" s="111">
        <f>C38/C37</f>
        <v>0.32508353808353813</v>
      </c>
    </row>
    <row r="39" spans="2:6" x14ac:dyDescent="0.15">
      <c r="B39" t="s">
        <v>1133</v>
      </c>
      <c r="C39" s="58">
        <f>C37-C38</f>
        <v>3.7120405405405403</v>
      </c>
      <c r="D39" s="112"/>
    </row>
    <row r="42" spans="2:6" x14ac:dyDescent="0.15">
      <c r="B42" s="167" t="s">
        <v>1430</v>
      </c>
      <c r="C42" s="167"/>
      <c r="D42" s="167"/>
      <c r="E42" s="167"/>
      <c r="F42" s="167"/>
    </row>
    <row r="43" spans="2:6" x14ac:dyDescent="0.15">
      <c r="B43" s="167"/>
      <c r="C43" s="167"/>
      <c r="D43" s="167"/>
      <c r="E43" s="167"/>
      <c r="F43" s="167"/>
    </row>
    <row r="44" spans="2:6" ht="16" x14ac:dyDescent="0.2">
      <c r="B44" s="119" t="s">
        <v>1122</v>
      </c>
      <c r="C44" s="119" t="s">
        <v>1123</v>
      </c>
      <c r="D44" s="119" t="s">
        <v>1124</v>
      </c>
      <c r="E44" s="119" t="s">
        <v>1125</v>
      </c>
      <c r="F44" s="119" t="s">
        <v>1126</v>
      </c>
    </row>
    <row r="45" spans="2:6" x14ac:dyDescent="0.15">
      <c r="B45" s="108" t="s">
        <v>1431</v>
      </c>
      <c r="C45" s="106">
        <v>25</v>
      </c>
      <c r="D45" s="108" t="s">
        <v>1165</v>
      </c>
      <c r="E45" s="107">
        <f>INGREDIENTS!F202</f>
        <v>2.837837837837838E-2</v>
      </c>
      <c r="F45" s="107">
        <f>E45*C45</f>
        <v>0.70945945945945954</v>
      </c>
    </row>
    <row r="46" spans="2:6" x14ac:dyDescent="0.15">
      <c r="B46" s="108" t="s">
        <v>1178</v>
      </c>
      <c r="C46" s="106">
        <v>15</v>
      </c>
      <c r="D46" s="108" t="s">
        <v>1165</v>
      </c>
      <c r="E46" s="107">
        <f>INGREDIENTS!F108</f>
        <v>9.4999999999999998E-3</v>
      </c>
      <c r="F46" s="107">
        <f t="shared" ref="F46:F53" si="2">E46*C46</f>
        <v>0.14249999999999999</v>
      </c>
    </row>
    <row r="47" spans="2:6" x14ac:dyDescent="0.15">
      <c r="B47" s="108" t="s">
        <v>1096</v>
      </c>
      <c r="C47" s="106">
        <v>1</v>
      </c>
      <c r="D47" s="108" t="s">
        <v>1129</v>
      </c>
      <c r="E47" s="107">
        <f>INGREDIENTS!F134</f>
        <v>8.8800000000000004E-2</v>
      </c>
      <c r="F47" s="107">
        <f t="shared" si="2"/>
        <v>8.8800000000000004E-2</v>
      </c>
    </row>
    <row r="48" spans="2:6" x14ac:dyDescent="0.15">
      <c r="B48" s="108" t="s">
        <v>1432</v>
      </c>
      <c r="C48" s="106">
        <v>1</v>
      </c>
      <c r="D48" s="108" t="s">
        <v>1036</v>
      </c>
      <c r="E48" s="107">
        <f>INGREDIENTS!F187</f>
        <v>0.106</v>
      </c>
      <c r="F48" s="107">
        <f t="shared" si="2"/>
        <v>0.106</v>
      </c>
    </row>
    <row r="49" spans="2:6" x14ac:dyDescent="0.15">
      <c r="B49" s="108" t="s">
        <v>1094</v>
      </c>
      <c r="C49" s="106">
        <v>0.5</v>
      </c>
      <c r="D49" s="108" t="s">
        <v>1129</v>
      </c>
      <c r="E49" s="107">
        <f>INGREDIENTS!F133</f>
        <v>0.01</v>
      </c>
      <c r="F49" s="107">
        <f t="shared" si="2"/>
        <v>5.0000000000000001E-3</v>
      </c>
    </row>
    <row r="50" spans="2:6" x14ac:dyDescent="0.15">
      <c r="B50" s="108" t="s">
        <v>1433</v>
      </c>
      <c r="C50" s="106">
        <v>3</v>
      </c>
      <c r="D50" s="108" t="s">
        <v>1129</v>
      </c>
      <c r="E50" s="107">
        <f>INGREDIENTS!F197</f>
        <v>1.7999999999999999E-2</v>
      </c>
      <c r="F50" s="107">
        <f t="shared" si="2"/>
        <v>5.3999999999999992E-2</v>
      </c>
    </row>
    <row r="51" spans="2:6" x14ac:dyDescent="0.15">
      <c r="B51" s="108" t="s">
        <v>1425</v>
      </c>
      <c r="C51" s="106">
        <v>1</v>
      </c>
      <c r="D51" s="108" t="s">
        <v>1376</v>
      </c>
      <c r="E51" s="107">
        <f>INGREDIENTS!F21</f>
        <v>0.27</v>
      </c>
      <c r="F51" s="107">
        <f t="shared" si="2"/>
        <v>0.27</v>
      </c>
    </row>
    <row r="52" spans="2:6" x14ac:dyDescent="0.15">
      <c r="B52" s="108" t="s">
        <v>1426</v>
      </c>
      <c r="C52" s="106">
        <v>1</v>
      </c>
      <c r="D52" s="108" t="s">
        <v>1376</v>
      </c>
      <c r="E52" s="107">
        <f>INGREDIENTS!F22</f>
        <v>0.115</v>
      </c>
      <c r="F52" s="107">
        <f t="shared" si="2"/>
        <v>0.115</v>
      </c>
    </row>
    <row r="53" spans="2:6" x14ac:dyDescent="0.15">
      <c r="B53" s="108" t="s">
        <v>1171</v>
      </c>
      <c r="C53" s="106">
        <v>1</v>
      </c>
      <c r="D53" s="108" t="s">
        <v>1376</v>
      </c>
      <c r="E53" s="107">
        <f>INGREDIENTS!F28</f>
        <v>5.8000000000000003E-2</v>
      </c>
      <c r="F53" s="107">
        <f t="shared" si="2"/>
        <v>5.8000000000000003E-2</v>
      </c>
    </row>
    <row r="54" spans="2:6" ht="18" x14ac:dyDescent="0.2">
      <c r="F54" s="110">
        <f>SUM(F45:F53)</f>
        <v>1.5487594594594596</v>
      </c>
    </row>
    <row r="55" spans="2:6" x14ac:dyDescent="0.15">
      <c r="B55" t="s">
        <v>1132</v>
      </c>
      <c r="C55" s="58">
        <v>5.5</v>
      </c>
    </row>
    <row r="56" spans="2:6" ht="18" x14ac:dyDescent="0.2">
      <c r="B56" t="s">
        <v>1125</v>
      </c>
      <c r="C56" s="58">
        <f>F54+5%</f>
        <v>1.5987594594594596</v>
      </c>
      <c r="D56" s="111">
        <f>C56/C55</f>
        <v>0.29068353808353814</v>
      </c>
    </row>
    <row r="57" spans="2:6" x14ac:dyDescent="0.15">
      <c r="B57" t="s">
        <v>1133</v>
      </c>
      <c r="C57" s="58">
        <f>C55-C56</f>
        <v>3.9012405405405404</v>
      </c>
      <c r="D57" s="112"/>
    </row>
    <row r="61" spans="2:6" x14ac:dyDescent="0.15">
      <c r="B61" s="167" t="s">
        <v>1434</v>
      </c>
      <c r="C61" s="167"/>
      <c r="D61" s="167"/>
      <c r="E61" s="167"/>
      <c r="F61" s="167"/>
    </row>
    <row r="62" spans="2:6" x14ac:dyDescent="0.15">
      <c r="B62" s="167"/>
      <c r="C62" s="167"/>
      <c r="D62" s="167"/>
      <c r="E62" s="167"/>
      <c r="F62" s="167"/>
    </row>
    <row r="63" spans="2:6" ht="16" x14ac:dyDescent="0.2">
      <c r="B63" s="119" t="s">
        <v>1122</v>
      </c>
      <c r="C63" s="119" t="s">
        <v>1123</v>
      </c>
      <c r="D63" s="119" t="s">
        <v>1124</v>
      </c>
      <c r="E63" s="119" t="s">
        <v>1125</v>
      </c>
      <c r="F63" s="119" t="s">
        <v>1126</v>
      </c>
    </row>
    <row r="64" spans="2:6" x14ac:dyDescent="0.15">
      <c r="B64" s="108" t="s">
        <v>1435</v>
      </c>
      <c r="C64" s="106">
        <v>25</v>
      </c>
      <c r="D64" s="108" t="s">
        <v>1165</v>
      </c>
      <c r="E64" s="107">
        <f>INGREDIENTS!F199</f>
        <v>2.837837837837838E-2</v>
      </c>
      <c r="F64" s="107">
        <f>E64*C64</f>
        <v>0.70945945945945954</v>
      </c>
    </row>
    <row r="65" spans="2:6" x14ac:dyDescent="0.15">
      <c r="B65" s="108" t="s">
        <v>1433</v>
      </c>
      <c r="C65" s="106">
        <v>3</v>
      </c>
      <c r="D65" s="108" t="s">
        <v>1129</v>
      </c>
      <c r="E65" s="107">
        <f>INGREDIENTS!F197</f>
        <v>1.7999999999999999E-2</v>
      </c>
      <c r="F65" s="107">
        <f t="shared" ref="F65:F70" si="3">E65*C65</f>
        <v>5.3999999999999992E-2</v>
      </c>
    </row>
    <row r="66" spans="2:6" x14ac:dyDescent="0.15">
      <c r="B66" s="108" t="s">
        <v>1436</v>
      </c>
      <c r="C66" s="106">
        <v>5</v>
      </c>
      <c r="D66" s="108" t="s">
        <v>1176</v>
      </c>
      <c r="E66" s="107">
        <f>INGREDIENTS!F200</f>
        <v>2.837837837837838E-2</v>
      </c>
      <c r="F66" s="107">
        <f t="shared" si="3"/>
        <v>0.14189189189189189</v>
      </c>
    </row>
    <row r="67" spans="2:6" x14ac:dyDescent="0.15">
      <c r="B67" s="108" t="s">
        <v>1424</v>
      </c>
      <c r="C67" s="106">
        <v>10</v>
      </c>
      <c r="D67" s="108" t="s">
        <v>1165</v>
      </c>
      <c r="E67" s="107">
        <f>INGREDIENTS!F179</f>
        <v>4.7999999999999996E-3</v>
      </c>
      <c r="F67" s="107">
        <f t="shared" si="3"/>
        <v>4.7999999999999994E-2</v>
      </c>
    </row>
    <row r="68" spans="2:6" x14ac:dyDescent="0.15">
      <c r="B68" s="108" t="s">
        <v>1425</v>
      </c>
      <c r="C68" s="106">
        <v>1</v>
      </c>
      <c r="D68" s="108" t="s">
        <v>1376</v>
      </c>
      <c r="E68" s="107">
        <f>INGREDIENTS!F21</f>
        <v>0.27</v>
      </c>
      <c r="F68" s="107">
        <f t="shared" si="3"/>
        <v>0.27</v>
      </c>
    </row>
    <row r="69" spans="2:6" x14ac:dyDescent="0.15">
      <c r="B69" s="108" t="s">
        <v>1426</v>
      </c>
      <c r="C69" s="106">
        <v>1</v>
      </c>
      <c r="D69" s="108" t="s">
        <v>1376</v>
      </c>
      <c r="E69" s="107">
        <f>INGREDIENTS!F22</f>
        <v>0.115</v>
      </c>
      <c r="F69" s="107">
        <f t="shared" si="3"/>
        <v>0.115</v>
      </c>
    </row>
    <row r="70" spans="2:6" x14ac:dyDescent="0.15">
      <c r="B70" s="108" t="s">
        <v>1171</v>
      </c>
      <c r="C70" s="106">
        <v>1</v>
      </c>
      <c r="D70" s="108" t="s">
        <v>1376</v>
      </c>
      <c r="E70" s="107">
        <f>INGREDIENTS!F28</f>
        <v>5.8000000000000003E-2</v>
      </c>
      <c r="F70" s="107">
        <f t="shared" si="3"/>
        <v>5.8000000000000003E-2</v>
      </c>
    </row>
    <row r="71" spans="2:6" ht="18" x14ac:dyDescent="0.2">
      <c r="F71" s="110">
        <f>SUM(F64:F70)</f>
        <v>1.3963513513513515</v>
      </c>
    </row>
    <row r="72" spans="2:6" x14ac:dyDescent="0.15">
      <c r="B72" t="s">
        <v>1132</v>
      </c>
      <c r="C72" s="58">
        <v>5.5</v>
      </c>
    </row>
    <row r="73" spans="2:6" ht="18" x14ac:dyDescent="0.2">
      <c r="B73" t="s">
        <v>1125</v>
      </c>
      <c r="C73" s="58">
        <f>F71+5%</f>
        <v>1.4463513513513515</v>
      </c>
      <c r="D73" s="111">
        <f>C73/C72</f>
        <v>0.26297297297297301</v>
      </c>
    </row>
    <row r="74" spans="2:6" x14ac:dyDescent="0.15">
      <c r="B74" t="s">
        <v>1133</v>
      </c>
      <c r="C74" s="58">
        <f>C72-C73</f>
        <v>4.0536486486486485</v>
      </c>
      <c r="D74" s="112"/>
    </row>
    <row r="78" spans="2:6" x14ac:dyDescent="0.15">
      <c r="B78" s="167" t="s">
        <v>1437</v>
      </c>
      <c r="C78" s="167"/>
      <c r="D78" s="167"/>
      <c r="E78" s="167"/>
      <c r="F78" s="167"/>
    </row>
    <row r="79" spans="2:6" x14ac:dyDescent="0.15">
      <c r="B79" s="167"/>
      <c r="C79" s="167"/>
      <c r="D79" s="167"/>
      <c r="E79" s="167"/>
      <c r="F79" s="167"/>
    </row>
    <row r="80" spans="2:6" ht="16" x14ac:dyDescent="0.2">
      <c r="B80" s="119" t="s">
        <v>1122</v>
      </c>
      <c r="C80" s="119" t="s">
        <v>1123</v>
      </c>
      <c r="D80" s="119" t="s">
        <v>1124</v>
      </c>
      <c r="E80" s="119" t="s">
        <v>1125</v>
      </c>
      <c r="F80" s="119" t="s">
        <v>1126</v>
      </c>
    </row>
    <row r="81" spans="2:6" x14ac:dyDescent="0.15">
      <c r="B81" s="108" t="s">
        <v>1438</v>
      </c>
      <c r="C81" s="106">
        <v>25</v>
      </c>
      <c r="D81" s="108" t="s">
        <v>1165</v>
      </c>
      <c r="E81" s="107">
        <f>INGREDIENTS!F203</f>
        <v>2.837837837837838E-2</v>
      </c>
      <c r="F81" s="107">
        <f>E81*C81</f>
        <v>0.70945945945945954</v>
      </c>
    </row>
    <row r="82" spans="2:6" x14ac:dyDescent="0.15">
      <c r="B82" s="108" t="s">
        <v>1178</v>
      </c>
      <c r="C82" s="106">
        <v>10</v>
      </c>
      <c r="D82" s="108" t="s">
        <v>1165</v>
      </c>
      <c r="E82" s="107">
        <f>INGREDIENTS!F108</f>
        <v>9.4999999999999998E-3</v>
      </c>
      <c r="F82" s="107">
        <f t="shared" ref="F82:F88" si="4">E82*C82</f>
        <v>9.5000000000000001E-2</v>
      </c>
    </row>
    <row r="83" spans="2:6" x14ac:dyDescent="0.15">
      <c r="B83" s="108" t="s">
        <v>1439</v>
      </c>
      <c r="C83" s="106">
        <v>5</v>
      </c>
      <c r="D83" s="108" t="s">
        <v>1176</v>
      </c>
      <c r="E83" s="107">
        <f>INGREDIENTS!F179</f>
        <v>4.7999999999999996E-3</v>
      </c>
      <c r="F83" s="107">
        <f t="shared" si="4"/>
        <v>2.3999999999999997E-2</v>
      </c>
    </row>
    <row r="84" spans="2:6" x14ac:dyDescent="0.15">
      <c r="B84" s="108" t="s">
        <v>1433</v>
      </c>
      <c r="C84" s="106">
        <v>3</v>
      </c>
      <c r="D84" s="108" t="s">
        <v>1129</v>
      </c>
      <c r="E84" s="107">
        <f>INGREDIENTS!F197</f>
        <v>1.7999999999999999E-2</v>
      </c>
      <c r="F84" s="107">
        <f t="shared" si="4"/>
        <v>5.3999999999999992E-2</v>
      </c>
    </row>
    <row r="85" spans="2:6" x14ac:dyDescent="0.15">
      <c r="B85" s="108" t="s">
        <v>1440</v>
      </c>
      <c r="C85" s="106">
        <v>0.05</v>
      </c>
      <c r="D85" s="108" t="s">
        <v>1165</v>
      </c>
      <c r="E85" s="107">
        <f>6/200</f>
        <v>0.03</v>
      </c>
      <c r="F85" s="107">
        <f t="shared" si="4"/>
        <v>1.5E-3</v>
      </c>
    </row>
    <row r="86" spans="2:6" x14ac:dyDescent="0.15">
      <c r="B86" s="108" t="s">
        <v>1425</v>
      </c>
      <c r="C86" s="106">
        <v>1</v>
      </c>
      <c r="D86" s="108" t="s">
        <v>1376</v>
      </c>
      <c r="E86" s="107">
        <f>INGREDIENTS!F21</f>
        <v>0.27</v>
      </c>
      <c r="F86" s="107">
        <f t="shared" si="4"/>
        <v>0.27</v>
      </c>
    </row>
    <row r="87" spans="2:6" x14ac:dyDescent="0.15">
      <c r="B87" s="108" t="s">
        <v>1426</v>
      </c>
      <c r="C87" s="106">
        <v>1</v>
      </c>
      <c r="D87" s="108" t="s">
        <v>1376</v>
      </c>
      <c r="E87" s="107">
        <f>INGREDIENTS!F22</f>
        <v>0.115</v>
      </c>
      <c r="F87" s="107">
        <f t="shared" si="4"/>
        <v>0.115</v>
      </c>
    </row>
    <row r="88" spans="2:6" x14ac:dyDescent="0.15">
      <c r="B88" s="108" t="s">
        <v>1171</v>
      </c>
      <c r="C88" s="106">
        <v>1</v>
      </c>
      <c r="D88" s="108" t="s">
        <v>1376</v>
      </c>
      <c r="E88" s="107">
        <f>INGREDIENTS!F28</f>
        <v>5.8000000000000003E-2</v>
      </c>
      <c r="F88" s="107">
        <f t="shared" si="4"/>
        <v>5.8000000000000003E-2</v>
      </c>
    </row>
    <row r="89" spans="2:6" ht="18" x14ac:dyDescent="0.2">
      <c r="F89" s="110">
        <f>SUM(F81:F88)</f>
        <v>1.3269594594594594</v>
      </c>
    </row>
    <row r="90" spans="2:6" x14ac:dyDescent="0.15">
      <c r="B90" t="s">
        <v>1132</v>
      </c>
      <c r="C90" s="58">
        <v>5.5</v>
      </c>
    </row>
    <row r="91" spans="2:6" ht="18" x14ac:dyDescent="0.2">
      <c r="B91" t="s">
        <v>1125</v>
      </c>
      <c r="C91" s="58">
        <f>F89+5%</f>
        <v>1.3769594594594594</v>
      </c>
      <c r="D91" s="111">
        <f>C91/C90</f>
        <v>0.25035626535626537</v>
      </c>
    </row>
    <row r="92" spans="2:6" x14ac:dyDescent="0.15">
      <c r="B92" t="s">
        <v>1133</v>
      </c>
      <c r="C92" s="58">
        <f>C90-C91</f>
        <v>4.1230405405405408</v>
      </c>
      <c r="D92" s="112"/>
    </row>
  </sheetData>
  <mergeCells count="5">
    <mergeCell ref="B8:F9"/>
    <mergeCell ref="B25:F26"/>
    <mergeCell ref="B42:F43"/>
    <mergeCell ref="B61:F62"/>
    <mergeCell ref="B78:F7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8FEF-5AB4-4C00-847F-7ABC34961A74}">
  <dimension ref="A3:G143"/>
  <sheetViews>
    <sheetView topLeftCell="A24" zoomScale="75" workbookViewId="0">
      <selection activeCell="J112" sqref="J112"/>
    </sheetView>
  </sheetViews>
  <sheetFormatPr baseColWidth="10" defaultColWidth="8.83203125" defaultRowHeight="13" x14ac:dyDescent="0.15"/>
  <cols>
    <col min="1" max="1" width="5.6640625" customWidth="1"/>
    <col min="2" max="2" width="23.83203125" bestFit="1" customWidth="1"/>
    <col min="3" max="3" width="12.1640625" bestFit="1" customWidth="1"/>
    <col min="5" max="5" width="12.83203125" bestFit="1" customWidth="1"/>
    <col min="6" max="6" width="17.1640625" bestFit="1" customWidth="1"/>
    <col min="7" max="7" width="23.1640625" customWidth="1"/>
    <col min="8" max="8" width="20.5" bestFit="1" customWidth="1"/>
    <col min="9" max="9" width="10" bestFit="1" customWidth="1"/>
  </cols>
  <sheetData>
    <row r="3" spans="2:6" ht="23" customHeight="1" x14ac:dyDescent="0.15">
      <c r="B3" s="167" t="s">
        <v>1152</v>
      </c>
      <c r="C3" s="167"/>
      <c r="D3" s="167"/>
      <c r="E3" s="167"/>
      <c r="F3" s="167"/>
    </row>
    <row r="4" spans="2:6" x14ac:dyDescent="0.15">
      <c r="B4" s="167"/>
      <c r="C4" s="167"/>
      <c r="D4" s="167"/>
      <c r="E4" s="167"/>
      <c r="F4" s="167"/>
    </row>
    <row r="5" spans="2:6" ht="16" x14ac:dyDescent="0.2">
      <c r="B5" s="119" t="s">
        <v>1122</v>
      </c>
      <c r="C5" s="119" t="s">
        <v>1123</v>
      </c>
      <c r="D5" s="119" t="s">
        <v>1124</v>
      </c>
      <c r="E5" s="119" t="s">
        <v>1125</v>
      </c>
      <c r="F5" s="119" t="s">
        <v>1126</v>
      </c>
    </row>
    <row r="6" spans="2:6" x14ac:dyDescent="0.15">
      <c r="B6" s="106" t="s">
        <v>1153</v>
      </c>
      <c r="C6" s="106">
        <v>50</v>
      </c>
      <c r="D6" s="106" t="s">
        <v>1129</v>
      </c>
      <c r="E6" s="107">
        <f>INGREDIENTS!F$120</f>
        <v>1.0999999999999999E-2</v>
      </c>
      <c r="F6" s="107">
        <f>Table1[[#This Row],[Cost Price ]]*Table1[[#This Row],[Quantity]]</f>
        <v>0.54999999999999993</v>
      </c>
    </row>
    <row r="7" spans="2:6" x14ac:dyDescent="0.15">
      <c r="B7" s="106" t="s">
        <v>1090</v>
      </c>
      <c r="C7" s="106">
        <v>15</v>
      </c>
      <c r="D7" s="106" t="s">
        <v>1001</v>
      </c>
      <c r="E7" s="107">
        <f>INGREDIENTS!F$131</f>
        <v>1.0571428571428572E-2</v>
      </c>
      <c r="F7" s="107">
        <f>Table1[[#This Row],[Cost Price ]]*Table1[[#This Row],[Quantity]]</f>
        <v>0.15857142857142859</v>
      </c>
    </row>
    <row r="8" spans="2:6" x14ac:dyDescent="0.15">
      <c r="B8" s="106" t="s">
        <v>1048</v>
      </c>
      <c r="C8" s="106">
        <v>5</v>
      </c>
      <c r="D8" s="106" t="s">
        <v>1129</v>
      </c>
      <c r="E8" s="107">
        <f>INGREDIENTS!F$93</f>
        <v>7.0000000000000007E-2</v>
      </c>
      <c r="F8" s="107">
        <f>Table1[[#This Row],[Cost Price ]]*Table1[[#This Row],[Quantity]]</f>
        <v>0.35000000000000003</v>
      </c>
    </row>
    <row r="9" spans="2:6" x14ac:dyDescent="0.15">
      <c r="B9" s="106" t="s">
        <v>1155</v>
      </c>
      <c r="C9" s="106">
        <v>130</v>
      </c>
      <c r="D9" s="106" t="s">
        <v>1129</v>
      </c>
      <c r="E9" s="107">
        <f>INGREDIENTS!F$122</f>
        <v>1.2E-2</v>
      </c>
      <c r="F9" s="107">
        <f>Table1[[#This Row],[Cost Price ]]*Table1[[#This Row],[Quantity]]</f>
        <v>1.56</v>
      </c>
    </row>
    <row r="10" spans="2:6" x14ac:dyDescent="0.15">
      <c r="B10" s="108" t="s">
        <v>1315</v>
      </c>
      <c r="C10" s="106">
        <v>30</v>
      </c>
      <c r="D10" s="108" t="s">
        <v>1129</v>
      </c>
      <c r="E10" s="107">
        <f>INGREDIENTS!F117</f>
        <v>4.4999999999999997E-3</v>
      </c>
      <c r="F10" s="107">
        <f>Table1[[#This Row],[Cost Price ]]*Table1[[#This Row],[Quantity]]</f>
        <v>0.13499999999999998</v>
      </c>
    </row>
    <row r="11" spans="2:6" x14ac:dyDescent="0.15">
      <c r="B11" s="106" t="s">
        <v>1094</v>
      </c>
      <c r="C11" s="106">
        <v>1</v>
      </c>
      <c r="D11" s="106" t="s">
        <v>1129</v>
      </c>
      <c r="E11" s="107">
        <f>INGREDIENTS!F128</f>
        <v>1.9E-2</v>
      </c>
      <c r="F11" s="107">
        <f>Table1[[#This Row],[Cost Price ]]*Table1[[#This Row],[Quantity]]</f>
        <v>1.9E-2</v>
      </c>
    </row>
    <row r="12" spans="2:6" x14ac:dyDescent="0.15">
      <c r="B12" s="108" t="s">
        <v>1295</v>
      </c>
      <c r="C12" s="106">
        <v>25</v>
      </c>
      <c r="D12" s="108" t="s">
        <v>1129</v>
      </c>
      <c r="E12" s="107">
        <f>'KITCHEN Prep Cards'!C50</f>
        <v>5.1098214285714282E-2</v>
      </c>
      <c r="F12" s="107">
        <f>Table1[[#This Row],[Cost Price ]]*Table1[[#This Row],[Quantity]]</f>
        <v>1.2774553571428571</v>
      </c>
    </row>
    <row r="13" spans="2:6" x14ac:dyDescent="0.15">
      <c r="B13" s="106" t="s">
        <v>1156</v>
      </c>
      <c r="C13" s="106">
        <v>1</v>
      </c>
      <c r="D13" s="106" t="s">
        <v>1129</v>
      </c>
      <c r="E13" s="107">
        <f>INGREDIENTS!F133</f>
        <v>0.01</v>
      </c>
      <c r="F13" s="107">
        <f>Table1[[#This Row],[Cost Price ]]*Table1[[#This Row],[Quantity]]</f>
        <v>0.01</v>
      </c>
    </row>
    <row r="14" spans="2:6" x14ac:dyDescent="0.15">
      <c r="B14" s="54"/>
      <c r="C14" s="58"/>
      <c r="E14" s="58"/>
    </row>
    <row r="15" spans="2:6" x14ac:dyDescent="0.15">
      <c r="C15" s="58"/>
      <c r="E15" s="58"/>
    </row>
    <row r="16" spans="2:6" x14ac:dyDescent="0.15">
      <c r="C16" s="58"/>
      <c r="E16" s="58"/>
    </row>
    <row r="17" spans="2:6" x14ac:dyDescent="0.15">
      <c r="C17" s="58"/>
      <c r="E17" s="58"/>
    </row>
    <row r="18" spans="2:6" ht="18" x14ac:dyDescent="0.2">
      <c r="E18" s="58"/>
      <c r="F18" s="110">
        <f>SUM(F6:F13)</f>
        <v>4.0600267857142853</v>
      </c>
    </row>
    <row r="19" spans="2:6" x14ac:dyDescent="0.15">
      <c r="B19" t="s">
        <v>1132</v>
      </c>
      <c r="C19" s="58">
        <v>27</v>
      </c>
      <c r="E19" s="58"/>
    </row>
    <row r="20" spans="2:6" ht="18" x14ac:dyDescent="0.2">
      <c r="B20" t="s">
        <v>1125</v>
      </c>
      <c r="C20" s="58">
        <f>F18+5%</f>
        <v>4.1100267857142851</v>
      </c>
      <c r="D20" s="109">
        <f>C20/C19</f>
        <v>0.15222321428571425</v>
      </c>
      <c r="E20" s="58"/>
    </row>
    <row r="21" spans="2:6" x14ac:dyDescent="0.15">
      <c r="B21" t="s">
        <v>1133</v>
      </c>
      <c r="C21" s="58">
        <f>C19-C20</f>
        <v>22.889973214285714</v>
      </c>
      <c r="D21" s="57"/>
      <c r="E21" s="58"/>
    </row>
    <row r="24" spans="2:6" ht="23" customHeight="1" x14ac:dyDescent="0.15">
      <c r="B24" s="167" t="s">
        <v>1157</v>
      </c>
      <c r="C24" s="167"/>
      <c r="D24" s="167"/>
      <c r="E24" s="167"/>
      <c r="F24" s="167"/>
    </row>
    <row r="25" spans="2:6" x14ac:dyDescent="0.15">
      <c r="B25" s="167"/>
      <c r="C25" s="167"/>
      <c r="D25" s="167"/>
      <c r="E25" s="167"/>
      <c r="F25" s="167"/>
    </row>
    <row r="26" spans="2:6" ht="16" x14ac:dyDescent="0.2">
      <c r="B26" s="119" t="s">
        <v>1122</v>
      </c>
      <c r="C26" s="119" t="s">
        <v>1123</v>
      </c>
      <c r="D26" s="119" t="s">
        <v>1124</v>
      </c>
      <c r="E26" s="119" t="s">
        <v>1125</v>
      </c>
      <c r="F26" s="119" t="s">
        <v>1126</v>
      </c>
    </row>
    <row r="27" spans="2:6" x14ac:dyDescent="0.15">
      <c r="B27" s="106" t="s">
        <v>1153</v>
      </c>
      <c r="C27" s="106">
        <v>90</v>
      </c>
      <c r="D27" s="106" t="s">
        <v>1129</v>
      </c>
      <c r="E27" s="107">
        <f>INGREDIENTS!F137</f>
        <v>1.7999999999999999E-2</v>
      </c>
      <c r="F27" s="107">
        <f>Table13[[#This Row],[Cost Price ]]*Table13[[#This Row],[Quantity]]</f>
        <v>1.6199999999999999</v>
      </c>
    </row>
    <row r="28" spans="2:6" x14ac:dyDescent="0.15">
      <c r="B28" s="106" t="s">
        <v>1090</v>
      </c>
      <c r="C28" s="106">
        <v>15</v>
      </c>
      <c r="D28" s="106" t="s">
        <v>1001</v>
      </c>
      <c r="E28" s="107">
        <f>INGREDIENTS!F131</f>
        <v>1.0571428571428572E-2</v>
      </c>
      <c r="F28" s="107">
        <f>Table13[[#This Row],[Cost Price ]]*Table13[[#This Row],[Quantity]]</f>
        <v>0.15857142857142859</v>
      </c>
    </row>
    <row r="29" spans="2:6" x14ac:dyDescent="0.15">
      <c r="B29" s="106" t="s">
        <v>1048</v>
      </c>
      <c r="C29" s="106">
        <v>5</v>
      </c>
      <c r="D29" s="106" t="s">
        <v>1129</v>
      </c>
      <c r="E29" s="107">
        <f>INGREDIENTS!F93</f>
        <v>7.0000000000000007E-2</v>
      </c>
      <c r="F29" s="107">
        <f>Table13[[#This Row],[Cost Price ]]*Table13[[#This Row],[Quantity]]</f>
        <v>0.35000000000000003</v>
      </c>
    </row>
    <row r="30" spans="2:6" x14ac:dyDescent="0.15">
      <c r="B30" s="108" t="s">
        <v>1315</v>
      </c>
      <c r="C30" s="106">
        <v>50</v>
      </c>
      <c r="D30" s="108" t="s">
        <v>1129</v>
      </c>
      <c r="E30" s="107">
        <f>INGREDIENTS!F117</f>
        <v>4.4999999999999997E-3</v>
      </c>
      <c r="F30" s="107">
        <f>Table13[[#This Row],[Cost Price ]]*Table13[[#This Row],[Quantity]]</f>
        <v>0.22499999999999998</v>
      </c>
    </row>
    <row r="31" spans="2:6" x14ac:dyDescent="0.15">
      <c r="B31" s="108" t="s">
        <v>1298</v>
      </c>
      <c r="C31" s="106">
        <v>1</v>
      </c>
      <c r="D31" s="108" t="s">
        <v>1036</v>
      </c>
      <c r="E31" s="107">
        <f>INGREDIENTS!D81</f>
        <v>2</v>
      </c>
      <c r="F31" s="107">
        <f>Table13[[#This Row],[Cost Price ]]*Table13[[#This Row],[Quantity]]</f>
        <v>2</v>
      </c>
    </row>
    <row r="32" spans="2:6" x14ac:dyDescent="0.15">
      <c r="B32" s="106" t="s">
        <v>1094</v>
      </c>
      <c r="C32" s="106">
        <v>1</v>
      </c>
      <c r="D32" s="106" t="s">
        <v>1129</v>
      </c>
      <c r="E32" s="107">
        <f>INGREDIENTS!F133</f>
        <v>0.01</v>
      </c>
      <c r="F32" s="107">
        <f>Table13[[#This Row],[Cost Price ]]*Table13[[#This Row],[Quantity]]</f>
        <v>0.01</v>
      </c>
    </row>
    <row r="33" spans="2:6" x14ac:dyDescent="0.15">
      <c r="B33" s="108" t="s">
        <v>1295</v>
      </c>
      <c r="C33" s="106">
        <v>30</v>
      </c>
      <c r="D33" s="108" t="s">
        <v>1129</v>
      </c>
      <c r="E33" s="107">
        <f>'KITCHEN Prep Cards'!C50</f>
        <v>5.1098214285714282E-2</v>
      </c>
      <c r="F33" s="107">
        <f>Table13[[#This Row],[Cost Price ]]*Table13[[#This Row],[Quantity]]</f>
        <v>1.5329464285714285</v>
      </c>
    </row>
    <row r="34" spans="2:6" x14ac:dyDescent="0.15">
      <c r="B34" s="106" t="s">
        <v>1156</v>
      </c>
      <c r="C34" s="106">
        <v>1</v>
      </c>
      <c r="D34" s="106" t="s">
        <v>1129</v>
      </c>
      <c r="E34" s="107">
        <f>INGREDIENTS!F158</f>
        <v>0.06</v>
      </c>
      <c r="F34" s="107">
        <f>Table13[[#This Row],[Cost Price ]]*Table13[[#This Row],[Quantity]]</f>
        <v>0.06</v>
      </c>
    </row>
    <row r="35" spans="2:6" x14ac:dyDescent="0.15">
      <c r="B35" s="108" t="s">
        <v>1006</v>
      </c>
      <c r="C35" s="106">
        <v>1</v>
      </c>
      <c r="D35" s="108" t="s">
        <v>1036</v>
      </c>
      <c r="E35" s="107">
        <f>INGREDIENTS!F51</f>
        <v>0.41428571428571426</v>
      </c>
      <c r="F35" s="107">
        <f>Table13[[#This Row],[Cost Price ]]*Table13[[#This Row],[Quantity]]</f>
        <v>0.41428571428571426</v>
      </c>
    </row>
    <row r="36" spans="2:6" x14ac:dyDescent="0.15">
      <c r="B36" s="106"/>
      <c r="C36" s="106"/>
      <c r="D36" s="106"/>
      <c r="E36" s="107"/>
      <c r="F36" s="107"/>
    </row>
    <row r="37" spans="2:6" x14ac:dyDescent="0.15">
      <c r="B37" s="106"/>
      <c r="C37" s="106"/>
      <c r="D37" s="106"/>
      <c r="E37" s="107"/>
      <c r="F37" s="107"/>
    </row>
    <row r="38" spans="2:6" ht="18" x14ac:dyDescent="0.2">
      <c r="E38" s="58"/>
      <c r="F38" s="110">
        <f>SUM(F27:F36)</f>
        <v>6.3708035714285716</v>
      </c>
    </row>
    <row r="39" spans="2:6" x14ac:dyDescent="0.15">
      <c r="B39" t="s">
        <v>1132</v>
      </c>
      <c r="C39" s="58">
        <v>25</v>
      </c>
      <c r="E39" s="58"/>
      <c r="F39" s="58">
        <f>Table13[[#This Row],[Cost Price ]]*Table13[[#This Row],[Quantity]]</f>
        <v>0</v>
      </c>
    </row>
    <row r="40" spans="2:6" ht="18" x14ac:dyDescent="0.2">
      <c r="B40" t="s">
        <v>1125</v>
      </c>
      <c r="C40" s="58">
        <f>F38+5%</f>
        <v>6.4208035714285714</v>
      </c>
      <c r="D40" s="109">
        <f>C40/C39</f>
        <v>0.25683214285714284</v>
      </c>
      <c r="E40" s="58"/>
      <c r="F40" s="58">
        <f>Table13[[#This Row],[Cost Price ]]*Table13[[#This Row],[Quantity]]</f>
        <v>0</v>
      </c>
    </row>
    <row r="41" spans="2:6" x14ac:dyDescent="0.15">
      <c r="B41" t="s">
        <v>1133</v>
      </c>
      <c r="C41" s="58">
        <f>C39-C40</f>
        <v>18.579196428571429</v>
      </c>
      <c r="D41" s="57"/>
      <c r="E41" s="58"/>
      <c r="F41" s="58">
        <f>Table13[[#This Row],[Cost Price ]]*Table13[[#This Row],[Quantity]]</f>
        <v>0</v>
      </c>
    </row>
    <row r="44" spans="2:6" ht="23" customHeight="1" x14ac:dyDescent="0.15">
      <c r="B44" s="167" t="s">
        <v>1159</v>
      </c>
      <c r="C44" s="167"/>
      <c r="D44" s="167"/>
      <c r="E44" s="167"/>
      <c r="F44" s="167"/>
    </row>
    <row r="45" spans="2:6" x14ac:dyDescent="0.15">
      <c r="B45" s="167"/>
      <c r="C45" s="167"/>
      <c r="D45" s="167"/>
      <c r="E45" s="167"/>
      <c r="F45" s="167"/>
    </row>
    <row r="46" spans="2:6" ht="16" x14ac:dyDescent="0.2">
      <c r="B46" s="119" t="s">
        <v>1122</v>
      </c>
      <c r="C46" s="119" t="s">
        <v>1123</v>
      </c>
      <c r="D46" s="119" t="s">
        <v>1124</v>
      </c>
      <c r="E46" s="119" t="s">
        <v>1125</v>
      </c>
      <c r="F46" s="119" t="s">
        <v>1126</v>
      </c>
    </row>
    <row r="47" spans="2:6" x14ac:dyDescent="0.15">
      <c r="B47" s="106" t="s">
        <v>1042</v>
      </c>
      <c r="C47" s="106">
        <v>50</v>
      </c>
      <c r="D47" s="106" t="s">
        <v>1001</v>
      </c>
      <c r="E47" s="107">
        <f>INGREDIENTS!$F90</f>
        <v>2.5999999999999999E-2</v>
      </c>
      <c r="F47" s="107">
        <f>Table134[[#This Row],[Cost Price ]]*Table134[[#This Row],[Quantity]]</f>
        <v>1.3</v>
      </c>
    </row>
    <row r="48" spans="2:6" x14ac:dyDescent="0.15">
      <c r="B48" s="108" t="s">
        <v>1051</v>
      </c>
      <c r="C48" s="106">
        <v>130</v>
      </c>
      <c r="D48" s="106" t="s">
        <v>1129</v>
      </c>
      <c r="E48" s="107">
        <f>INGREDIENTS!$F95</f>
        <v>1.6E-2</v>
      </c>
      <c r="F48" s="107">
        <f>Table134[[#This Row],[Cost Price ]]*Table134[[#This Row],[Quantity]]</f>
        <v>2.08</v>
      </c>
    </row>
    <row r="49" spans="2:6" x14ac:dyDescent="0.15">
      <c r="B49" s="108" t="s">
        <v>1154</v>
      </c>
      <c r="C49" s="106">
        <v>5</v>
      </c>
      <c r="D49" s="106" t="s">
        <v>1129</v>
      </c>
      <c r="E49" s="107">
        <f>INGREDIENTS!$F123</f>
        <v>0.01</v>
      </c>
      <c r="F49" s="107">
        <f>Table134[[#This Row],[Cost Price ]]*Table134[[#This Row],[Quantity]]</f>
        <v>0.05</v>
      </c>
    </row>
    <row r="50" spans="2:6" x14ac:dyDescent="0.15">
      <c r="B50" s="106" t="s">
        <v>1090</v>
      </c>
      <c r="C50" s="106">
        <v>5</v>
      </c>
      <c r="D50" s="106" t="s">
        <v>1001</v>
      </c>
      <c r="E50" s="107">
        <f>INGREDIENTS!F$131</f>
        <v>1.0571428571428572E-2</v>
      </c>
      <c r="F50" s="107">
        <f>Table134[[#This Row],[Cost Price ]]*Table134[[#This Row],[Quantity]]</f>
        <v>5.2857142857142859E-2</v>
      </c>
    </row>
    <row r="51" spans="2:6" x14ac:dyDescent="0.15">
      <c r="B51" s="106" t="s">
        <v>1048</v>
      </c>
      <c r="C51" s="106">
        <v>10</v>
      </c>
      <c r="D51" s="106" t="s">
        <v>1129</v>
      </c>
      <c r="E51" s="107">
        <f>INGREDIENTS!F$93</f>
        <v>7.0000000000000007E-2</v>
      </c>
      <c r="F51" s="107">
        <f>Table134[[#This Row],[Cost Price ]]*Table134[[#This Row],[Quantity]]</f>
        <v>0.70000000000000007</v>
      </c>
    </row>
    <row r="52" spans="2:6" x14ac:dyDescent="0.15">
      <c r="B52" s="108" t="s">
        <v>1313</v>
      </c>
      <c r="C52" s="106">
        <v>20</v>
      </c>
      <c r="D52" s="106" t="s">
        <v>1129</v>
      </c>
      <c r="E52" s="107">
        <f>INGREDIENTS!F88</f>
        <v>1.8800000000000001E-2</v>
      </c>
      <c r="F52" s="107">
        <f>Table134[[#This Row],[Cost Price ]]*Table134[[#This Row],[Quantity]]</f>
        <v>0.376</v>
      </c>
    </row>
    <row r="53" spans="2:6" x14ac:dyDescent="0.15">
      <c r="B53" s="106" t="s">
        <v>1160</v>
      </c>
      <c r="C53" s="106">
        <v>0.5</v>
      </c>
      <c r="D53" s="106" t="s">
        <v>1036</v>
      </c>
      <c r="E53" s="107">
        <f>INGREDIENTS!$F77</f>
        <v>2.2857142857142856</v>
      </c>
      <c r="F53" s="107">
        <f>Table134[[#This Row],[Cost Price ]]*Table134[[#This Row],[Quantity]]</f>
        <v>1.1428571428571428</v>
      </c>
    </row>
    <row r="54" spans="2:6" x14ac:dyDescent="0.15">
      <c r="B54" s="106" t="s">
        <v>1153</v>
      </c>
      <c r="C54" s="106">
        <v>130</v>
      </c>
      <c r="D54" s="106" t="s">
        <v>1129</v>
      </c>
      <c r="E54" s="107">
        <f>INGREDIENTS!$F137</f>
        <v>1.7999999999999999E-2</v>
      </c>
      <c r="F54" s="107">
        <f>Table134[[#This Row],[Cost Price ]]*Table134[[#This Row],[Quantity]]</f>
        <v>2.34</v>
      </c>
    </row>
    <row r="55" spans="2:6" x14ac:dyDescent="0.15">
      <c r="B55" s="106" t="s">
        <v>1094</v>
      </c>
      <c r="C55" s="106">
        <v>1</v>
      </c>
      <c r="D55" s="106" t="s">
        <v>1129</v>
      </c>
      <c r="E55" s="107">
        <f>INGREDIENTS!F$133</f>
        <v>0.01</v>
      </c>
      <c r="F55" s="107">
        <f>Table134[[#This Row],[Cost Price ]]*Table134[[#This Row],[Quantity]]</f>
        <v>0.01</v>
      </c>
    </row>
    <row r="56" spans="2:6" x14ac:dyDescent="0.15">
      <c r="B56" s="106" t="s">
        <v>1158</v>
      </c>
      <c r="C56" s="106">
        <v>1</v>
      </c>
      <c r="D56" s="106" t="s">
        <v>1129</v>
      </c>
      <c r="E56" s="107">
        <f>INGREDIENTS!$F120</f>
        <v>1.0999999999999999E-2</v>
      </c>
      <c r="F56" s="107">
        <f>Table134[[#This Row],[Cost Price ]]*Table134[[#This Row],[Quantity]]</f>
        <v>1.0999999999999999E-2</v>
      </c>
    </row>
    <row r="57" spans="2:6" ht="18" x14ac:dyDescent="0.2">
      <c r="E57" s="58"/>
      <c r="F57" s="110">
        <f>SUM(F47:F53)</f>
        <v>5.7017142857142851</v>
      </c>
    </row>
    <row r="58" spans="2:6" x14ac:dyDescent="0.15">
      <c r="B58" t="s">
        <v>1132</v>
      </c>
      <c r="C58" s="58">
        <v>27</v>
      </c>
      <c r="E58" s="58"/>
    </row>
    <row r="59" spans="2:6" ht="18" x14ac:dyDescent="0.2">
      <c r="B59" t="s">
        <v>1125</v>
      </c>
      <c r="C59" s="58">
        <f>F57+5%</f>
        <v>5.7517142857142849</v>
      </c>
      <c r="D59" s="109">
        <f>C59/C58</f>
        <v>0.21302645502645501</v>
      </c>
      <c r="E59" s="58"/>
    </row>
    <row r="60" spans="2:6" x14ac:dyDescent="0.15">
      <c r="B60" t="s">
        <v>1133</v>
      </c>
      <c r="C60" s="58">
        <f>C58-C59</f>
        <v>21.248285714285714</v>
      </c>
      <c r="D60" s="57"/>
      <c r="E60" s="58"/>
    </row>
    <row r="63" spans="2:6" ht="23" customHeight="1" x14ac:dyDescent="0.15">
      <c r="B63" s="167" t="s">
        <v>1161</v>
      </c>
      <c r="C63" s="167"/>
      <c r="D63" s="167"/>
      <c r="E63" s="167"/>
      <c r="F63" s="167"/>
    </row>
    <row r="64" spans="2:6" x14ac:dyDescent="0.15">
      <c r="B64" s="167"/>
      <c r="C64" s="167"/>
      <c r="D64" s="167"/>
      <c r="E64" s="167"/>
      <c r="F64" s="167"/>
    </row>
    <row r="65" spans="1:7" ht="16" x14ac:dyDescent="0.2">
      <c r="B65" s="119" t="s">
        <v>1122</v>
      </c>
      <c r="C65" s="119" t="s">
        <v>1123</v>
      </c>
      <c r="D65" s="119" t="s">
        <v>1124</v>
      </c>
      <c r="E65" s="119" t="s">
        <v>1125</v>
      </c>
      <c r="F65" s="119" t="s">
        <v>1126</v>
      </c>
    </row>
    <row r="66" spans="1:7" x14ac:dyDescent="0.15">
      <c r="B66" s="106" t="s">
        <v>1042</v>
      </c>
      <c r="C66" s="106">
        <v>50</v>
      </c>
      <c r="D66" s="106" t="s">
        <v>1001</v>
      </c>
      <c r="E66" s="107">
        <f>INGREDIENTS!F90</f>
        <v>2.5999999999999999E-2</v>
      </c>
      <c r="F66" s="107">
        <f>Table1346[[#This Row],[Cost Price ]]*Table1346[[#This Row],[Quantity]]</f>
        <v>1.3</v>
      </c>
    </row>
    <row r="67" spans="1:7" x14ac:dyDescent="0.15">
      <c r="B67" s="108" t="s">
        <v>1323</v>
      </c>
      <c r="C67" s="106">
        <v>130</v>
      </c>
      <c r="D67" s="106" t="s">
        <v>1129</v>
      </c>
      <c r="E67" s="107">
        <f>INGREDIENTS!$F121</f>
        <v>1.9E-2</v>
      </c>
      <c r="F67" s="107">
        <f>Table1346[[#This Row],[Cost Price ]]*Table1346[[#This Row],[Quantity]]</f>
        <v>2.4699999999999998</v>
      </c>
    </row>
    <row r="68" spans="1:7" x14ac:dyDescent="0.15">
      <c r="B68" s="108" t="s">
        <v>1154</v>
      </c>
      <c r="C68" s="106">
        <v>5</v>
      </c>
      <c r="D68" s="106" t="s">
        <v>1129</v>
      </c>
      <c r="E68" s="107">
        <f>INGREDIENTS!F123</f>
        <v>0.01</v>
      </c>
      <c r="F68" s="107">
        <f>Table1346[[#This Row],[Cost Price ]]*Table1346[[#This Row],[Quantity]]</f>
        <v>0.05</v>
      </c>
    </row>
    <row r="69" spans="1:7" x14ac:dyDescent="0.15">
      <c r="B69" s="106" t="s">
        <v>1090</v>
      </c>
      <c r="C69" s="106">
        <v>5</v>
      </c>
      <c r="D69" s="106" t="s">
        <v>1001</v>
      </c>
      <c r="E69" s="107">
        <f>INGREDIENTS!F$131</f>
        <v>1.0571428571428572E-2</v>
      </c>
      <c r="F69" s="107">
        <f>Table1346[[#This Row],[Cost Price ]]*Table1346[[#This Row],[Quantity]]</f>
        <v>5.2857142857142859E-2</v>
      </c>
    </row>
    <row r="70" spans="1:7" x14ac:dyDescent="0.15">
      <c r="B70" s="106" t="s">
        <v>1048</v>
      </c>
      <c r="C70" s="106">
        <v>10</v>
      </c>
      <c r="D70" s="106" t="s">
        <v>1129</v>
      </c>
      <c r="E70" s="107">
        <f>INGREDIENTS!F$93</f>
        <v>7.0000000000000007E-2</v>
      </c>
      <c r="F70" s="107">
        <f>Table1346[[#This Row],[Cost Price ]]*Table1346[[#This Row],[Quantity]]</f>
        <v>0.70000000000000007</v>
      </c>
    </row>
    <row r="71" spans="1:7" x14ac:dyDescent="0.15">
      <c r="B71" s="108" t="s">
        <v>1314</v>
      </c>
      <c r="C71" s="106">
        <v>20</v>
      </c>
      <c r="D71" s="106" t="s">
        <v>1129</v>
      </c>
      <c r="E71" s="107">
        <f>INGREDIENTS!F88</f>
        <v>1.8800000000000001E-2</v>
      </c>
      <c r="F71" s="107">
        <f>Table1346[[#This Row],[Cost Price ]]*Table1346[[#This Row],[Quantity]]</f>
        <v>0.376</v>
      </c>
    </row>
    <row r="72" spans="1:7" x14ac:dyDescent="0.15">
      <c r="B72" s="106" t="s">
        <v>1160</v>
      </c>
      <c r="C72" s="106">
        <v>0.5</v>
      </c>
      <c r="D72" s="106" t="s">
        <v>1036</v>
      </c>
      <c r="E72" s="107">
        <f>INGREDIENTS!F77</f>
        <v>2.2857142857142856</v>
      </c>
      <c r="F72" s="107">
        <f>Table1346[[#This Row],[Cost Price ]]*Table1346[[#This Row],[Quantity]]</f>
        <v>1.1428571428571428</v>
      </c>
    </row>
    <row r="73" spans="1:7" x14ac:dyDescent="0.15">
      <c r="B73" s="106" t="s">
        <v>1094</v>
      </c>
      <c r="C73" s="106">
        <v>1</v>
      </c>
      <c r="D73" s="106" t="s">
        <v>1129</v>
      </c>
      <c r="E73" s="107">
        <f>INGREDIENTS!F$133</f>
        <v>0.01</v>
      </c>
      <c r="F73" s="107">
        <f>Table1346[[#This Row],[Cost Price ]]*Table1346[[#This Row],[Quantity]]</f>
        <v>0.01</v>
      </c>
    </row>
    <row r="74" spans="1:7" x14ac:dyDescent="0.15">
      <c r="B74" s="106" t="s">
        <v>1158</v>
      </c>
      <c r="C74" s="106">
        <v>1</v>
      </c>
      <c r="D74" s="106" t="s">
        <v>1129</v>
      </c>
      <c r="E74" s="107">
        <f>INGREDIENTS!F94</f>
        <v>7.5999999999999998E-2</v>
      </c>
      <c r="F74" s="107">
        <f>Table1346[[#This Row],[Cost Price ]]*Table1346[[#This Row],[Quantity]]</f>
        <v>7.5999999999999998E-2</v>
      </c>
    </row>
    <row r="75" spans="1:7" ht="18" x14ac:dyDescent="0.2">
      <c r="E75" s="58"/>
      <c r="F75" s="110">
        <f>SUM(F66:F72)</f>
        <v>6.0917142857142856</v>
      </c>
    </row>
    <row r="76" spans="1:7" x14ac:dyDescent="0.15">
      <c r="B76" t="s">
        <v>1132</v>
      </c>
      <c r="C76" s="58">
        <v>22</v>
      </c>
      <c r="E76" s="58"/>
    </row>
    <row r="77" spans="1:7" ht="18" x14ac:dyDescent="0.2">
      <c r="B77" t="s">
        <v>1125</v>
      </c>
      <c r="C77" s="58">
        <f>F75+5%</f>
        <v>6.1417142857142855</v>
      </c>
      <c r="D77" s="109">
        <f>C77/C76</f>
        <v>0.27916883116883118</v>
      </c>
      <c r="E77" s="58"/>
    </row>
    <row r="78" spans="1:7" x14ac:dyDescent="0.15">
      <c r="B78" t="s">
        <v>1133</v>
      </c>
      <c r="C78" s="58">
        <f>C76-C77</f>
        <v>15.858285714285714</v>
      </c>
      <c r="D78" s="57"/>
      <c r="E78" s="58"/>
    </row>
    <row r="79" spans="1:7" ht="39" customHeight="1" x14ac:dyDescent="0.35">
      <c r="A79" s="127"/>
      <c r="B79" s="188" t="s">
        <v>1406</v>
      </c>
      <c r="C79" s="188"/>
      <c r="D79" s="188"/>
      <c r="E79" s="188"/>
      <c r="F79" s="188"/>
      <c r="G79" s="128"/>
    </row>
    <row r="80" spans="1:7" ht="39" customHeight="1" x14ac:dyDescent="0.35">
      <c r="A80" s="125"/>
      <c r="B80" s="188"/>
      <c r="C80" s="188"/>
      <c r="D80" s="188"/>
      <c r="E80" s="188"/>
      <c r="F80" s="188"/>
      <c r="G80" s="126"/>
    </row>
    <row r="81" spans="2:6" x14ac:dyDescent="0.15">
      <c r="B81" s="167" t="s">
        <v>1389</v>
      </c>
      <c r="C81" s="167"/>
      <c r="D81" s="167"/>
      <c r="E81" s="167"/>
      <c r="F81" s="167"/>
    </row>
    <row r="82" spans="2:6" ht="31" customHeight="1" x14ac:dyDescent="0.15">
      <c r="B82" s="167"/>
      <c r="C82" s="167"/>
      <c r="D82" s="167"/>
      <c r="E82" s="167"/>
      <c r="F82" s="167"/>
    </row>
    <row r="83" spans="2:6" ht="16" x14ac:dyDescent="0.2">
      <c r="B83" s="119" t="s">
        <v>1122</v>
      </c>
      <c r="C83" s="119" t="s">
        <v>1123</v>
      </c>
      <c r="D83" s="119" t="s">
        <v>1124</v>
      </c>
      <c r="E83" s="119" t="s">
        <v>1125</v>
      </c>
      <c r="F83" s="119" t="s">
        <v>1126</v>
      </c>
    </row>
    <row r="84" spans="2:6" x14ac:dyDescent="0.15">
      <c r="B84" s="106" t="s">
        <v>1153</v>
      </c>
      <c r="C84" s="106">
        <v>50</v>
      </c>
      <c r="D84" s="106" t="s">
        <v>1129</v>
      </c>
      <c r="E84" s="107">
        <f>INGREDIENTS!F$120</f>
        <v>1.0999999999999999E-2</v>
      </c>
      <c r="F84" s="107">
        <f>Table18[[#This Row],[Cost Price ]]*Table18[[#This Row],[Quantity]]</f>
        <v>0.54999999999999993</v>
      </c>
    </row>
    <row r="85" spans="2:6" x14ac:dyDescent="0.15">
      <c r="B85" s="108" t="s">
        <v>1042</v>
      </c>
      <c r="C85" s="106">
        <v>60</v>
      </c>
      <c r="D85" s="108" t="s">
        <v>1001</v>
      </c>
      <c r="E85" s="107">
        <f>INGREDIENTS!F53</f>
        <v>2.12E-2</v>
      </c>
      <c r="F85" s="107">
        <f>Table18[[#This Row],[Cost Price ]]*Table18[[#This Row],[Quantity]]</f>
        <v>1.272</v>
      </c>
    </row>
    <row r="86" spans="2:6" x14ac:dyDescent="0.15">
      <c r="B86" s="106" t="s">
        <v>1090</v>
      </c>
      <c r="C86" s="106">
        <v>15</v>
      </c>
      <c r="D86" s="106" t="s">
        <v>1001</v>
      </c>
      <c r="E86" s="107">
        <f>INGREDIENTS!F$131</f>
        <v>1.0571428571428572E-2</v>
      </c>
      <c r="F86" s="107">
        <f>Table18[[#This Row],[Cost Price ]]*Table18[[#This Row],[Quantity]]</f>
        <v>0.15857142857142859</v>
      </c>
    </row>
    <row r="87" spans="2:6" x14ac:dyDescent="0.15">
      <c r="B87" s="106" t="s">
        <v>1048</v>
      </c>
      <c r="C87" s="106">
        <v>5</v>
      </c>
      <c r="D87" s="106" t="s">
        <v>1129</v>
      </c>
      <c r="E87" s="107">
        <f>INGREDIENTS!F$93</f>
        <v>7.0000000000000007E-2</v>
      </c>
      <c r="F87" s="107">
        <f>Table18[[#This Row],[Cost Price ]]*Table18[[#This Row],[Quantity]]</f>
        <v>0.35000000000000003</v>
      </c>
    </row>
    <row r="88" spans="2:6" x14ac:dyDescent="0.15">
      <c r="B88" s="108" t="s">
        <v>1397</v>
      </c>
      <c r="C88" s="106">
        <v>125</v>
      </c>
      <c r="D88" s="106" t="s">
        <v>1129</v>
      </c>
      <c r="E88" s="107">
        <f>INGREDIENTS!F215</f>
        <v>2.4E-2</v>
      </c>
      <c r="F88" s="107">
        <f>Table18[[#This Row],[Cost Price ]]*Table18[[#This Row],[Quantity]]</f>
        <v>3</v>
      </c>
    </row>
    <row r="89" spans="2:6" x14ac:dyDescent="0.15">
      <c r="B89" s="108" t="s">
        <v>1315</v>
      </c>
      <c r="C89" s="106">
        <v>30</v>
      </c>
      <c r="D89" s="108" t="s">
        <v>1129</v>
      </c>
      <c r="E89" s="107">
        <f>INGREDIENTS!F117</f>
        <v>4.4999999999999997E-3</v>
      </c>
      <c r="F89" s="107">
        <f>Table18[[#This Row],[Cost Price ]]*Table18[[#This Row],[Quantity]]</f>
        <v>0.13499999999999998</v>
      </c>
    </row>
    <row r="90" spans="2:6" x14ac:dyDescent="0.15">
      <c r="B90" s="106" t="s">
        <v>1094</v>
      </c>
      <c r="C90" s="106">
        <v>1</v>
      </c>
      <c r="D90" s="106" t="s">
        <v>1129</v>
      </c>
      <c r="E90" s="107">
        <f>INGREDIENTS!F133</f>
        <v>0.01</v>
      </c>
      <c r="F90" s="107">
        <f>Table18[[#This Row],[Cost Price ]]*Table18[[#This Row],[Quantity]]</f>
        <v>0.01</v>
      </c>
    </row>
    <row r="91" spans="2:6" x14ac:dyDescent="0.15">
      <c r="B91" s="108" t="s">
        <v>1295</v>
      </c>
      <c r="C91" s="106">
        <v>25</v>
      </c>
      <c r="D91" s="108" t="s">
        <v>1129</v>
      </c>
      <c r="E91" s="107">
        <f>'KITCHEN Prep Cards'!C50</f>
        <v>5.1098214285714282E-2</v>
      </c>
      <c r="F91" s="107">
        <f>Table18[[#This Row],[Cost Price ]]*Table18[[#This Row],[Quantity]]</f>
        <v>1.2774553571428571</v>
      </c>
    </row>
    <row r="92" spans="2:6" x14ac:dyDescent="0.15">
      <c r="B92" s="106" t="s">
        <v>1156</v>
      </c>
      <c r="C92" s="106">
        <v>1</v>
      </c>
      <c r="D92" s="106" t="s">
        <v>1129</v>
      </c>
      <c r="E92" s="107">
        <f>INGREDIENTS!F91</f>
        <v>7.5999999999999998E-2</v>
      </c>
      <c r="F92" s="107">
        <f>Table18[[#This Row],[Cost Price ]]*Table18[[#This Row],[Quantity]]</f>
        <v>7.5999999999999998E-2</v>
      </c>
    </row>
    <row r="93" spans="2:6" ht="18" x14ac:dyDescent="0.2">
      <c r="E93" s="58"/>
      <c r="F93" s="110">
        <f>SUM(F84:F92)</f>
        <v>6.8290267857142846</v>
      </c>
    </row>
    <row r="94" spans="2:6" x14ac:dyDescent="0.15">
      <c r="B94" t="s">
        <v>1132</v>
      </c>
      <c r="C94" s="58">
        <v>28</v>
      </c>
      <c r="E94" s="58"/>
    </row>
    <row r="95" spans="2:6" ht="18" x14ac:dyDescent="0.2">
      <c r="B95" t="s">
        <v>1125</v>
      </c>
      <c r="C95" s="58">
        <f>F93+5%</f>
        <v>6.8790267857142844</v>
      </c>
      <c r="D95" s="109">
        <f>C95/C94</f>
        <v>0.24567952806122445</v>
      </c>
      <c r="E95" s="58"/>
    </row>
    <row r="96" spans="2:6" x14ac:dyDescent="0.15">
      <c r="B96" t="s">
        <v>1133</v>
      </c>
      <c r="C96" s="58">
        <f>C94-C95</f>
        <v>21.120973214285716</v>
      </c>
      <c r="D96" s="57"/>
      <c r="E96" s="58"/>
    </row>
    <row r="97" spans="2:6" x14ac:dyDescent="0.15">
      <c r="B97" s="167" t="s">
        <v>1405</v>
      </c>
      <c r="C97" s="167"/>
      <c r="D97" s="167"/>
      <c r="E97" s="167"/>
      <c r="F97" s="167"/>
    </row>
    <row r="98" spans="2:6" ht="28" customHeight="1" x14ac:dyDescent="0.15">
      <c r="B98" s="167"/>
      <c r="C98" s="167"/>
      <c r="D98" s="167"/>
      <c r="E98" s="167"/>
      <c r="F98" s="167"/>
    </row>
    <row r="99" spans="2:6" ht="16" x14ac:dyDescent="0.2">
      <c r="B99" s="119" t="s">
        <v>1122</v>
      </c>
      <c r="C99" s="119" t="s">
        <v>1123</v>
      </c>
      <c r="D99" s="119" t="s">
        <v>1124</v>
      </c>
      <c r="E99" s="119" t="s">
        <v>1125</v>
      </c>
      <c r="F99" s="119" t="s">
        <v>1126</v>
      </c>
    </row>
    <row r="100" spans="2:6" x14ac:dyDescent="0.15">
      <c r="B100" s="108" t="s">
        <v>1004</v>
      </c>
      <c r="C100" s="106">
        <v>1</v>
      </c>
      <c r="D100" s="108" t="s">
        <v>1036</v>
      </c>
      <c r="E100" s="107">
        <f>INGREDIENTS!F50</f>
        <v>0.65333333333333343</v>
      </c>
      <c r="F100" s="107">
        <f>Table189[[#This Row],[Cost Price ]]*Table189[[#This Row],[Quantity]]</f>
        <v>0.65333333333333343</v>
      </c>
    </row>
    <row r="101" spans="2:6" x14ac:dyDescent="0.15">
      <c r="B101" s="108" t="s">
        <v>1140</v>
      </c>
      <c r="C101" s="106">
        <v>30</v>
      </c>
      <c r="D101" s="108" t="s">
        <v>1129</v>
      </c>
      <c r="E101" s="107">
        <f>INGREDIENTS!F121</f>
        <v>1.9E-2</v>
      </c>
      <c r="F101" s="107">
        <f>Table189[[#This Row],[Cost Price ]]*Table189[[#This Row],[Quantity]]</f>
        <v>0.56999999999999995</v>
      </c>
    </row>
    <row r="102" spans="2:6" x14ac:dyDescent="0.15">
      <c r="B102" s="108" t="s">
        <v>1398</v>
      </c>
      <c r="C102" s="106">
        <v>125</v>
      </c>
      <c r="D102" s="108" t="s">
        <v>1129</v>
      </c>
      <c r="E102" s="107">
        <f>INGREDIENTS!F218</f>
        <v>2.4E-2</v>
      </c>
      <c r="F102" s="107">
        <f>Table189[[#This Row],[Cost Price ]]*Table189[[#This Row],[Quantity]]</f>
        <v>3</v>
      </c>
    </row>
    <row r="103" spans="2:6" x14ac:dyDescent="0.15">
      <c r="B103" s="108" t="s">
        <v>1042</v>
      </c>
      <c r="C103" s="106">
        <v>60</v>
      </c>
      <c r="D103" s="108" t="s">
        <v>1001</v>
      </c>
      <c r="E103" s="107">
        <f>INGREDIENTS!F53</f>
        <v>2.12E-2</v>
      </c>
      <c r="F103" s="107">
        <f>Table189[[#This Row],[Cost Price ]]*Table189[[#This Row],[Quantity]]</f>
        <v>1.272</v>
      </c>
    </row>
    <row r="104" spans="2:6" x14ac:dyDescent="0.15">
      <c r="B104" s="108" t="s">
        <v>1399</v>
      </c>
      <c r="C104" s="106">
        <v>1</v>
      </c>
      <c r="D104" s="108" t="s">
        <v>1036</v>
      </c>
      <c r="E104" s="107">
        <f>INGREDIENTS!F24</f>
        <v>0.22</v>
      </c>
      <c r="F104" s="107">
        <f>Table189[[#This Row],[Cost Price ]]*Table189[[#This Row],[Quantity]]</f>
        <v>0.22</v>
      </c>
    </row>
    <row r="105" spans="2:6" x14ac:dyDescent="0.15">
      <c r="B105" s="108" t="s">
        <v>1048</v>
      </c>
      <c r="C105" s="106">
        <v>15</v>
      </c>
      <c r="D105" s="108" t="s">
        <v>1129</v>
      </c>
      <c r="E105" s="107">
        <f>INGREDIENTS!F93</f>
        <v>7.0000000000000007E-2</v>
      </c>
      <c r="F105" s="107">
        <f>Table189[[#This Row],[Cost Price ]]*Table189[[#This Row],[Quantity]]</f>
        <v>1.05</v>
      </c>
    </row>
    <row r="106" spans="2:6" x14ac:dyDescent="0.15">
      <c r="B106" s="108" t="s">
        <v>1094</v>
      </c>
      <c r="C106" s="106">
        <v>1</v>
      </c>
      <c r="D106" s="106" t="s">
        <v>1129</v>
      </c>
      <c r="E106" s="107">
        <f>INGREDIENTS!F133</f>
        <v>0.01</v>
      </c>
      <c r="F106" s="107">
        <f>Table189[[#This Row],[Cost Price ]]*Table189[[#This Row],[Quantity]]</f>
        <v>0.01</v>
      </c>
    </row>
    <row r="107" spans="2:6" x14ac:dyDescent="0.15">
      <c r="B107" s="108" t="s">
        <v>1131</v>
      </c>
      <c r="C107" s="106">
        <v>1</v>
      </c>
      <c r="D107" s="108" t="s">
        <v>1129</v>
      </c>
      <c r="E107" s="107">
        <f>INGREDIENTS!F91</f>
        <v>7.5999999999999998E-2</v>
      </c>
      <c r="F107" s="107">
        <f>Table189[[#This Row],[Cost Price ]]*Table189[[#This Row],[Quantity]]</f>
        <v>7.5999999999999998E-2</v>
      </c>
    </row>
    <row r="108" spans="2:6" x14ac:dyDescent="0.15">
      <c r="B108" s="106"/>
      <c r="C108" s="106"/>
      <c r="D108" s="106"/>
      <c r="E108" s="107"/>
      <c r="F108" s="107"/>
    </row>
    <row r="109" spans="2:6" ht="18" x14ac:dyDescent="0.2">
      <c r="E109" s="58"/>
      <c r="F109" s="110">
        <f>SUM(F100:F108)</f>
        <v>6.8513333333333328</v>
      </c>
    </row>
    <row r="110" spans="2:6" x14ac:dyDescent="0.15">
      <c r="B110" t="s">
        <v>1132</v>
      </c>
      <c r="C110" s="58">
        <v>29</v>
      </c>
      <c r="E110" s="58"/>
    </row>
    <row r="111" spans="2:6" ht="18" x14ac:dyDescent="0.2">
      <c r="B111" t="s">
        <v>1125</v>
      </c>
      <c r="C111" s="58">
        <f>F109+5%</f>
        <v>6.9013333333333327</v>
      </c>
      <c r="D111" s="109">
        <f>C111/C110</f>
        <v>0.23797701149425285</v>
      </c>
      <c r="E111" s="58"/>
    </row>
    <row r="112" spans="2:6" x14ac:dyDescent="0.15">
      <c r="B112" t="s">
        <v>1133</v>
      </c>
      <c r="C112" s="58">
        <f>C110-C111</f>
        <v>22.098666666666666</v>
      </c>
      <c r="D112" s="57"/>
      <c r="E112" s="58"/>
    </row>
    <row r="113" spans="2:6" x14ac:dyDescent="0.15">
      <c r="B113" s="167" t="s">
        <v>1418</v>
      </c>
      <c r="C113" s="167"/>
      <c r="D113" s="167"/>
      <c r="E113" s="167"/>
      <c r="F113" s="167"/>
    </row>
    <row r="114" spans="2:6" ht="28" customHeight="1" x14ac:dyDescent="0.15">
      <c r="B114" s="167"/>
      <c r="C114" s="167"/>
      <c r="D114" s="167"/>
      <c r="E114" s="167"/>
      <c r="F114" s="167"/>
    </row>
    <row r="115" spans="2:6" ht="16" x14ac:dyDescent="0.2">
      <c r="B115" s="119" t="s">
        <v>1122</v>
      </c>
      <c r="C115" s="119" t="s">
        <v>1123</v>
      </c>
      <c r="D115" s="119" t="s">
        <v>1124</v>
      </c>
      <c r="E115" s="119" t="s">
        <v>1125</v>
      </c>
      <c r="F115" s="119" t="s">
        <v>1126</v>
      </c>
    </row>
    <row r="116" spans="2:6" x14ac:dyDescent="0.15">
      <c r="B116" s="108" t="s">
        <v>1401</v>
      </c>
      <c r="C116" s="106">
        <v>150</v>
      </c>
      <c r="D116" s="108" t="s">
        <v>1304</v>
      </c>
      <c r="E116" s="107">
        <f>INGREDIENTS!F125</f>
        <v>1.7999999999999999E-2</v>
      </c>
      <c r="F116" s="107">
        <f>E116*C116</f>
        <v>2.6999999999999997</v>
      </c>
    </row>
    <row r="117" spans="2:6" x14ac:dyDescent="0.15">
      <c r="B117" s="108" t="s">
        <v>1140</v>
      </c>
      <c r="C117" s="106">
        <v>60</v>
      </c>
      <c r="D117" s="108" t="s">
        <v>1129</v>
      </c>
      <c r="E117" s="107">
        <f>INGREDIENTS!F121</f>
        <v>1.9E-2</v>
      </c>
      <c r="F117" s="107">
        <f t="shared" ref="F117:F124" si="0">E117*C117</f>
        <v>1.1399999999999999</v>
      </c>
    </row>
    <row r="118" spans="2:6" x14ac:dyDescent="0.15">
      <c r="B118" s="108" t="s">
        <v>1402</v>
      </c>
      <c r="C118" s="106">
        <v>60</v>
      </c>
      <c r="D118" s="108" t="s">
        <v>1001</v>
      </c>
      <c r="E118" s="107">
        <f>INGREDIENTS!F53</f>
        <v>2.12E-2</v>
      </c>
      <c r="F118" s="107">
        <f t="shared" si="0"/>
        <v>1.272</v>
      </c>
    </row>
    <row r="119" spans="2:6" x14ac:dyDescent="0.15">
      <c r="B119" s="108" t="s">
        <v>1048</v>
      </c>
      <c r="C119" s="106">
        <v>15</v>
      </c>
      <c r="D119" s="108" t="s">
        <v>1129</v>
      </c>
      <c r="E119" s="107">
        <f>INGREDIENTS!F93</f>
        <v>7.0000000000000007E-2</v>
      </c>
      <c r="F119" s="107">
        <f t="shared" si="0"/>
        <v>1.05</v>
      </c>
    </row>
    <row r="120" spans="2:6" x14ac:dyDescent="0.15">
      <c r="B120" s="108" t="s">
        <v>1403</v>
      </c>
      <c r="C120" s="106">
        <v>30</v>
      </c>
      <c r="D120" s="108" t="s">
        <v>1129</v>
      </c>
      <c r="E120" s="107">
        <f>INGREDIENTS!F117</f>
        <v>4.4999999999999997E-3</v>
      </c>
      <c r="F120" s="107">
        <f t="shared" si="0"/>
        <v>0.13499999999999998</v>
      </c>
    </row>
    <row r="121" spans="2:6" x14ac:dyDescent="0.15">
      <c r="B121" s="108" t="s">
        <v>1094</v>
      </c>
      <c r="C121" s="106">
        <v>0.5</v>
      </c>
      <c r="D121" s="108" t="s">
        <v>1129</v>
      </c>
      <c r="E121" s="107">
        <f>INGREDIENTS!F133</f>
        <v>0.01</v>
      </c>
      <c r="F121" s="107">
        <f t="shared" si="0"/>
        <v>5.0000000000000001E-3</v>
      </c>
    </row>
    <row r="122" spans="2:6" x14ac:dyDescent="0.15">
      <c r="B122" s="108" t="s">
        <v>1158</v>
      </c>
      <c r="C122" s="106">
        <v>0.5</v>
      </c>
      <c r="D122" s="106" t="s">
        <v>1129</v>
      </c>
      <c r="E122" s="107">
        <f>INGREDIENTS!F94</f>
        <v>7.5999999999999998E-2</v>
      </c>
      <c r="F122" s="107">
        <f t="shared" si="0"/>
        <v>3.7999999999999999E-2</v>
      </c>
    </row>
    <row r="123" spans="2:6" x14ac:dyDescent="0.15">
      <c r="B123" s="108" t="s">
        <v>1404</v>
      </c>
      <c r="C123" s="106">
        <v>0.5</v>
      </c>
      <c r="D123" s="108" t="s">
        <v>1129</v>
      </c>
      <c r="E123" s="107">
        <f>INGREDIENTS!F89</f>
        <v>0.22</v>
      </c>
      <c r="F123" s="107">
        <f t="shared" si="0"/>
        <v>0.11</v>
      </c>
    </row>
    <row r="124" spans="2:6" x14ac:dyDescent="0.15">
      <c r="B124" s="108" t="s">
        <v>1416</v>
      </c>
      <c r="C124" s="106">
        <v>0.5</v>
      </c>
      <c r="D124" s="108" t="s">
        <v>1036</v>
      </c>
      <c r="E124" s="107">
        <f>INGREDIENTS!F77</f>
        <v>2.2857142857142856</v>
      </c>
      <c r="F124" s="107">
        <f t="shared" si="0"/>
        <v>1.1428571428571428</v>
      </c>
    </row>
    <row r="125" spans="2:6" ht="18" x14ac:dyDescent="0.2">
      <c r="E125" s="58"/>
      <c r="F125" s="110">
        <f>SUM(F116:F123)</f>
        <v>6.45</v>
      </c>
    </row>
    <row r="126" spans="2:6" x14ac:dyDescent="0.15">
      <c r="B126" t="s">
        <v>1132</v>
      </c>
      <c r="C126" s="58">
        <v>28</v>
      </c>
      <c r="E126" s="58"/>
    </row>
    <row r="127" spans="2:6" ht="18" x14ac:dyDescent="0.2">
      <c r="B127" t="s">
        <v>1125</v>
      </c>
      <c r="C127" s="58">
        <f>F125+5%</f>
        <v>6.5</v>
      </c>
      <c r="D127" s="109">
        <f>C127/C126</f>
        <v>0.23214285714285715</v>
      </c>
      <c r="E127" s="58"/>
    </row>
    <row r="128" spans="2:6" x14ac:dyDescent="0.15">
      <c r="B128" s="54" t="s">
        <v>1133</v>
      </c>
      <c r="C128" s="58">
        <f>C126-C127</f>
        <v>21.5</v>
      </c>
    </row>
    <row r="129" spans="2:6" x14ac:dyDescent="0.15">
      <c r="B129" s="167" t="s">
        <v>1417</v>
      </c>
      <c r="C129" s="167"/>
      <c r="D129" s="167"/>
      <c r="E129" s="167"/>
      <c r="F129" s="167"/>
    </row>
    <row r="130" spans="2:6" x14ac:dyDescent="0.15">
      <c r="B130" s="167"/>
      <c r="C130" s="167"/>
      <c r="D130" s="167"/>
      <c r="E130" s="167"/>
      <c r="F130" s="167"/>
    </row>
    <row r="131" spans="2:6" ht="16" x14ac:dyDescent="0.2">
      <c r="B131" s="119" t="s">
        <v>1122</v>
      </c>
      <c r="C131" s="119" t="s">
        <v>1123</v>
      </c>
      <c r="D131" s="119" t="s">
        <v>1124</v>
      </c>
      <c r="E131" s="119" t="s">
        <v>1125</v>
      </c>
      <c r="F131" s="119" t="s">
        <v>1126</v>
      </c>
    </row>
    <row r="132" spans="2:6" x14ac:dyDescent="0.15">
      <c r="B132" s="108" t="s">
        <v>1410</v>
      </c>
      <c r="C132" s="106">
        <v>125</v>
      </c>
      <c r="D132" s="106" t="s">
        <v>1129</v>
      </c>
      <c r="E132" s="107">
        <f>INGREDIENTS!F216</f>
        <v>2.4E-2</v>
      </c>
      <c r="F132" s="107">
        <f>Table1810[[#This Row],[Cost Price ]]*Table1810[[#This Row],[Quantity]]</f>
        <v>3</v>
      </c>
    </row>
    <row r="133" spans="2:6" x14ac:dyDescent="0.15">
      <c r="B133" s="108" t="s">
        <v>1408</v>
      </c>
      <c r="C133" s="106">
        <v>2</v>
      </c>
      <c r="D133" s="108" t="s">
        <v>1376</v>
      </c>
      <c r="E133" s="107">
        <f>INGREDIENTS!F50</f>
        <v>0.65333333333333343</v>
      </c>
      <c r="F133" s="107">
        <f>Table1810[[#This Row],[Cost Price ]]*Table1810[[#This Row],[Quantity]]</f>
        <v>1.3066666666666669</v>
      </c>
    </row>
    <row r="134" spans="2:6" x14ac:dyDescent="0.15">
      <c r="B134" s="108" t="s">
        <v>1409</v>
      </c>
      <c r="C134" s="106">
        <v>70</v>
      </c>
      <c r="D134" s="108" t="s">
        <v>1129</v>
      </c>
      <c r="E134" s="107">
        <f>'KITCHEN Prep Cards'!C68</f>
        <v>1.0290000000000001E-2</v>
      </c>
      <c r="F134" s="107">
        <f>Table1810[[#This Row],[Cost Price ]]*Table1810[[#This Row],[Quantity]]</f>
        <v>0.72030000000000005</v>
      </c>
    </row>
    <row r="135" spans="2:6" x14ac:dyDescent="0.15">
      <c r="B135" s="108" t="s">
        <v>1094</v>
      </c>
      <c r="C135" s="106">
        <v>5</v>
      </c>
      <c r="D135" s="106" t="s">
        <v>1129</v>
      </c>
      <c r="E135" s="107">
        <f>INGREDIENTS!F133</f>
        <v>0.01</v>
      </c>
      <c r="F135" s="107">
        <f>Table1810[[#This Row],[Cost Price ]]*Table1810[[#This Row],[Quantity]]</f>
        <v>0.05</v>
      </c>
    </row>
    <row r="136" spans="2:6" x14ac:dyDescent="0.15">
      <c r="B136" s="108" t="s">
        <v>1048</v>
      </c>
      <c r="C136" s="106">
        <v>10</v>
      </c>
      <c r="D136" s="106" t="s">
        <v>1129</v>
      </c>
      <c r="E136" s="107">
        <f>INGREDIENTS!F93</f>
        <v>7.0000000000000007E-2</v>
      </c>
      <c r="F136" s="107">
        <f>Table1810[[#This Row],[Cost Price ]]*Table1810[[#This Row],[Quantity]]</f>
        <v>0.70000000000000007</v>
      </c>
    </row>
    <row r="137" spans="2:6" x14ac:dyDescent="0.15">
      <c r="B137" s="108" t="s">
        <v>1193</v>
      </c>
      <c r="C137" s="106">
        <v>30</v>
      </c>
      <c r="D137" s="108" t="s">
        <v>1001</v>
      </c>
      <c r="E137" s="107">
        <v>0</v>
      </c>
      <c r="F137" s="107">
        <f>Table1810[[#This Row],[Cost Price ]]*Table1810[[#This Row],[Quantity]]</f>
        <v>0</v>
      </c>
    </row>
    <row r="138" spans="2:6" x14ac:dyDescent="0.15">
      <c r="B138" s="108" t="s">
        <v>1158</v>
      </c>
      <c r="C138" s="106">
        <v>1</v>
      </c>
      <c r="D138" s="106" t="s">
        <v>1129</v>
      </c>
      <c r="E138" s="107">
        <f>INGREDIENTS!F91</f>
        <v>7.5999999999999998E-2</v>
      </c>
      <c r="F138" s="107">
        <f>Table1810[[#This Row],[Cost Price ]]*Table1810[[#This Row],[Quantity]]</f>
        <v>7.5999999999999998E-2</v>
      </c>
    </row>
    <row r="139" spans="2:6" x14ac:dyDescent="0.15">
      <c r="B139" s="108"/>
      <c r="C139" s="106"/>
      <c r="D139" s="108"/>
      <c r="E139" s="107"/>
      <c r="F139" s="107"/>
    </row>
    <row r="140" spans="2:6" ht="18" x14ac:dyDescent="0.2">
      <c r="E140" s="58"/>
      <c r="F140" s="110">
        <f>SUM(F132:F139)</f>
        <v>5.8529666666666662</v>
      </c>
    </row>
    <row r="141" spans="2:6" x14ac:dyDescent="0.15">
      <c r="B141" t="s">
        <v>1132</v>
      </c>
      <c r="C141" s="58">
        <v>28</v>
      </c>
      <c r="E141" s="58"/>
    </row>
    <row r="142" spans="2:6" ht="18" x14ac:dyDescent="0.2">
      <c r="B142" t="s">
        <v>1125</v>
      </c>
      <c r="C142" s="58">
        <f>F140+5%</f>
        <v>5.902966666666666</v>
      </c>
      <c r="D142" s="109">
        <f>C142/C141</f>
        <v>0.21082023809523806</v>
      </c>
      <c r="E142" s="58"/>
    </row>
    <row r="143" spans="2:6" x14ac:dyDescent="0.15">
      <c r="B143" t="s">
        <v>1133</v>
      </c>
      <c r="C143" s="58">
        <f>C141-C142</f>
        <v>22.097033333333336</v>
      </c>
      <c r="D143" s="57"/>
      <c r="E143" s="58"/>
    </row>
  </sheetData>
  <mergeCells count="9">
    <mergeCell ref="B3:F4"/>
    <mergeCell ref="B24:F25"/>
    <mergeCell ref="B44:F45"/>
    <mergeCell ref="B63:F64"/>
    <mergeCell ref="B129:F130"/>
    <mergeCell ref="B81:F82"/>
    <mergeCell ref="B97:F98"/>
    <mergeCell ref="B113:F114"/>
    <mergeCell ref="B79:F80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5CA-267E-DB40-9202-EF2D4E050355}">
  <dimension ref="B1:F26"/>
  <sheetViews>
    <sheetView zoomScaleNormal="100" workbookViewId="0">
      <selection activeCell="B42" sqref="B42"/>
    </sheetView>
  </sheetViews>
  <sheetFormatPr baseColWidth="10" defaultColWidth="8.83203125" defaultRowHeight="13" x14ac:dyDescent="0.15"/>
  <cols>
    <col min="1" max="1" width="6.5" customWidth="1"/>
    <col min="2" max="2" width="20.33203125" customWidth="1"/>
    <col min="3" max="3" width="12.83203125" customWidth="1"/>
    <col min="4" max="4" width="9.5" customWidth="1"/>
    <col min="5" max="5" width="11.83203125" customWidth="1"/>
    <col min="6" max="6" width="18.6640625" bestFit="1" customWidth="1"/>
  </cols>
  <sheetData>
    <row r="1" spans="2:6" x14ac:dyDescent="0.15">
      <c r="B1" s="241"/>
      <c r="C1" s="241"/>
      <c r="D1" s="241"/>
      <c r="E1" s="241"/>
      <c r="F1" s="241"/>
    </row>
    <row r="2" spans="2:6" x14ac:dyDescent="0.15">
      <c r="B2" s="241"/>
      <c r="C2" s="241"/>
      <c r="D2" s="241"/>
      <c r="E2" s="241"/>
      <c r="F2" s="241"/>
    </row>
    <row r="3" spans="2:6" ht="23" x14ac:dyDescent="0.25">
      <c r="B3" s="185" t="s">
        <v>1196</v>
      </c>
      <c r="C3" s="185"/>
      <c r="D3" s="185"/>
      <c r="E3" s="185"/>
      <c r="F3" s="185"/>
    </row>
    <row r="4" spans="2:6" x14ac:dyDescent="0.15">
      <c r="B4" s="191"/>
      <c r="C4" s="191"/>
      <c r="D4" s="191"/>
      <c r="E4" s="191"/>
      <c r="F4" s="191"/>
    </row>
    <row r="5" spans="2:6" ht="16" x14ac:dyDescent="0.2">
      <c r="B5" s="119" t="s">
        <v>1122</v>
      </c>
      <c r="C5" s="119" t="s">
        <v>1123</v>
      </c>
      <c r="D5" s="119" t="s">
        <v>1124</v>
      </c>
      <c r="E5" s="119" t="s">
        <v>1125</v>
      </c>
      <c r="F5" s="119" t="s">
        <v>1126</v>
      </c>
    </row>
    <row r="6" spans="2:6" ht="13" customHeight="1" x14ac:dyDescent="0.15">
      <c r="B6" s="106" t="s">
        <v>1197</v>
      </c>
      <c r="C6" s="106">
        <v>200</v>
      </c>
      <c r="D6" s="106" t="s">
        <v>1129</v>
      </c>
      <c r="E6" s="107">
        <f>50/1000</f>
        <v>0.05</v>
      </c>
      <c r="F6" s="107">
        <f>E6*C6</f>
        <v>10</v>
      </c>
    </row>
    <row r="7" spans="2:6" x14ac:dyDescent="0.15">
      <c r="B7" s="106" t="s">
        <v>1111</v>
      </c>
      <c r="C7" s="106">
        <v>300</v>
      </c>
      <c r="D7" s="106" t="s">
        <v>996</v>
      </c>
      <c r="E7" s="107">
        <f>INGREDIENTS!F169</f>
        <v>7.0000000000000007E-2</v>
      </c>
      <c r="F7" s="107">
        <f t="shared" ref="F7:F9" si="0">E7*C7</f>
        <v>21.000000000000004</v>
      </c>
    </row>
    <row r="8" spans="2:6" x14ac:dyDescent="0.15">
      <c r="B8" s="106" t="s">
        <v>1198</v>
      </c>
      <c r="C8" s="106">
        <v>150</v>
      </c>
      <c r="D8" s="106" t="s">
        <v>996</v>
      </c>
      <c r="E8" s="107">
        <f>INGREDIENTS!F164</f>
        <v>4.7999999999999996E-3</v>
      </c>
      <c r="F8" s="107">
        <f t="shared" si="0"/>
        <v>0.72</v>
      </c>
    </row>
    <row r="9" spans="2:6" x14ac:dyDescent="0.15">
      <c r="B9" s="106" t="s">
        <v>1193</v>
      </c>
      <c r="C9" s="106">
        <v>1000</v>
      </c>
      <c r="D9" s="106" t="s">
        <v>1001</v>
      </c>
      <c r="E9" s="107">
        <v>0</v>
      </c>
      <c r="F9" s="107">
        <f t="shared" si="0"/>
        <v>0</v>
      </c>
    </row>
    <row r="10" spans="2:6" x14ac:dyDescent="0.15">
      <c r="B10" s="106"/>
      <c r="C10" s="106"/>
      <c r="D10" s="106"/>
      <c r="E10" s="107"/>
      <c r="F10" s="107"/>
    </row>
    <row r="11" spans="2:6" ht="18" x14ac:dyDescent="0.2">
      <c r="B11" s="115" t="s">
        <v>1199</v>
      </c>
      <c r="C11" s="116">
        <f>SUM(C6:C10)</f>
        <v>1650</v>
      </c>
      <c r="F11" s="110">
        <f>SUM(F6:F10)</f>
        <v>31.720000000000002</v>
      </c>
    </row>
    <row r="12" spans="2:6" ht="16" x14ac:dyDescent="0.15">
      <c r="B12" s="115" t="s">
        <v>1200</v>
      </c>
      <c r="C12" s="117">
        <f>F11/C11</f>
        <v>1.9224242424242425E-2</v>
      </c>
    </row>
    <row r="13" spans="2:6" x14ac:dyDescent="0.15">
      <c r="B13" s="241"/>
      <c r="C13" s="241"/>
      <c r="D13" s="241"/>
      <c r="E13" s="241"/>
      <c r="F13" s="241"/>
    </row>
    <row r="14" spans="2:6" x14ac:dyDescent="0.15">
      <c r="B14" s="241"/>
      <c r="C14" s="241"/>
      <c r="D14" s="241"/>
      <c r="E14" s="241"/>
      <c r="F14" s="241"/>
    </row>
    <row r="15" spans="2:6" ht="18" x14ac:dyDescent="0.2">
      <c r="B15" s="195" t="s">
        <v>1201</v>
      </c>
      <c r="C15" s="195"/>
      <c r="D15" s="195"/>
      <c r="E15" s="195"/>
      <c r="F15" s="195"/>
    </row>
    <row r="16" spans="2:6" x14ac:dyDescent="0.15">
      <c r="B16" s="191"/>
      <c r="C16" s="191"/>
      <c r="D16" s="191"/>
      <c r="E16" s="191"/>
      <c r="F16" s="191"/>
    </row>
    <row r="17" spans="2:6" ht="16" x14ac:dyDescent="0.2">
      <c r="B17" s="119" t="s">
        <v>1122</v>
      </c>
      <c r="C17" s="119" t="s">
        <v>1123</v>
      </c>
      <c r="D17" s="119" t="s">
        <v>1124</v>
      </c>
      <c r="E17" s="119" t="s">
        <v>1125</v>
      </c>
      <c r="F17" s="119" t="s">
        <v>1126</v>
      </c>
    </row>
    <row r="18" spans="2:6" x14ac:dyDescent="0.15">
      <c r="B18" s="106" t="s">
        <v>1202</v>
      </c>
      <c r="C18" s="106">
        <v>230</v>
      </c>
      <c r="D18" s="106" t="s">
        <v>1129</v>
      </c>
      <c r="E18" s="107">
        <f>INGREDIENTS!F11</f>
        <v>7.0000000000000007E-2</v>
      </c>
      <c r="F18" s="107">
        <f>E18*C18</f>
        <v>16.100000000000001</v>
      </c>
    </row>
    <row r="19" spans="2:6" x14ac:dyDescent="0.15">
      <c r="B19" s="106" t="s">
        <v>1203</v>
      </c>
      <c r="C19" s="106">
        <v>3500</v>
      </c>
      <c r="D19" s="106" t="s">
        <v>996</v>
      </c>
      <c r="E19" s="107">
        <v>0</v>
      </c>
      <c r="F19" s="107">
        <f t="shared" ref="F19" si="1">E19*C19</f>
        <v>0</v>
      </c>
    </row>
    <row r="20" spans="2:6" x14ac:dyDescent="0.15">
      <c r="B20" s="106"/>
      <c r="C20" s="106"/>
      <c r="D20" s="106"/>
      <c r="E20" s="107"/>
      <c r="F20" s="107"/>
    </row>
    <row r="21" spans="2:6" x14ac:dyDescent="0.15">
      <c r="B21" s="106"/>
      <c r="C21" s="106"/>
      <c r="D21" s="106"/>
      <c r="E21" s="107"/>
      <c r="F21" s="107"/>
    </row>
    <row r="22" spans="2:6" x14ac:dyDescent="0.15">
      <c r="B22" s="106"/>
      <c r="C22" s="106"/>
      <c r="D22" s="106"/>
      <c r="E22" s="107"/>
      <c r="F22" s="107"/>
    </row>
    <row r="23" spans="2:6" ht="18" x14ac:dyDescent="0.2">
      <c r="B23" t="s">
        <v>1199</v>
      </c>
      <c r="C23" s="105">
        <v>3500</v>
      </c>
      <c r="F23" s="110">
        <f>SUM(F18:F22)</f>
        <v>16.100000000000001</v>
      </c>
    </row>
    <row r="24" spans="2:6" x14ac:dyDescent="0.15">
      <c r="B24" t="s">
        <v>1204</v>
      </c>
      <c r="C24" s="114">
        <f>F23/C23</f>
        <v>4.6000000000000008E-3</v>
      </c>
    </row>
    <row r="25" spans="2:6" x14ac:dyDescent="0.15">
      <c r="B25" s="241"/>
      <c r="C25" s="241"/>
      <c r="D25" s="241"/>
      <c r="E25" s="241"/>
      <c r="F25" s="241"/>
    </row>
    <row r="26" spans="2:6" x14ac:dyDescent="0.15">
      <c r="B26" s="241"/>
      <c r="C26" s="241"/>
      <c r="D26" s="241"/>
      <c r="E26" s="241"/>
      <c r="F26" s="241"/>
    </row>
  </sheetData>
  <mergeCells count="7">
    <mergeCell ref="B25:F26"/>
    <mergeCell ref="B1:F2"/>
    <mergeCell ref="B3:F3"/>
    <mergeCell ref="B4:F4"/>
    <mergeCell ref="B13:F14"/>
    <mergeCell ref="B15:F15"/>
    <mergeCell ref="B16:F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5717-3EC8-4F69-A13C-E020553132C6}">
  <dimension ref="A1:X223"/>
  <sheetViews>
    <sheetView topLeftCell="A38" zoomScale="63" zoomScaleNormal="80" workbookViewId="0">
      <selection activeCell="B38" sqref="B38"/>
    </sheetView>
  </sheetViews>
  <sheetFormatPr baseColWidth="10" defaultColWidth="8.83203125" defaultRowHeight="13" x14ac:dyDescent="0.15"/>
  <cols>
    <col min="1" max="1" width="5.5" customWidth="1"/>
    <col min="2" max="2" width="23.5" bestFit="1" customWidth="1"/>
    <col min="3" max="3" width="12.1640625" bestFit="1" customWidth="1"/>
    <col min="4" max="4" width="14.33203125" bestFit="1" customWidth="1"/>
    <col min="5" max="5" width="11.6640625" bestFit="1" customWidth="1"/>
    <col min="6" max="6" width="15.1640625" bestFit="1" customWidth="1"/>
    <col min="7" max="7" width="6.83203125" style="120" customWidth="1"/>
    <col min="8" max="8" width="20" customWidth="1"/>
    <col min="9" max="9" width="10.83203125" bestFit="1" customWidth="1"/>
    <col min="10" max="10" width="9.5" bestFit="1" customWidth="1"/>
    <col min="11" max="11" width="11.6640625" bestFit="1" customWidth="1"/>
    <col min="12" max="12" width="14" bestFit="1" customWidth="1"/>
    <col min="13" max="13" width="6.83203125" style="120" customWidth="1"/>
    <col min="14" max="14" width="20" customWidth="1"/>
    <col min="15" max="15" width="10.83203125" bestFit="1" customWidth="1"/>
    <col min="16" max="16" width="9.6640625" bestFit="1" customWidth="1"/>
    <col min="17" max="17" width="11.6640625" bestFit="1" customWidth="1"/>
    <col min="18" max="18" width="14" bestFit="1" customWidth="1"/>
    <col min="19" max="19" width="6.1640625" style="120" customWidth="1"/>
    <col min="20" max="20" width="20" customWidth="1"/>
    <col min="21" max="21" width="10.83203125" bestFit="1" customWidth="1"/>
    <col min="22" max="22" width="9.6640625" bestFit="1" customWidth="1"/>
    <col min="23" max="23" width="11.6640625" bestFit="1" customWidth="1"/>
    <col min="24" max="24" width="14" bestFit="1" customWidth="1"/>
  </cols>
  <sheetData>
    <row r="1" spans="2:24" ht="16" customHeight="1" x14ac:dyDescent="0.15"/>
    <row r="2" spans="2:24" ht="13" customHeight="1" x14ac:dyDescent="0.15">
      <c r="B2" s="186" t="s">
        <v>1540</v>
      </c>
      <c r="C2" s="186"/>
      <c r="D2" s="186"/>
      <c r="E2" s="186"/>
      <c r="F2" s="186"/>
      <c r="N2" s="186" t="s">
        <v>1525</v>
      </c>
      <c r="O2" s="186"/>
      <c r="P2" s="186"/>
      <c r="Q2" s="186"/>
      <c r="R2" s="186"/>
      <c r="T2" s="186" t="s">
        <v>1526</v>
      </c>
      <c r="U2" s="186"/>
      <c r="V2" s="186"/>
      <c r="W2" s="186"/>
      <c r="X2" s="186"/>
    </row>
    <row r="3" spans="2:24" ht="13" customHeight="1" x14ac:dyDescent="0.15">
      <c r="B3" s="186"/>
      <c r="C3" s="186"/>
      <c r="D3" s="186"/>
      <c r="E3" s="186"/>
      <c r="F3" s="186"/>
      <c r="N3" s="186"/>
      <c r="O3" s="186"/>
      <c r="P3" s="186"/>
      <c r="Q3" s="186"/>
      <c r="R3" s="186"/>
      <c r="T3" s="186"/>
      <c r="U3" s="186"/>
      <c r="V3" s="186"/>
      <c r="W3" s="186"/>
      <c r="X3" s="186"/>
    </row>
    <row r="4" spans="2:24" ht="13" customHeight="1" x14ac:dyDescent="0.15">
      <c r="B4" s="186"/>
      <c r="C4" s="186"/>
      <c r="D4" s="186"/>
      <c r="E4" s="186"/>
      <c r="F4" s="186"/>
      <c r="N4" s="186"/>
      <c r="O4" s="186"/>
      <c r="P4" s="186"/>
      <c r="Q4" s="186"/>
      <c r="R4" s="186"/>
      <c r="T4" s="186"/>
      <c r="U4" s="186"/>
      <c r="V4" s="186"/>
      <c r="W4" s="186"/>
      <c r="X4" s="186"/>
    </row>
    <row r="5" spans="2:24" ht="23" customHeight="1" x14ac:dyDescent="0.15">
      <c r="B5" s="167" t="s">
        <v>1527</v>
      </c>
      <c r="C5" s="167"/>
      <c r="D5" s="167"/>
      <c r="E5" s="167"/>
      <c r="F5" s="167"/>
      <c r="N5" s="167" t="s">
        <v>1527</v>
      </c>
      <c r="O5" s="167"/>
      <c r="P5" s="167"/>
      <c r="Q5" s="167"/>
      <c r="R5" s="167"/>
      <c r="T5" s="167" t="s">
        <v>1527</v>
      </c>
      <c r="U5" s="167"/>
      <c r="V5" s="167"/>
      <c r="W5" s="167"/>
      <c r="X5" s="167"/>
    </row>
    <row r="6" spans="2:24" ht="13" customHeight="1" x14ac:dyDescent="0.15">
      <c r="B6" s="167"/>
      <c r="C6" s="167"/>
      <c r="D6" s="167"/>
      <c r="E6" s="167"/>
      <c r="F6" s="167"/>
      <c r="N6" s="167"/>
      <c r="O6" s="167"/>
      <c r="P6" s="167"/>
      <c r="Q6" s="167"/>
      <c r="R6" s="167"/>
      <c r="T6" s="167"/>
      <c r="U6" s="167"/>
      <c r="V6" s="167"/>
      <c r="W6" s="167"/>
      <c r="X6" s="167"/>
    </row>
    <row r="7" spans="2:24" ht="16" x14ac:dyDescent="0.2">
      <c r="B7" s="119" t="s">
        <v>1122</v>
      </c>
      <c r="C7" s="119" t="s">
        <v>1123</v>
      </c>
      <c r="D7" s="119" t="s">
        <v>1124</v>
      </c>
      <c r="E7" s="119" t="s">
        <v>1125</v>
      </c>
      <c r="F7" s="119" t="s">
        <v>1126</v>
      </c>
      <c r="H7" s="119"/>
      <c r="I7" s="119"/>
      <c r="J7" s="119"/>
      <c r="K7" s="119"/>
      <c r="L7" s="119"/>
      <c r="N7" s="119" t="s">
        <v>1122</v>
      </c>
      <c r="O7" s="119" t="s">
        <v>1123</v>
      </c>
      <c r="P7" s="119" t="s">
        <v>1124</v>
      </c>
      <c r="Q7" s="119" t="s">
        <v>1125</v>
      </c>
      <c r="R7" s="119" t="s">
        <v>1126</v>
      </c>
      <c r="T7" s="119" t="s">
        <v>1122</v>
      </c>
      <c r="U7" s="119" t="s">
        <v>1123</v>
      </c>
      <c r="V7" s="119" t="s">
        <v>1124</v>
      </c>
      <c r="W7" s="119" t="s">
        <v>1125</v>
      </c>
      <c r="X7" s="119" t="s">
        <v>1126</v>
      </c>
    </row>
    <row r="8" spans="2:24" ht="13" customHeight="1" x14ac:dyDescent="0.15">
      <c r="B8" s="106" t="s">
        <v>1163</v>
      </c>
      <c r="C8" s="106">
        <f>16+(16*0.025)</f>
        <v>16.399999999999999</v>
      </c>
      <c r="D8" s="106" t="s">
        <v>1129</v>
      </c>
      <c r="E8" s="107">
        <f>INGREDIENTS!$F$5</f>
        <v>4.0526225490196077E-2</v>
      </c>
      <c r="F8" s="107">
        <f>(E8*C8)/2</f>
        <v>0.33231504901960779</v>
      </c>
      <c r="N8" s="106" t="s">
        <v>1163</v>
      </c>
      <c r="O8" s="106">
        <f>16+(16*0.025)</f>
        <v>16.399999999999999</v>
      </c>
      <c r="P8" s="106" t="s">
        <v>1129</v>
      </c>
      <c r="Q8" s="107">
        <f>INGREDIENTS!$F$5</f>
        <v>4.0526225490196077E-2</v>
      </c>
      <c r="R8" s="107">
        <f>Q8*O8</f>
        <v>0.66463009803921558</v>
      </c>
      <c r="T8" s="106" t="s">
        <v>1163</v>
      </c>
      <c r="U8" s="106">
        <f>16+(16*0.025)</f>
        <v>16.399999999999999</v>
      </c>
      <c r="V8" s="106" t="s">
        <v>1129</v>
      </c>
      <c r="W8" s="107">
        <f>INGREDIENTS!$F$5</f>
        <v>4.0526225490196077E-2</v>
      </c>
      <c r="X8" s="107">
        <f>W8*U8</f>
        <v>0.66463009803921558</v>
      </c>
    </row>
    <row r="9" spans="2:24" ht="13" customHeight="1" x14ac:dyDescent="0.2">
      <c r="B9" s="106" t="s">
        <v>1164</v>
      </c>
      <c r="C9" s="106">
        <v>110</v>
      </c>
      <c r="D9" s="106" t="s">
        <v>1165</v>
      </c>
      <c r="E9" s="107">
        <f>INGREDIENTS!$F$38</f>
        <v>1.426E-2</v>
      </c>
      <c r="F9" s="107">
        <f>E9*C9</f>
        <v>1.5686</v>
      </c>
      <c r="L9" s="110"/>
      <c r="N9" s="106" t="s">
        <v>1164</v>
      </c>
      <c r="O9" s="106">
        <v>215</v>
      </c>
      <c r="P9" s="106" t="s">
        <v>1165</v>
      </c>
      <c r="Q9" s="107">
        <f>INGREDIENTS!$F$38</f>
        <v>1.426E-2</v>
      </c>
      <c r="R9" s="107">
        <f>Q9*O9</f>
        <v>3.0659000000000001</v>
      </c>
      <c r="T9" s="106" t="s">
        <v>1164</v>
      </c>
      <c r="U9" s="106">
        <v>250</v>
      </c>
      <c r="V9" s="106" t="s">
        <v>1165</v>
      </c>
      <c r="W9" s="107">
        <f>INGREDIENTS!$F$38</f>
        <v>1.426E-2</v>
      </c>
      <c r="X9" s="107">
        <f>W9*U9</f>
        <v>3.5649999999999999</v>
      </c>
    </row>
    <row r="10" spans="2:24" ht="13" customHeight="1" x14ac:dyDescent="0.2">
      <c r="B10" s="108" t="s">
        <v>1539</v>
      </c>
      <c r="C10" s="106">
        <v>1</v>
      </c>
      <c r="D10" s="106" t="s">
        <v>1036</v>
      </c>
      <c r="E10" s="107">
        <f>INGREDIENTS!F211</f>
        <v>7.5999999999999998E-2</v>
      </c>
      <c r="F10" s="107">
        <f t="shared" ref="F10" si="0">E10*C10</f>
        <v>7.5999999999999998E-2</v>
      </c>
      <c r="L10" s="110"/>
      <c r="N10" s="108" t="s">
        <v>1166</v>
      </c>
      <c r="O10" s="106">
        <v>1</v>
      </c>
      <c r="P10" s="106" t="s">
        <v>1036</v>
      </c>
      <c r="Q10" s="107">
        <f>INGREDIENTS!$F$19</f>
        <v>0.32</v>
      </c>
      <c r="R10" s="107">
        <f t="shared" ref="R10:R11" si="1">Q10*O10</f>
        <v>0.32</v>
      </c>
      <c r="T10" s="108" t="s">
        <v>1347</v>
      </c>
      <c r="U10" s="106">
        <v>1</v>
      </c>
      <c r="V10" s="106" t="s">
        <v>1036</v>
      </c>
      <c r="W10" s="107">
        <f>INGREDIENTS!F26</f>
        <v>0.28999999999999998</v>
      </c>
      <c r="X10" s="107">
        <f t="shared" ref="X10:X11" si="2">W10*U10</f>
        <v>0.28999999999999998</v>
      </c>
    </row>
    <row r="11" spans="2:24" ht="18" x14ac:dyDescent="0.2">
      <c r="B11" s="108"/>
      <c r="C11" s="106"/>
      <c r="D11" s="106"/>
      <c r="E11" s="107"/>
      <c r="F11" s="107"/>
      <c r="L11" s="110"/>
      <c r="N11" s="108" t="s">
        <v>1167</v>
      </c>
      <c r="O11" s="106">
        <v>1</v>
      </c>
      <c r="P11" s="106" t="s">
        <v>1103</v>
      </c>
      <c r="Q11" s="107">
        <f>INGREDIENTS!$F$20</f>
        <v>0.22</v>
      </c>
      <c r="R11" s="107">
        <f t="shared" si="1"/>
        <v>0.22</v>
      </c>
      <c r="T11" s="108" t="s">
        <v>1348</v>
      </c>
      <c r="U11" s="106">
        <v>1</v>
      </c>
      <c r="V11" s="106" t="s">
        <v>1103</v>
      </c>
      <c r="W11" s="107">
        <f>INGREDIENTS!F27</f>
        <v>0.15</v>
      </c>
      <c r="X11" s="107">
        <f t="shared" si="2"/>
        <v>0.15</v>
      </c>
    </row>
    <row r="12" spans="2:24" ht="18" x14ac:dyDescent="0.2">
      <c r="B12" s="106"/>
      <c r="C12" s="106"/>
      <c r="D12" s="106"/>
      <c r="E12" s="107"/>
      <c r="F12" s="107"/>
      <c r="L12" s="110"/>
      <c r="N12" s="106"/>
      <c r="O12" s="106"/>
      <c r="P12" s="106"/>
      <c r="Q12" s="107"/>
      <c r="R12" s="107"/>
      <c r="T12" s="106"/>
      <c r="U12" s="106"/>
      <c r="V12" s="106"/>
      <c r="W12" s="107"/>
      <c r="X12" s="107"/>
    </row>
    <row r="13" spans="2:24" ht="18" x14ac:dyDescent="0.2">
      <c r="F13" s="110">
        <f>SUM(F8:F12)</f>
        <v>1.9769150490196079</v>
      </c>
      <c r="L13" s="110"/>
      <c r="R13" s="110">
        <f>SUM(R8:R12)</f>
        <v>4.2705300980392158</v>
      </c>
      <c r="X13" s="110">
        <f>SUM(X8:X12)</f>
        <v>4.6696300980392156</v>
      </c>
    </row>
    <row r="14" spans="2:24" x14ac:dyDescent="0.15">
      <c r="B14" t="s">
        <v>1132</v>
      </c>
      <c r="C14" s="58">
        <v>6</v>
      </c>
      <c r="E14" s="58"/>
      <c r="I14" s="58"/>
      <c r="K14" s="58"/>
      <c r="N14" t="s">
        <v>1132</v>
      </c>
      <c r="O14" s="58">
        <v>8.5</v>
      </c>
      <c r="T14" t="s">
        <v>1132</v>
      </c>
      <c r="U14" s="58">
        <v>10.5</v>
      </c>
    </row>
    <row r="15" spans="2:24" ht="18" x14ac:dyDescent="0.2">
      <c r="B15" t="s">
        <v>1125</v>
      </c>
      <c r="C15" s="58">
        <f>F13+5%</f>
        <v>2.0269150490196077</v>
      </c>
      <c r="D15" s="111">
        <f>C15/C14</f>
        <v>0.33781917483660129</v>
      </c>
      <c r="I15" s="58"/>
      <c r="N15" t="s">
        <v>1125</v>
      </c>
      <c r="O15" s="58">
        <f>R13+5%</f>
        <v>4.3205300980392156</v>
      </c>
      <c r="P15" s="111">
        <f>O15/O14</f>
        <v>0.50829765859284892</v>
      </c>
      <c r="T15" t="s">
        <v>1125</v>
      </c>
      <c r="U15" s="58">
        <f>X13+5%</f>
        <v>4.7196300980392154</v>
      </c>
      <c r="V15" s="111">
        <f>U15/U14</f>
        <v>0.44948858076563958</v>
      </c>
    </row>
    <row r="16" spans="2:24" x14ac:dyDescent="0.15">
      <c r="B16" t="s">
        <v>1133</v>
      </c>
      <c r="C16" s="58">
        <f>C14-C15</f>
        <v>3.9730849509803923</v>
      </c>
      <c r="D16" s="112"/>
      <c r="I16" s="58"/>
      <c r="J16" s="112"/>
      <c r="N16" t="s">
        <v>1133</v>
      </c>
      <c r="O16" s="58">
        <f>O14-O15</f>
        <v>4.1794699019607844</v>
      </c>
      <c r="P16" s="112"/>
      <c r="T16" t="s">
        <v>1133</v>
      </c>
      <c r="U16" s="58">
        <f>U14-U15</f>
        <v>5.7803699019607846</v>
      </c>
      <c r="V16" s="112"/>
    </row>
    <row r="17" spans="1:24" ht="29" customHeight="1" x14ac:dyDescent="0.15">
      <c r="A17" s="113"/>
      <c r="B17" s="189"/>
      <c r="C17" s="189"/>
      <c r="D17" s="189"/>
      <c r="E17" s="189"/>
      <c r="F17" s="189"/>
      <c r="G17" s="121"/>
      <c r="H17" s="189"/>
      <c r="I17" s="189"/>
      <c r="J17" s="189"/>
      <c r="K17" s="189"/>
      <c r="L17" s="189"/>
      <c r="M17" s="121"/>
      <c r="N17" s="189"/>
      <c r="O17" s="189"/>
      <c r="P17" s="189"/>
      <c r="Q17" s="189"/>
      <c r="R17" s="189"/>
      <c r="T17" s="189"/>
      <c r="U17" s="189"/>
      <c r="V17" s="189"/>
      <c r="W17" s="189"/>
      <c r="X17" s="189"/>
    </row>
    <row r="18" spans="1:24" ht="13" customHeight="1" x14ac:dyDescent="0.15">
      <c r="B18" s="186" t="s">
        <v>1540</v>
      </c>
      <c r="C18" s="186"/>
      <c r="D18" s="186"/>
      <c r="E18" s="186"/>
      <c r="F18" s="186"/>
      <c r="H18" s="186" t="s">
        <v>1529</v>
      </c>
      <c r="I18" s="186"/>
      <c r="J18" s="186"/>
      <c r="K18" s="186"/>
      <c r="L18" s="186"/>
      <c r="N18" s="186" t="s">
        <v>1525</v>
      </c>
      <c r="O18" s="186"/>
      <c r="P18" s="186"/>
      <c r="Q18" s="186"/>
      <c r="R18" s="186"/>
      <c r="T18" s="186" t="s">
        <v>1526</v>
      </c>
      <c r="U18" s="186"/>
      <c r="V18" s="186"/>
      <c r="W18" s="186"/>
      <c r="X18" s="186"/>
    </row>
    <row r="19" spans="1:24" ht="13" customHeight="1" x14ac:dyDescent="0.15">
      <c r="B19" s="186"/>
      <c r="C19" s="186"/>
      <c r="D19" s="186"/>
      <c r="E19" s="186"/>
      <c r="F19" s="186"/>
      <c r="H19" s="186"/>
      <c r="I19" s="186"/>
      <c r="J19" s="186"/>
      <c r="K19" s="186"/>
      <c r="L19" s="186"/>
      <c r="N19" s="186"/>
      <c r="O19" s="186"/>
      <c r="P19" s="186"/>
      <c r="Q19" s="186"/>
      <c r="R19" s="186"/>
      <c r="T19" s="186"/>
      <c r="U19" s="186"/>
      <c r="V19" s="186"/>
      <c r="W19" s="186"/>
      <c r="X19" s="186"/>
    </row>
    <row r="20" spans="1:24" ht="13" customHeight="1" x14ac:dyDescent="0.15">
      <c r="B20" s="186"/>
      <c r="C20" s="186"/>
      <c r="D20" s="186"/>
      <c r="E20" s="186"/>
      <c r="F20" s="186"/>
      <c r="H20" s="186"/>
      <c r="I20" s="186"/>
      <c r="J20" s="186"/>
      <c r="K20" s="186"/>
      <c r="L20" s="186"/>
      <c r="N20" s="186"/>
      <c r="O20" s="186"/>
      <c r="P20" s="186"/>
      <c r="Q20" s="186"/>
      <c r="R20" s="186"/>
      <c r="T20" s="186"/>
      <c r="U20" s="186"/>
      <c r="V20" s="186"/>
      <c r="W20" s="186"/>
      <c r="X20" s="186"/>
    </row>
    <row r="21" spans="1:24" x14ac:dyDescent="0.15">
      <c r="B21" s="167" t="s">
        <v>1636</v>
      </c>
      <c r="C21" s="167"/>
      <c r="D21" s="167"/>
      <c r="E21" s="167"/>
      <c r="F21" s="167"/>
      <c r="H21" s="167" t="s">
        <v>1528</v>
      </c>
      <c r="I21" s="167"/>
      <c r="J21" s="167"/>
      <c r="K21" s="167"/>
      <c r="L21" s="167"/>
      <c r="N21" s="167" t="s">
        <v>1528</v>
      </c>
      <c r="O21" s="167"/>
      <c r="P21" s="167"/>
      <c r="Q21" s="167"/>
      <c r="R21" s="167"/>
      <c r="T21" s="167" t="s">
        <v>1528</v>
      </c>
      <c r="U21" s="167"/>
      <c r="V21" s="167"/>
      <c r="W21" s="167"/>
      <c r="X21" s="167"/>
    </row>
    <row r="22" spans="1:24" ht="13" customHeight="1" x14ac:dyDescent="0.15">
      <c r="B22" s="167"/>
      <c r="C22" s="167"/>
      <c r="D22" s="167"/>
      <c r="E22" s="167"/>
      <c r="F22" s="167"/>
      <c r="H22" s="167"/>
      <c r="I22" s="167"/>
      <c r="J22" s="167"/>
      <c r="K22" s="167"/>
      <c r="L22" s="167"/>
      <c r="N22" s="167"/>
      <c r="O22" s="167"/>
      <c r="P22" s="167"/>
      <c r="Q22" s="167"/>
      <c r="R22" s="167"/>
      <c r="T22" s="167"/>
      <c r="U22" s="167"/>
      <c r="V22" s="167"/>
      <c r="W22" s="167"/>
      <c r="X22" s="167"/>
    </row>
    <row r="23" spans="1:24" ht="16" x14ac:dyDescent="0.2">
      <c r="B23" s="119" t="s">
        <v>1122</v>
      </c>
      <c r="C23" s="119" t="s">
        <v>1123</v>
      </c>
      <c r="D23" s="119" t="s">
        <v>1124</v>
      </c>
      <c r="E23" s="119" t="s">
        <v>1125</v>
      </c>
      <c r="F23" s="119" t="s">
        <v>1126</v>
      </c>
      <c r="H23" s="119" t="s">
        <v>1122</v>
      </c>
      <c r="I23" s="119" t="s">
        <v>1123</v>
      </c>
      <c r="J23" s="119" t="s">
        <v>1124</v>
      </c>
      <c r="K23" s="119" t="s">
        <v>1125</v>
      </c>
      <c r="L23" s="119" t="s">
        <v>1126</v>
      </c>
      <c r="N23" s="119" t="s">
        <v>1122</v>
      </c>
      <c r="O23" s="119" t="s">
        <v>1123</v>
      </c>
      <c r="P23" s="119" t="s">
        <v>1124</v>
      </c>
      <c r="Q23" s="119" t="s">
        <v>1125</v>
      </c>
      <c r="R23" s="119" t="s">
        <v>1126</v>
      </c>
      <c r="T23" s="119" t="s">
        <v>1122</v>
      </c>
      <c r="U23" s="119" t="s">
        <v>1123</v>
      </c>
      <c r="V23" s="119" t="s">
        <v>1124</v>
      </c>
      <c r="W23" s="119" t="s">
        <v>1125</v>
      </c>
      <c r="X23" s="119" t="s">
        <v>1126</v>
      </c>
    </row>
    <row r="24" spans="1:24" x14ac:dyDescent="0.15">
      <c r="B24" s="108" t="s">
        <v>1128</v>
      </c>
      <c r="C24" s="106">
        <v>200</v>
      </c>
      <c r="D24" s="108" t="s">
        <v>1176</v>
      </c>
      <c r="E24" s="107">
        <f>INGREDIENTS!$F$38</f>
        <v>1.426E-2</v>
      </c>
      <c r="F24" s="107">
        <f>E24*C24</f>
        <v>2.8519999999999999</v>
      </c>
      <c r="H24" s="106" t="s">
        <v>1163</v>
      </c>
      <c r="I24" s="106">
        <f>16+(16*0.025)</f>
        <v>16.399999999999999</v>
      </c>
      <c r="J24" s="106" t="s">
        <v>1129</v>
      </c>
      <c r="K24" s="107">
        <f>INGREDIENTS!$F$9</f>
        <v>4.4941176470588241E-2</v>
      </c>
      <c r="L24" s="107">
        <f>(K24*I24)/2</f>
        <v>0.36851764705882356</v>
      </c>
      <c r="N24" s="106" t="s">
        <v>1163</v>
      </c>
      <c r="O24" s="106">
        <f>16+(16*0.025)</f>
        <v>16.399999999999999</v>
      </c>
      <c r="P24" s="106" t="s">
        <v>1129</v>
      </c>
      <c r="Q24" s="107">
        <f>INGREDIENTS!$F$9</f>
        <v>4.4941176470588241E-2</v>
      </c>
      <c r="R24" s="107">
        <f>Q24*O24</f>
        <v>0.73703529411764712</v>
      </c>
      <c r="T24" s="106" t="s">
        <v>1163</v>
      </c>
      <c r="U24" s="106">
        <f>16+(16*0.025)</f>
        <v>16.399999999999999</v>
      </c>
      <c r="V24" s="106" t="s">
        <v>1129</v>
      </c>
      <c r="W24" s="107">
        <f>INGREDIENTS!$F$9</f>
        <v>4.4941176470588241E-2</v>
      </c>
      <c r="X24" s="107">
        <f>W24*U24</f>
        <v>0.73703529411764712</v>
      </c>
    </row>
    <row r="25" spans="1:24" x14ac:dyDescent="0.15">
      <c r="B25" s="108" t="s">
        <v>1637</v>
      </c>
      <c r="C25" s="106">
        <v>2</v>
      </c>
      <c r="D25" s="108" t="s">
        <v>1304</v>
      </c>
      <c r="E25" s="107">
        <f>INGREDIENTS!$F$284</f>
        <v>2.9600000000000001E-2</v>
      </c>
      <c r="F25" s="107">
        <f t="shared" ref="F25:F28" si="3">E25*C25</f>
        <v>5.9200000000000003E-2</v>
      </c>
      <c r="H25" s="106" t="s">
        <v>1164</v>
      </c>
      <c r="I25" s="106">
        <v>180</v>
      </c>
      <c r="J25" s="106" t="s">
        <v>1165</v>
      </c>
      <c r="K25" s="107">
        <f>INGREDIENTS!$F$38</f>
        <v>1.426E-2</v>
      </c>
      <c r="L25" s="107">
        <f>K25*I25</f>
        <v>2.5668000000000002</v>
      </c>
      <c r="N25" s="106" t="s">
        <v>1164</v>
      </c>
      <c r="O25" s="106">
        <v>215</v>
      </c>
      <c r="P25" s="106" t="s">
        <v>1165</v>
      </c>
      <c r="Q25" s="107">
        <f>INGREDIENTS!$F$38</f>
        <v>1.426E-2</v>
      </c>
      <c r="R25" s="107">
        <f>Q25*O25</f>
        <v>3.0659000000000001</v>
      </c>
      <c r="T25" s="106" t="s">
        <v>1164</v>
      </c>
      <c r="U25" s="106">
        <v>225</v>
      </c>
      <c r="V25" s="106" t="s">
        <v>1165</v>
      </c>
      <c r="W25" s="107">
        <f>INGREDIENTS!$F$38</f>
        <v>1.426E-2</v>
      </c>
      <c r="X25" s="107">
        <f>W25*U25</f>
        <v>3.2084999999999999</v>
      </c>
    </row>
    <row r="26" spans="1:24" x14ac:dyDescent="0.15">
      <c r="B26" s="108" t="s">
        <v>1198</v>
      </c>
      <c r="C26" s="106">
        <v>20</v>
      </c>
      <c r="D26" s="108" t="s">
        <v>1638</v>
      </c>
      <c r="E26" s="107">
        <f>INGREDIENTS!$F$164</f>
        <v>4.7999999999999996E-3</v>
      </c>
      <c r="F26" s="107">
        <f t="shared" si="3"/>
        <v>9.5999999999999988E-2</v>
      </c>
      <c r="H26" s="108" t="s">
        <v>1345</v>
      </c>
      <c r="I26" s="106">
        <v>1</v>
      </c>
      <c r="J26" s="106" t="s">
        <v>1036</v>
      </c>
      <c r="K26" s="107">
        <f>INGREDIENTS!$F$23</f>
        <v>0.25</v>
      </c>
      <c r="L26" s="107">
        <f t="shared" ref="L26:L27" si="4">K26*I26</f>
        <v>0.25</v>
      </c>
      <c r="N26" s="108" t="s">
        <v>1166</v>
      </c>
      <c r="O26" s="106">
        <v>1</v>
      </c>
      <c r="P26" s="106" t="s">
        <v>1036</v>
      </c>
      <c r="Q26" s="107">
        <f>INGREDIENTS!$F$19</f>
        <v>0.32</v>
      </c>
      <c r="R26" s="107">
        <f t="shared" ref="R26:R27" si="5">Q26*O26</f>
        <v>0.32</v>
      </c>
      <c r="T26" s="108" t="s">
        <v>1347</v>
      </c>
      <c r="U26" s="106">
        <v>1</v>
      </c>
      <c r="V26" s="106" t="s">
        <v>1036</v>
      </c>
      <c r="W26" s="107">
        <f>INGREDIENTS!F207</f>
        <v>0.38</v>
      </c>
      <c r="X26" s="107">
        <f t="shared" ref="X26:X27" si="6">W26*U26</f>
        <v>0.38</v>
      </c>
    </row>
    <row r="27" spans="1:24" x14ac:dyDescent="0.15">
      <c r="B27" s="108" t="s">
        <v>1622</v>
      </c>
      <c r="C27" s="106">
        <v>2</v>
      </c>
      <c r="D27" s="108" t="s">
        <v>996</v>
      </c>
      <c r="E27" s="107">
        <f>INGREDIENTS!$F$282</f>
        <v>0.17</v>
      </c>
      <c r="F27" s="107">
        <f t="shared" si="3"/>
        <v>0.34</v>
      </c>
      <c r="H27" s="108" t="s">
        <v>1346</v>
      </c>
      <c r="I27" s="106">
        <v>1</v>
      </c>
      <c r="J27" s="106" t="s">
        <v>1103</v>
      </c>
      <c r="K27" s="107">
        <f>INGREDIENTS!$F$24</f>
        <v>0.22</v>
      </c>
      <c r="L27" s="107">
        <f t="shared" si="4"/>
        <v>0.22</v>
      </c>
      <c r="N27" s="108" t="s">
        <v>1167</v>
      </c>
      <c r="O27" s="106">
        <v>1</v>
      </c>
      <c r="P27" s="106" t="s">
        <v>1103</v>
      </c>
      <c r="Q27" s="107">
        <f>INGREDIENTS!$F$20</f>
        <v>0.22</v>
      </c>
      <c r="R27" s="107">
        <f t="shared" si="5"/>
        <v>0.22</v>
      </c>
      <c r="T27" s="108" t="s">
        <v>1348</v>
      </c>
      <c r="U27" s="106">
        <v>1</v>
      </c>
      <c r="V27" s="106" t="s">
        <v>1103</v>
      </c>
      <c r="W27" s="107">
        <f>INGREDIENTS!$F$20</f>
        <v>0.22</v>
      </c>
      <c r="X27" s="107">
        <f t="shared" si="6"/>
        <v>0.22</v>
      </c>
    </row>
    <row r="28" spans="1:24" x14ac:dyDescent="0.15">
      <c r="B28" s="108" t="s">
        <v>1649</v>
      </c>
      <c r="C28" s="106">
        <v>1</v>
      </c>
      <c r="D28" s="108" t="s">
        <v>1129</v>
      </c>
      <c r="E28" s="107">
        <f>INGREDIENTS!$F$283</f>
        <v>0.03</v>
      </c>
      <c r="F28" s="107">
        <f t="shared" si="3"/>
        <v>0.03</v>
      </c>
      <c r="H28" s="106"/>
      <c r="I28" s="106"/>
      <c r="J28" s="106"/>
      <c r="K28" s="107"/>
      <c r="L28" s="107"/>
      <c r="N28" s="106"/>
      <c r="O28" s="106"/>
      <c r="P28" s="106"/>
      <c r="Q28" s="107"/>
      <c r="R28" s="107"/>
      <c r="T28" s="106"/>
      <c r="U28" s="106"/>
      <c r="V28" s="106"/>
      <c r="W28" s="107"/>
      <c r="X28" s="107"/>
    </row>
    <row r="29" spans="1:24" x14ac:dyDescent="0.15">
      <c r="B29" s="108" t="s">
        <v>1650</v>
      </c>
      <c r="C29" s="106">
        <v>1</v>
      </c>
      <c r="D29" s="108" t="s">
        <v>1129</v>
      </c>
      <c r="E29" s="107">
        <f>INGREDIENTS!F283</f>
        <v>0.03</v>
      </c>
      <c r="F29" s="107">
        <f>E29*C29</f>
        <v>0.03</v>
      </c>
      <c r="H29" s="106"/>
      <c r="I29" s="106"/>
      <c r="J29" s="106"/>
      <c r="K29" s="107"/>
      <c r="L29" s="107"/>
      <c r="N29" s="106"/>
      <c r="O29" s="106"/>
      <c r="P29" s="106"/>
      <c r="Q29" s="107"/>
      <c r="R29" s="107"/>
      <c r="T29" s="106"/>
      <c r="U29" s="106"/>
      <c r="V29" s="106"/>
      <c r="W29" s="107"/>
      <c r="X29" s="107"/>
    </row>
    <row r="30" spans="1:24" ht="18" x14ac:dyDescent="0.2">
      <c r="B30" s="108" t="s">
        <v>1193</v>
      </c>
      <c r="C30" s="106">
        <v>150</v>
      </c>
      <c r="D30" s="108" t="s">
        <v>1165</v>
      </c>
      <c r="E30" s="107">
        <v>0</v>
      </c>
      <c r="F30" s="107">
        <f>E30*C30</f>
        <v>0</v>
      </c>
      <c r="L30" s="110">
        <f>SUM(L24:L28)</f>
        <v>3.405317647058824</v>
      </c>
      <c r="R30" s="110">
        <f>SUM(R24:R28)</f>
        <v>4.3429352941176473</v>
      </c>
      <c r="X30" s="110">
        <f>SUM(X24:X28)</f>
        <v>4.5455352941176468</v>
      </c>
    </row>
    <row r="31" spans="1:24" ht="18" x14ac:dyDescent="0.2">
      <c r="B31" s="108" t="s">
        <v>1639</v>
      </c>
      <c r="C31" s="106">
        <v>1</v>
      </c>
      <c r="D31" s="108" t="s">
        <v>1376</v>
      </c>
      <c r="E31" s="107">
        <f>INGREDIENTS!$F$211</f>
        <v>7.5999999999999998E-2</v>
      </c>
      <c r="F31" s="107">
        <f>E31*C31</f>
        <v>7.5999999999999998E-2</v>
      </c>
      <c r="L31" s="110"/>
      <c r="R31" s="110"/>
      <c r="X31" s="110"/>
    </row>
    <row r="32" spans="1:24" ht="18" x14ac:dyDescent="0.2">
      <c r="L32" s="110"/>
      <c r="R32" s="110"/>
      <c r="X32" s="110"/>
    </row>
    <row r="33" spans="1:24" ht="18" x14ac:dyDescent="0.2">
      <c r="B33" t="s">
        <v>1132</v>
      </c>
      <c r="C33" s="58">
        <v>4</v>
      </c>
      <c r="E33" s="58"/>
      <c r="F33" s="110">
        <f>SUM(F24:F31)</f>
        <v>3.4831999999999996</v>
      </c>
      <c r="H33" t="s">
        <v>1132</v>
      </c>
      <c r="I33" s="58">
        <v>8.5</v>
      </c>
      <c r="N33" t="s">
        <v>1132</v>
      </c>
      <c r="O33" s="58">
        <v>10</v>
      </c>
      <c r="T33" t="s">
        <v>1132</v>
      </c>
      <c r="U33" s="58">
        <v>12</v>
      </c>
    </row>
    <row r="34" spans="1:24" ht="18" x14ac:dyDescent="0.2">
      <c r="B34" t="s">
        <v>1125</v>
      </c>
      <c r="C34" s="58">
        <f>F33/2</f>
        <v>1.7415999999999998</v>
      </c>
      <c r="D34" s="111">
        <f>C34/C33</f>
        <v>0.43539999999999995</v>
      </c>
      <c r="H34" t="s">
        <v>1125</v>
      </c>
      <c r="I34" s="58">
        <f>L30+5%</f>
        <v>3.4553176470588238</v>
      </c>
      <c r="J34" s="111">
        <f>I34/I33</f>
        <v>0.4065079584775087</v>
      </c>
      <c r="N34" t="s">
        <v>1125</v>
      </c>
      <c r="O34" s="58">
        <f>R30+5%</f>
        <v>4.3929352941176472</v>
      </c>
      <c r="P34" s="111">
        <f>O34/O33</f>
        <v>0.43929352941176469</v>
      </c>
      <c r="T34" t="s">
        <v>1125</v>
      </c>
      <c r="U34" s="58">
        <f>X30+5%</f>
        <v>4.5955352941176466</v>
      </c>
      <c r="V34" s="111">
        <f>U34/U33</f>
        <v>0.38296127450980388</v>
      </c>
    </row>
    <row r="35" spans="1:24" x14ac:dyDescent="0.15">
      <c r="B35" t="s">
        <v>1133</v>
      </c>
      <c r="C35" s="58">
        <f>C33-C34</f>
        <v>2.2584</v>
      </c>
      <c r="D35" s="112"/>
      <c r="H35" t="s">
        <v>1133</v>
      </c>
      <c r="I35" s="58">
        <f>I33-I34</f>
        <v>5.0446823529411766</v>
      </c>
      <c r="J35" s="112"/>
      <c r="K35" s="124"/>
      <c r="N35" t="s">
        <v>1133</v>
      </c>
      <c r="O35" s="58">
        <f>O33-O34</f>
        <v>5.6070647058823528</v>
      </c>
      <c r="P35" s="112"/>
      <c r="T35" t="s">
        <v>1133</v>
      </c>
      <c r="U35" s="58">
        <f>U33-U34</f>
        <v>7.4044647058823534</v>
      </c>
      <c r="V35" s="112"/>
    </row>
    <row r="36" spans="1:24" ht="29" customHeight="1" x14ac:dyDescent="0.15">
      <c r="A36" s="113"/>
      <c r="B36" s="189"/>
      <c r="C36" s="189"/>
      <c r="D36" s="189"/>
      <c r="E36" s="189"/>
      <c r="F36" s="189"/>
      <c r="G36" s="121"/>
      <c r="H36" s="189"/>
      <c r="I36" s="189"/>
      <c r="J36" s="189"/>
      <c r="K36" s="189"/>
      <c r="L36" s="189"/>
      <c r="M36" s="121"/>
      <c r="N36" s="189"/>
      <c r="O36" s="189"/>
      <c r="P36" s="189"/>
      <c r="Q36" s="189"/>
      <c r="R36" s="189"/>
      <c r="T36" s="189"/>
      <c r="U36" s="189"/>
      <c r="V36" s="189"/>
      <c r="W36" s="189"/>
      <c r="X36" s="189"/>
    </row>
    <row r="37" spans="1:24" ht="13" customHeight="1" x14ac:dyDescent="0.15">
      <c r="H37" s="186" t="s">
        <v>1470</v>
      </c>
      <c r="I37" s="186"/>
      <c r="J37" s="186"/>
      <c r="K37" s="186"/>
      <c r="L37" s="186"/>
      <c r="N37" s="186" t="s">
        <v>1343</v>
      </c>
      <c r="O37" s="186"/>
      <c r="P37" s="186"/>
      <c r="Q37" s="186"/>
      <c r="R37" s="186"/>
      <c r="T37" s="186" t="s">
        <v>1344</v>
      </c>
      <c r="U37" s="186"/>
      <c r="V37" s="186"/>
      <c r="W37" s="186"/>
      <c r="X37" s="186"/>
    </row>
    <row r="38" spans="1:24" ht="13" customHeight="1" x14ac:dyDescent="0.15">
      <c r="H38" s="186"/>
      <c r="I38" s="186"/>
      <c r="J38" s="186"/>
      <c r="K38" s="186"/>
      <c r="L38" s="186"/>
      <c r="N38" s="186"/>
      <c r="O38" s="186"/>
      <c r="P38" s="186"/>
      <c r="Q38" s="186"/>
      <c r="R38" s="186"/>
      <c r="T38" s="186"/>
      <c r="U38" s="186"/>
      <c r="V38" s="186"/>
      <c r="W38" s="186"/>
      <c r="X38" s="186"/>
    </row>
    <row r="39" spans="1:24" ht="13" customHeight="1" x14ac:dyDescent="0.15">
      <c r="H39" s="186"/>
      <c r="I39" s="186"/>
      <c r="J39" s="186"/>
      <c r="K39" s="186"/>
      <c r="L39" s="186"/>
      <c r="N39" s="186"/>
      <c r="O39" s="186"/>
      <c r="P39" s="186"/>
      <c r="Q39" s="186"/>
      <c r="R39" s="186"/>
      <c r="T39" s="186"/>
      <c r="U39" s="186"/>
      <c r="V39" s="186"/>
      <c r="W39" s="186"/>
      <c r="X39" s="186"/>
    </row>
    <row r="40" spans="1:24" ht="13" customHeight="1" x14ac:dyDescent="0.15">
      <c r="H40" s="167" t="s">
        <v>1340</v>
      </c>
      <c r="I40" s="167"/>
      <c r="J40" s="167"/>
      <c r="K40" s="167"/>
      <c r="L40" s="167"/>
      <c r="N40" s="167" t="s">
        <v>1341</v>
      </c>
      <c r="O40" s="167"/>
      <c r="P40" s="167"/>
      <c r="Q40" s="167"/>
      <c r="R40" s="167"/>
      <c r="T40" s="167" t="s">
        <v>1342</v>
      </c>
      <c r="U40" s="167"/>
      <c r="V40" s="167"/>
      <c r="W40" s="167"/>
      <c r="X40" s="167"/>
    </row>
    <row r="41" spans="1:24" ht="13" customHeight="1" x14ac:dyDescent="0.15">
      <c r="H41" s="167"/>
      <c r="I41" s="167"/>
      <c r="J41" s="167"/>
      <c r="K41" s="167"/>
      <c r="L41" s="167"/>
      <c r="N41" s="167"/>
      <c r="O41" s="167"/>
      <c r="P41" s="167"/>
      <c r="Q41" s="167"/>
      <c r="R41" s="167"/>
      <c r="T41" s="167"/>
      <c r="U41" s="167"/>
      <c r="V41" s="167"/>
      <c r="W41" s="167"/>
      <c r="X41" s="167"/>
    </row>
    <row r="42" spans="1:24" ht="16" x14ac:dyDescent="0.2">
      <c r="H42" s="119" t="s">
        <v>1122</v>
      </c>
      <c r="I42" s="119" t="s">
        <v>1123</v>
      </c>
      <c r="J42" s="119" t="s">
        <v>1124</v>
      </c>
      <c r="K42" s="119" t="s">
        <v>1125</v>
      </c>
      <c r="L42" s="119" t="s">
        <v>1126</v>
      </c>
      <c r="N42" s="119" t="s">
        <v>1122</v>
      </c>
      <c r="O42" s="119" t="s">
        <v>1123</v>
      </c>
      <c r="P42" s="119" t="s">
        <v>1124</v>
      </c>
      <c r="Q42" s="119" t="s">
        <v>1125</v>
      </c>
      <c r="R42" s="119" t="s">
        <v>1126</v>
      </c>
      <c r="T42" s="119" t="s">
        <v>1122</v>
      </c>
      <c r="U42" s="119" t="s">
        <v>1123</v>
      </c>
      <c r="V42" s="119" t="s">
        <v>1124</v>
      </c>
      <c r="W42" s="119" t="s">
        <v>1125</v>
      </c>
      <c r="X42" s="119" t="s">
        <v>1126</v>
      </c>
    </row>
    <row r="43" spans="1:24" x14ac:dyDescent="0.15">
      <c r="H43" s="106" t="s">
        <v>1163</v>
      </c>
      <c r="I43" s="106">
        <f>16+(16*0.025)</f>
        <v>16.399999999999999</v>
      </c>
      <c r="J43" s="106" t="s">
        <v>1129</v>
      </c>
      <c r="K43" s="107">
        <f>INGREDIENTS!$F$11</f>
        <v>7.0000000000000007E-2</v>
      </c>
      <c r="L43" s="107">
        <f>K43*I43</f>
        <v>1.1479999999999999</v>
      </c>
      <c r="N43" s="106" t="s">
        <v>1163</v>
      </c>
      <c r="O43" s="106">
        <f>16+(16*0.025)</f>
        <v>16.399999999999999</v>
      </c>
      <c r="P43" s="106" t="s">
        <v>1129</v>
      </c>
      <c r="Q43" s="107">
        <f>INGREDIENTS!F11</f>
        <v>7.0000000000000007E-2</v>
      </c>
      <c r="R43" s="107">
        <f>Q43*O43</f>
        <v>1.1479999999999999</v>
      </c>
      <c r="T43" s="106" t="s">
        <v>1163</v>
      </c>
      <c r="U43" s="106">
        <f>16+(16*0.025)</f>
        <v>16.399999999999999</v>
      </c>
      <c r="V43" s="106" t="s">
        <v>1129</v>
      </c>
      <c r="W43" s="107">
        <f>INGREDIENTS!F11</f>
        <v>7.0000000000000007E-2</v>
      </c>
      <c r="X43" s="107">
        <f>W43*U43</f>
        <v>1.1479999999999999</v>
      </c>
    </row>
    <row r="44" spans="1:24" x14ac:dyDescent="0.15">
      <c r="H44" s="106" t="s">
        <v>1164</v>
      </c>
      <c r="I44" s="106">
        <v>205</v>
      </c>
      <c r="J44" s="106" t="s">
        <v>1165</v>
      </c>
      <c r="K44" s="107">
        <f>INGREDIENTS!$F$38</f>
        <v>1.426E-2</v>
      </c>
      <c r="L44" s="107">
        <f>K44*I44</f>
        <v>2.9233000000000002</v>
      </c>
      <c r="N44" s="106" t="s">
        <v>1164</v>
      </c>
      <c r="O44" s="106">
        <v>215</v>
      </c>
      <c r="P44" s="106" t="s">
        <v>1165</v>
      </c>
      <c r="Q44" s="107">
        <f>INGREDIENTS!$F$38</f>
        <v>1.426E-2</v>
      </c>
      <c r="R44" s="107">
        <f>Q44*O44</f>
        <v>3.0659000000000001</v>
      </c>
      <c r="T44" s="106" t="s">
        <v>1164</v>
      </c>
      <c r="U44" s="106">
        <v>225</v>
      </c>
      <c r="V44" s="106" t="s">
        <v>1165</v>
      </c>
      <c r="W44" s="107">
        <f>INGREDIENTS!$F$38</f>
        <v>1.426E-2</v>
      </c>
      <c r="X44" s="107">
        <f>W44*U44</f>
        <v>3.2084999999999999</v>
      </c>
    </row>
    <row r="45" spans="1:24" x14ac:dyDescent="0.15">
      <c r="H45" s="108" t="s">
        <v>1345</v>
      </c>
      <c r="I45" s="106">
        <v>1</v>
      </c>
      <c r="J45" s="106" t="s">
        <v>1036</v>
      </c>
      <c r="K45" s="107">
        <f>INGREDIENTS!$F$23</f>
        <v>0.25</v>
      </c>
      <c r="L45" s="107">
        <f t="shared" ref="L45:L46" si="7">K45*I45</f>
        <v>0.25</v>
      </c>
      <c r="N45" s="108" t="s">
        <v>1166</v>
      </c>
      <c r="O45" s="106">
        <v>1</v>
      </c>
      <c r="P45" s="106" t="s">
        <v>1036</v>
      </c>
      <c r="Q45" s="107">
        <f>INGREDIENTS!$F$19</f>
        <v>0.32</v>
      </c>
      <c r="R45" s="107">
        <f t="shared" ref="R45:R46" si="8">Q45*O45</f>
        <v>0.32</v>
      </c>
      <c r="T45" s="108" t="s">
        <v>1347</v>
      </c>
      <c r="U45" s="106">
        <v>1</v>
      </c>
      <c r="V45" s="106" t="s">
        <v>1036</v>
      </c>
      <c r="W45" s="107">
        <f>INGREDIENTS!F207</f>
        <v>0.38</v>
      </c>
      <c r="X45" s="107">
        <f t="shared" ref="X45:X46" si="9">W45*U45</f>
        <v>0.38</v>
      </c>
    </row>
    <row r="46" spans="1:24" x14ac:dyDescent="0.15">
      <c r="H46" s="108" t="s">
        <v>1346</v>
      </c>
      <c r="I46" s="106">
        <v>1</v>
      </c>
      <c r="J46" s="106" t="s">
        <v>1103</v>
      </c>
      <c r="K46" s="107">
        <f>INGREDIENTS!$F$24</f>
        <v>0.22</v>
      </c>
      <c r="L46" s="107">
        <f t="shared" si="7"/>
        <v>0.22</v>
      </c>
      <c r="N46" s="108" t="s">
        <v>1167</v>
      </c>
      <c r="O46" s="106">
        <v>1</v>
      </c>
      <c r="P46" s="106" t="s">
        <v>1103</v>
      </c>
      <c r="Q46" s="107">
        <f>INGREDIENTS!$F$20</f>
        <v>0.22</v>
      </c>
      <c r="R46" s="107">
        <f t="shared" si="8"/>
        <v>0.22</v>
      </c>
      <c r="T46" s="108" t="s">
        <v>1348</v>
      </c>
      <c r="U46" s="106">
        <v>1</v>
      </c>
      <c r="V46" s="106" t="s">
        <v>1103</v>
      </c>
      <c r="W46" s="107">
        <f>INGREDIENTS!$F$20</f>
        <v>0.22</v>
      </c>
      <c r="X46" s="107">
        <f t="shared" si="9"/>
        <v>0.22</v>
      </c>
    </row>
    <row r="47" spans="1:24" x14ac:dyDescent="0.15">
      <c r="H47" s="106"/>
      <c r="I47" s="106"/>
      <c r="J47" s="106"/>
      <c r="K47" s="107"/>
      <c r="L47" s="107"/>
      <c r="N47" s="106"/>
      <c r="O47" s="106"/>
      <c r="P47" s="106"/>
      <c r="Q47" s="107"/>
      <c r="R47" s="107"/>
      <c r="T47" s="106"/>
      <c r="U47" s="106"/>
      <c r="V47" s="106"/>
      <c r="W47" s="107"/>
      <c r="X47" s="107"/>
    </row>
    <row r="48" spans="1:24" ht="18" x14ac:dyDescent="0.2">
      <c r="L48" s="110">
        <f>SUM(L43:L47)</f>
        <v>4.5412999999999997</v>
      </c>
      <c r="R48" s="110">
        <f>SUM(R43:R47)</f>
        <v>4.7538999999999998</v>
      </c>
      <c r="X48" s="110">
        <f>SUM(X43:X47)</f>
        <v>4.9564999999999992</v>
      </c>
    </row>
    <row r="49" spans="1:24" x14ac:dyDescent="0.15">
      <c r="H49" t="s">
        <v>1132</v>
      </c>
      <c r="I49" s="58">
        <v>8</v>
      </c>
      <c r="N49" t="s">
        <v>1132</v>
      </c>
      <c r="O49" s="58">
        <v>8.5</v>
      </c>
      <c r="T49" t="s">
        <v>1132</v>
      </c>
      <c r="U49" s="58">
        <v>11</v>
      </c>
    </row>
    <row r="50" spans="1:24" ht="18" x14ac:dyDescent="0.2">
      <c r="H50" t="s">
        <v>1125</v>
      </c>
      <c r="I50" s="58">
        <f>L48+5%</f>
        <v>4.5912999999999995</v>
      </c>
      <c r="J50" s="111">
        <f>I50/I49</f>
        <v>0.57391249999999994</v>
      </c>
      <c r="N50" t="s">
        <v>1125</v>
      </c>
      <c r="O50" s="58">
        <f>R48+5%</f>
        <v>4.8038999999999996</v>
      </c>
      <c r="P50" s="111">
        <f>O50/O49</f>
        <v>0.5651647058823529</v>
      </c>
      <c r="T50" t="s">
        <v>1125</v>
      </c>
      <c r="U50" s="58">
        <f>X48+5%</f>
        <v>5.0064999999999991</v>
      </c>
      <c r="V50" s="111">
        <f>U50/U49</f>
        <v>0.45513636363636356</v>
      </c>
    </row>
    <row r="51" spans="1:24" x14ac:dyDescent="0.15">
      <c r="H51" t="s">
        <v>1133</v>
      </c>
      <c r="I51" s="58">
        <f>I49-I50</f>
        <v>3.4087000000000005</v>
      </c>
      <c r="J51" s="112"/>
      <c r="K51" s="124"/>
      <c r="N51" t="s">
        <v>1133</v>
      </c>
      <c r="O51" s="58">
        <f>O49-O50</f>
        <v>3.6961000000000004</v>
      </c>
      <c r="P51" s="112"/>
      <c r="T51" t="s">
        <v>1133</v>
      </c>
      <c r="U51" s="58">
        <f>U49-U50</f>
        <v>5.9935000000000009</v>
      </c>
      <c r="V51" s="112"/>
    </row>
    <row r="52" spans="1:24" ht="29" customHeight="1" x14ac:dyDescent="0.15">
      <c r="A52" s="113"/>
      <c r="B52" s="122"/>
      <c r="C52" s="122"/>
      <c r="D52" s="122"/>
      <c r="E52" s="146"/>
      <c r="F52" s="122"/>
      <c r="G52" s="121"/>
      <c r="H52" s="189"/>
      <c r="I52" s="189"/>
      <c r="J52" s="189"/>
      <c r="K52" s="189"/>
      <c r="L52" s="189"/>
      <c r="M52" s="121"/>
      <c r="N52" s="189"/>
      <c r="O52" s="189"/>
      <c r="P52" s="189"/>
      <c r="Q52" s="189"/>
      <c r="R52" s="189"/>
      <c r="T52" s="189"/>
      <c r="U52" s="189"/>
      <c r="V52" s="189"/>
      <c r="W52" s="189"/>
      <c r="X52" s="189"/>
    </row>
    <row r="53" spans="1:24" ht="29" customHeight="1" x14ac:dyDescent="0.2">
      <c r="C53" s="152"/>
      <c r="D53" s="152"/>
      <c r="E53" s="58"/>
      <c r="F53" s="110"/>
      <c r="H53" s="186" t="s">
        <v>1407</v>
      </c>
      <c r="I53" s="186"/>
      <c r="J53" s="186"/>
      <c r="K53" s="186"/>
      <c r="L53" s="186"/>
      <c r="N53" s="186" t="s">
        <v>1343</v>
      </c>
      <c r="O53" s="186"/>
      <c r="P53" s="186"/>
      <c r="Q53" s="186"/>
      <c r="R53" s="186"/>
      <c r="T53" s="186" t="s">
        <v>1344</v>
      </c>
      <c r="U53" s="186"/>
      <c r="V53" s="186"/>
      <c r="W53" s="186"/>
      <c r="X53" s="186"/>
    </row>
    <row r="54" spans="1:24" ht="29" customHeight="1" x14ac:dyDescent="0.2">
      <c r="D54" s="151"/>
      <c r="F54" s="110"/>
      <c r="H54" s="186"/>
      <c r="I54" s="186"/>
      <c r="J54" s="186"/>
      <c r="K54" s="186"/>
      <c r="L54" s="186"/>
      <c r="N54" s="186"/>
      <c r="O54" s="186"/>
      <c r="P54" s="186"/>
      <c r="Q54" s="186"/>
      <c r="R54" s="186"/>
      <c r="T54" s="186"/>
      <c r="U54" s="186"/>
      <c r="V54" s="186"/>
      <c r="W54" s="186"/>
      <c r="X54" s="186"/>
    </row>
    <row r="55" spans="1:24" ht="29" customHeight="1" x14ac:dyDescent="0.2">
      <c r="D55" s="151"/>
      <c r="F55" s="110"/>
      <c r="H55" s="186"/>
      <c r="I55" s="186"/>
      <c r="J55" s="186"/>
      <c r="K55" s="186"/>
      <c r="L55" s="186"/>
      <c r="N55" s="186"/>
      <c r="O55" s="186"/>
      <c r="P55" s="186"/>
      <c r="Q55" s="186"/>
      <c r="R55" s="186"/>
      <c r="T55" s="186"/>
      <c r="U55" s="186"/>
      <c r="V55" s="186"/>
      <c r="W55" s="186"/>
      <c r="X55" s="186"/>
    </row>
    <row r="56" spans="1:24" ht="29" customHeight="1" x14ac:dyDescent="0.15">
      <c r="H56" s="167" t="s">
        <v>1340</v>
      </c>
      <c r="I56" s="167"/>
      <c r="J56" s="167"/>
      <c r="K56" s="167"/>
      <c r="L56" s="167"/>
      <c r="N56" s="167" t="s">
        <v>1341</v>
      </c>
      <c r="O56" s="167"/>
      <c r="P56" s="167"/>
      <c r="Q56" s="167"/>
      <c r="R56" s="167"/>
      <c r="T56" s="167" t="s">
        <v>1342</v>
      </c>
      <c r="U56" s="167"/>
      <c r="V56" s="167"/>
      <c r="W56" s="167"/>
      <c r="X56" s="167"/>
    </row>
    <row r="57" spans="1:24" ht="29" customHeight="1" x14ac:dyDescent="0.15">
      <c r="H57" s="167"/>
      <c r="I57" s="167"/>
      <c r="J57" s="167"/>
      <c r="K57" s="167"/>
      <c r="L57" s="167"/>
      <c r="N57" s="167"/>
      <c r="O57" s="167"/>
      <c r="P57" s="167"/>
      <c r="Q57" s="167"/>
      <c r="R57" s="167"/>
      <c r="T57" s="167"/>
      <c r="U57" s="167"/>
      <c r="V57" s="167"/>
      <c r="W57" s="167"/>
      <c r="X57" s="167"/>
    </row>
    <row r="58" spans="1:24" ht="29" customHeight="1" x14ac:dyDescent="0.2">
      <c r="H58" s="119" t="s">
        <v>1122</v>
      </c>
      <c r="I58" s="119" t="s">
        <v>1123</v>
      </c>
      <c r="J58" s="119" t="s">
        <v>1124</v>
      </c>
      <c r="K58" s="119" t="s">
        <v>1125</v>
      </c>
      <c r="L58" s="119" t="s">
        <v>1126</v>
      </c>
      <c r="N58" s="119" t="s">
        <v>1122</v>
      </c>
      <c r="O58" s="119" t="s">
        <v>1123</v>
      </c>
      <c r="P58" s="119" t="s">
        <v>1124</v>
      </c>
      <c r="Q58" s="119" t="s">
        <v>1125</v>
      </c>
      <c r="R58" s="119" t="s">
        <v>1126</v>
      </c>
      <c r="T58" s="119" t="s">
        <v>1122</v>
      </c>
      <c r="U58" s="119" t="s">
        <v>1123</v>
      </c>
      <c r="V58" s="119" t="s">
        <v>1124</v>
      </c>
      <c r="W58" s="119" t="s">
        <v>1125</v>
      </c>
      <c r="X58" s="119" t="s">
        <v>1126</v>
      </c>
    </row>
    <row r="59" spans="1:24" ht="29" customHeight="1" x14ac:dyDescent="0.15">
      <c r="H59" s="106" t="s">
        <v>1163</v>
      </c>
      <c r="I59" s="106">
        <f>16+(18*0.025)</f>
        <v>16.45</v>
      </c>
      <c r="J59" s="106" t="s">
        <v>1129</v>
      </c>
      <c r="K59" s="107">
        <f>INGREDIENTS!$F$31</f>
        <v>0</v>
      </c>
      <c r="L59" s="107">
        <f>K59*I59</f>
        <v>0</v>
      </c>
      <c r="N59" s="106" t="s">
        <v>1163</v>
      </c>
      <c r="O59" s="106">
        <f>16+(18*0.025)</f>
        <v>16.45</v>
      </c>
      <c r="P59" s="106" t="s">
        <v>1129</v>
      </c>
      <c r="Q59" s="107">
        <f>INGREDIENTS!F47</f>
        <v>0</v>
      </c>
      <c r="R59" s="107">
        <f>Q59*O59</f>
        <v>0</v>
      </c>
      <c r="T59" s="106" t="s">
        <v>1163</v>
      </c>
      <c r="U59" s="106">
        <f>16+(18*0.025)</f>
        <v>16.45</v>
      </c>
      <c r="V59" s="106" t="s">
        <v>1129</v>
      </c>
      <c r="W59" s="107">
        <f>INGREDIENTS!F47</f>
        <v>0</v>
      </c>
      <c r="X59" s="107">
        <f>W59*U59</f>
        <v>0</v>
      </c>
    </row>
    <row r="60" spans="1:24" ht="29" customHeight="1" x14ac:dyDescent="0.15">
      <c r="H60" s="106" t="s">
        <v>1164</v>
      </c>
      <c r="I60" s="106">
        <v>205</v>
      </c>
      <c r="J60" s="106" t="s">
        <v>1165</v>
      </c>
      <c r="K60" s="107">
        <f>INGREDIENTS!$F$38</f>
        <v>1.426E-2</v>
      </c>
      <c r="L60" s="107">
        <f>K60*I60</f>
        <v>2.9233000000000002</v>
      </c>
      <c r="N60" s="106" t="s">
        <v>1164</v>
      </c>
      <c r="O60" s="106">
        <v>215</v>
      </c>
      <c r="P60" s="106" t="s">
        <v>1165</v>
      </c>
      <c r="Q60" s="107">
        <f>INGREDIENTS!$F$38</f>
        <v>1.426E-2</v>
      </c>
      <c r="R60" s="107">
        <f>Q60*O60</f>
        <v>3.0659000000000001</v>
      </c>
      <c r="T60" s="106" t="s">
        <v>1164</v>
      </c>
      <c r="U60" s="106">
        <v>225</v>
      </c>
      <c r="V60" s="106" t="s">
        <v>1165</v>
      </c>
      <c r="W60" s="107">
        <f>INGREDIENTS!$F$38</f>
        <v>1.426E-2</v>
      </c>
      <c r="X60" s="107">
        <f>W60*U60</f>
        <v>3.2084999999999999</v>
      </c>
    </row>
    <row r="61" spans="1:24" ht="29" customHeight="1" x14ac:dyDescent="0.15">
      <c r="H61" s="106" t="s">
        <v>1345</v>
      </c>
      <c r="I61" s="106">
        <v>1</v>
      </c>
      <c r="J61" s="106" t="s">
        <v>1036</v>
      </c>
      <c r="K61" s="107">
        <f>INGREDIENTS!F13</f>
        <v>0</v>
      </c>
      <c r="L61" s="107">
        <f>K61*I61</f>
        <v>0</v>
      </c>
      <c r="N61" s="106" t="s">
        <v>1166</v>
      </c>
      <c r="O61" s="106">
        <v>1</v>
      </c>
      <c r="P61" s="106" t="s">
        <v>1036</v>
      </c>
      <c r="Q61" s="107">
        <f>INGREDIENTS!$F$19</f>
        <v>0.32</v>
      </c>
      <c r="R61" s="107">
        <f>Q61*O61</f>
        <v>0.32</v>
      </c>
      <c r="T61" s="106" t="s">
        <v>1347</v>
      </c>
      <c r="U61" s="106">
        <v>1</v>
      </c>
      <c r="V61" s="106" t="s">
        <v>1036</v>
      </c>
      <c r="W61" s="107">
        <f>INGREDIENTS!F252</f>
        <v>0</v>
      </c>
      <c r="X61" s="107">
        <f>W61*U61</f>
        <v>0</v>
      </c>
    </row>
    <row r="62" spans="1:24" ht="29" customHeight="1" x14ac:dyDescent="0.15">
      <c r="H62" s="106" t="s">
        <v>1346</v>
      </c>
      <c r="I62" s="106">
        <v>1</v>
      </c>
      <c r="J62" s="106" t="s">
        <v>1103</v>
      </c>
      <c r="K62" s="107">
        <f>INGREDIENTS!F14</f>
        <v>0</v>
      </c>
      <c r="L62" s="107">
        <f>K62*I62</f>
        <v>0</v>
      </c>
      <c r="N62" s="106" t="s">
        <v>1167</v>
      </c>
      <c r="O62" s="106">
        <v>1</v>
      </c>
      <c r="P62" s="106" t="s">
        <v>1103</v>
      </c>
      <c r="Q62" s="107">
        <f>INGREDIENTS!$F$20</f>
        <v>0.22</v>
      </c>
      <c r="R62" s="107">
        <f>Q62*O62</f>
        <v>0.22</v>
      </c>
      <c r="T62" s="106" t="s">
        <v>1348</v>
      </c>
      <c r="U62" s="106">
        <v>1</v>
      </c>
      <c r="V62" s="106" t="s">
        <v>1103</v>
      </c>
      <c r="W62" s="107">
        <f>INGREDIENTS!$F$20</f>
        <v>0.22</v>
      </c>
      <c r="X62" s="107">
        <f>W62*U62</f>
        <v>0.22</v>
      </c>
    </row>
    <row r="63" spans="1:24" ht="29" customHeight="1" x14ac:dyDescent="0.15">
      <c r="H63" s="106"/>
      <c r="I63" s="106"/>
      <c r="J63" s="106"/>
      <c r="K63" s="107"/>
      <c r="L63" s="107"/>
      <c r="N63" s="106"/>
      <c r="O63" s="106"/>
      <c r="P63" s="106"/>
      <c r="Q63" s="107"/>
      <c r="R63" s="107"/>
      <c r="T63" s="106"/>
      <c r="U63" s="106"/>
      <c r="V63" s="106"/>
      <c r="W63" s="107"/>
      <c r="X63" s="107"/>
    </row>
    <row r="64" spans="1:24" ht="29" customHeight="1" x14ac:dyDescent="0.2">
      <c r="L64" s="110">
        <f>SUM(L59:L63)</f>
        <v>2.9233000000000002</v>
      </c>
      <c r="R64" s="110">
        <f>SUM(R59:R63)</f>
        <v>3.6059000000000001</v>
      </c>
      <c r="X64" s="110">
        <f>SUM(X59:X63)</f>
        <v>3.4285000000000001</v>
      </c>
    </row>
    <row r="65" spans="1:24" ht="29" customHeight="1" x14ac:dyDescent="0.15">
      <c r="H65" t="s">
        <v>1132</v>
      </c>
      <c r="I65" s="58">
        <v>10</v>
      </c>
      <c r="N65" t="s">
        <v>1132</v>
      </c>
      <c r="O65" s="58">
        <v>8.5</v>
      </c>
      <c r="T65" t="s">
        <v>1132</v>
      </c>
      <c r="U65" s="58">
        <v>11</v>
      </c>
    </row>
    <row r="66" spans="1:24" ht="29" customHeight="1" x14ac:dyDescent="0.2">
      <c r="H66" t="s">
        <v>1125</v>
      </c>
      <c r="I66" s="58">
        <f>L64+5%</f>
        <v>2.9733000000000001</v>
      </c>
      <c r="J66" s="111">
        <f>I66/I65</f>
        <v>0.29732999999999998</v>
      </c>
      <c r="N66" t="s">
        <v>1125</v>
      </c>
      <c r="O66" s="58">
        <f>R64+5%</f>
        <v>3.6558999999999999</v>
      </c>
      <c r="P66" s="111">
        <f>O66/O65</f>
        <v>0.43010588235294117</v>
      </c>
      <c r="T66" t="s">
        <v>1125</v>
      </c>
      <c r="U66" s="58">
        <f>X64+5%</f>
        <v>3.4784999999999999</v>
      </c>
      <c r="V66" s="111">
        <f>U66/U65</f>
        <v>0.31622727272727275</v>
      </c>
    </row>
    <row r="67" spans="1:24" ht="29" customHeight="1" x14ac:dyDescent="0.15">
      <c r="H67" t="s">
        <v>1133</v>
      </c>
      <c r="I67" s="58">
        <f>I65-I66</f>
        <v>7.0266999999999999</v>
      </c>
      <c r="J67" s="112"/>
      <c r="K67" s="124"/>
      <c r="N67" t="s">
        <v>1133</v>
      </c>
      <c r="O67" s="58">
        <f>O65-O66</f>
        <v>4.8441000000000001</v>
      </c>
      <c r="P67" s="112"/>
      <c r="T67" t="s">
        <v>1133</v>
      </c>
      <c r="U67" s="58">
        <f>U65-U66</f>
        <v>7.5214999999999996</v>
      </c>
      <c r="V67" s="112"/>
    </row>
    <row r="68" spans="1:24" ht="29" customHeight="1" x14ac:dyDescent="0.15">
      <c r="A68" s="113"/>
      <c r="B68" s="113"/>
      <c r="C68" s="113"/>
      <c r="D68" s="113"/>
      <c r="E68" s="113"/>
      <c r="F68" s="113"/>
      <c r="G68" s="121"/>
      <c r="H68" s="189"/>
      <c r="I68" s="189"/>
      <c r="J68" s="189"/>
      <c r="K68" s="189"/>
      <c r="L68" s="189"/>
      <c r="M68" s="121"/>
      <c r="N68" s="189"/>
      <c r="O68" s="189"/>
      <c r="P68" s="189"/>
      <c r="Q68" s="189"/>
      <c r="R68" s="189"/>
      <c r="T68" s="189"/>
      <c r="U68" s="189"/>
      <c r="V68" s="189"/>
      <c r="W68" s="189"/>
      <c r="X68" s="189"/>
    </row>
    <row r="69" spans="1:24" ht="23" customHeight="1" x14ac:dyDescent="0.15">
      <c r="H69" s="167" t="s">
        <v>1349</v>
      </c>
      <c r="I69" s="167"/>
      <c r="J69" s="167"/>
      <c r="K69" s="167"/>
      <c r="L69" s="167"/>
      <c r="N69" s="167" t="s">
        <v>1349</v>
      </c>
      <c r="O69" s="167"/>
      <c r="P69" s="167"/>
      <c r="Q69" s="167"/>
      <c r="R69" s="167"/>
      <c r="T69" s="167" t="s">
        <v>1349</v>
      </c>
      <c r="U69" s="167"/>
      <c r="V69" s="167"/>
      <c r="W69" s="167"/>
      <c r="X69" s="167"/>
    </row>
    <row r="70" spans="1:24" x14ac:dyDescent="0.15">
      <c r="H70" s="167"/>
      <c r="I70" s="167"/>
      <c r="J70" s="167"/>
      <c r="K70" s="167"/>
      <c r="L70" s="167"/>
      <c r="N70" s="167"/>
      <c r="O70" s="167"/>
      <c r="P70" s="167"/>
      <c r="Q70" s="167"/>
      <c r="R70" s="167"/>
      <c r="T70" s="167"/>
      <c r="U70" s="167"/>
      <c r="V70" s="167"/>
      <c r="W70" s="167"/>
      <c r="X70" s="167"/>
    </row>
    <row r="71" spans="1:24" ht="16" x14ac:dyDescent="0.2">
      <c r="H71" s="119" t="s">
        <v>1122</v>
      </c>
      <c r="I71" s="119" t="s">
        <v>1123</v>
      </c>
      <c r="J71" s="119" t="s">
        <v>1124</v>
      </c>
      <c r="K71" s="119" t="s">
        <v>1125</v>
      </c>
      <c r="L71" s="119" t="s">
        <v>1126</v>
      </c>
      <c r="N71" s="119" t="s">
        <v>1122</v>
      </c>
      <c r="O71" s="119" t="s">
        <v>1123</v>
      </c>
      <c r="P71" s="119" t="s">
        <v>1124</v>
      </c>
      <c r="Q71" s="119" t="s">
        <v>1125</v>
      </c>
      <c r="R71" s="119" t="s">
        <v>1126</v>
      </c>
      <c r="T71" s="119" t="s">
        <v>1122</v>
      </c>
      <c r="U71" s="119" t="s">
        <v>1123</v>
      </c>
      <c r="V71" s="119" t="s">
        <v>1124</v>
      </c>
      <c r="W71" s="119" t="s">
        <v>1125</v>
      </c>
      <c r="X71" s="119" t="s">
        <v>1126</v>
      </c>
    </row>
    <row r="72" spans="1:24" x14ac:dyDescent="0.15">
      <c r="H72" s="106" t="s">
        <v>1163</v>
      </c>
      <c r="I72" s="106">
        <f>16+(18*0.025)</f>
        <v>16.45</v>
      </c>
      <c r="J72" s="106" t="s">
        <v>1129</v>
      </c>
      <c r="K72" s="107">
        <f>INGREDIENTS!F11</f>
        <v>7.0000000000000007E-2</v>
      </c>
      <c r="L72" s="107">
        <f>K72*I72</f>
        <v>1.1515</v>
      </c>
      <c r="N72" s="106" t="s">
        <v>1163</v>
      </c>
      <c r="O72" s="106">
        <f>16+(18*0.025)</f>
        <v>16.45</v>
      </c>
      <c r="P72" s="106" t="s">
        <v>1129</v>
      </c>
      <c r="Q72" s="107">
        <f>INGREDIENTS!F11</f>
        <v>7.0000000000000007E-2</v>
      </c>
      <c r="R72" s="107">
        <f>Q72*O72</f>
        <v>1.1515</v>
      </c>
      <c r="T72" s="106" t="s">
        <v>1163</v>
      </c>
      <c r="U72" s="106">
        <f>16+(18*0.025)</f>
        <v>16.45</v>
      </c>
      <c r="V72" s="106" t="s">
        <v>1129</v>
      </c>
      <c r="W72" s="107">
        <f>INGREDIENTS!F11</f>
        <v>7.0000000000000007E-2</v>
      </c>
      <c r="X72" s="107">
        <f>W72*U72</f>
        <v>1.1515</v>
      </c>
    </row>
    <row r="73" spans="1:24" x14ac:dyDescent="0.15">
      <c r="H73" s="106" t="s">
        <v>1164</v>
      </c>
      <c r="I73" s="106">
        <v>205</v>
      </c>
      <c r="J73" s="106" t="s">
        <v>1165</v>
      </c>
      <c r="K73" s="107">
        <f>INGREDIENTS!F38</f>
        <v>1.426E-2</v>
      </c>
      <c r="L73" s="107">
        <f>K73*I73</f>
        <v>2.9233000000000002</v>
      </c>
      <c r="N73" s="106" t="s">
        <v>1164</v>
      </c>
      <c r="O73" s="106">
        <v>215</v>
      </c>
      <c r="P73" s="106" t="s">
        <v>1165</v>
      </c>
      <c r="Q73" s="107">
        <f>INGREDIENTS!$F$38</f>
        <v>1.426E-2</v>
      </c>
      <c r="R73" s="107">
        <f>Q73*O73</f>
        <v>3.0659000000000001</v>
      </c>
      <c r="T73" s="106" t="s">
        <v>1164</v>
      </c>
      <c r="U73" s="106">
        <v>225</v>
      </c>
      <c r="V73" s="106" t="s">
        <v>1165</v>
      </c>
      <c r="W73" s="107">
        <f>INGREDIENTS!$F$38</f>
        <v>1.426E-2</v>
      </c>
      <c r="X73" s="107">
        <f>W73*U73</f>
        <v>3.2084999999999999</v>
      </c>
    </row>
    <row r="74" spans="1:24" x14ac:dyDescent="0.15">
      <c r="H74" s="108" t="s">
        <v>1345</v>
      </c>
      <c r="I74" s="106">
        <v>1</v>
      </c>
      <c r="J74" s="106" t="s">
        <v>1036</v>
      </c>
      <c r="K74" s="107">
        <f>INGREDIENTS!F23</f>
        <v>0.25</v>
      </c>
      <c r="L74" s="107">
        <f t="shared" ref="L74:L76" si="10">K74*I74</f>
        <v>0.25</v>
      </c>
      <c r="N74" s="108" t="s">
        <v>1166</v>
      </c>
      <c r="O74" s="106">
        <v>1</v>
      </c>
      <c r="P74" s="106" t="s">
        <v>1036</v>
      </c>
      <c r="Q74" s="107">
        <f>INGREDIENTS!F19</f>
        <v>0.32</v>
      </c>
      <c r="R74" s="107">
        <f t="shared" ref="R74:R76" si="11">Q74*O74</f>
        <v>0.32</v>
      </c>
      <c r="T74" s="108" t="s">
        <v>1347</v>
      </c>
      <c r="U74" s="106">
        <v>1</v>
      </c>
      <c r="V74" s="106" t="s">
        <v>1036</v>
      </c>
      <c r="W74" s="107">
        <f>INGREDIENTS!F207</f>
        <v>0.38</v>
      </c>
      <c r="X74" s="107">
        <f t="shared" ref="X74:X76" si="12">W74*U74</f>
        <v>0.38</v>
      </c>
    </row>
    <row r="75" spans="1:24" x14ac:dyDescent="0.15">
      <c r="H75" s="108" t="s">
        <v>1346</v>
      </c>
      <c r="I75" s="106">
        <v>1</v>
      </c>
      <c r="J75" s="106" t="s">
        <v>1103</v>
      </c>
      <c r="K75" s="107">
        <f>INGREDIENTS!F24</f>
        <v>0.22</v>
      </c>
      <c r="L75" s="107">
        <f t="shared" si="10"/>
        <v>0.22</v>
      </c>
      <c r="N75" s="108" t="s">
        <v>1167</v>
      </c>
      <c r="O75" s="106">
        <v>1</v>
      </c>
      <c r="P75" s="106" t="s">
        <v>1103</v>
      </c>
      <c r="Q75" s="107">
        <f>INGREDIENTS!F20</f>
        <v>0.22</v>
      </c>
      <c r="R75" s="107">
        <f t="shared" si="11"/>
        <v>0.22</v>
      </c>
      <c r="T75" s="108" t="s">
        <v>1348</v>
      </c>
      <c r="U75" s="106">
        <v>1</v>
      </c>
      <c r="V75" s="106" t="s">
        <v>1103</v>
      </c>
      <c r="W75" s="107">
        <f>INGREDIENTS!F21</f>
        <v>0.27</v>
      </c>
      <c r="X75" s="107">
        <f t="shared" si="12"/>
        <v>0.27</v>
      </c>
    </row>
    <row r="76" spans="1:24" x14ac:dyDescent="0.15">
      <c r="H76" s="106" t="s">
        <v>1168</v>
      </c>
      <c r="I76" s="106">
        <v>10</v>
      </c>
      <c r="J76" s="106" t="s">
        <v>1001</v>
      </c>
      <c r="K76" s="107">
        <f>INGREDIENTS!$F$58</f>
        <v>6.9500000000000006E-2</v>
      </c>
      <c r="L76" s="107">
        <f t="shared" si="10"/>
        <v>0.69500000000000006</v>
      </c>
      <c r="N76" s="106" t="s">
        <v>1168</v>
      </c>
      <c r="O76" s="106">
        <v>10</v>
      </c>
      <c r="P76" s="106" t="s">
        <v>1001</v>
      </c>
      <c r="Q76" s="107">
        <f>INGREDIENTS!$F$58</f>
        <v>6.9500000000000006E-2</v>
      </c>
      <c r="R76" s="107">
        <f t="shared" si="11"/>
        <v>0.69500000000000006</v>
      </c>
      <c r="T76" s="106" t="s">
        <v>1168</v>
      </c>
      <c r="U76" s="106">
        <v>10</v>
      </c>
      <c r="V76" s="106" t="s">
        <v>1001</v>
      </c>
      <c r="W76" s="107">
        <f>INGREDIENTS!$F$58</f>
        <v>6.9500000000000006E-2</v>
      </c>
      <c r="X76" s="107">
        <f t="shared" si="12"/>
        <v>0.69500000000000006</v>
      </c>
    </row>
    <row r="77" spans="1:24" x14ac:dyDescent="0.15">
      <c r="H77" s="106"/>
      <c r="I77" s="106"/>
      <c r="J77" s="106"/>
      <c r="K77" s="107"/>
      <c r="L77" s="107"/>
      <c r="N77" s="106"/>
      <c r="O77" s="106"/>
      <c r="P77" s="106"/>
      <c r="Q77" s="107"/>
      <c r="R77" s="107"/>
      <c r="T77" s="106"/>
      <c r="U77" s="106"/>
      <c r="V77" s="106"/>
      <c r="W77" s="107"/>
      <c r="X77" s="107"/>
    </row>
    <row r="78" spans="1:24" x14ac:dyDescent="0.15">
      <c r="H78" s="106"/>
      <c r="I78" s="106"/>
      <c r="J78" s="106"/>
      <c r="K78" s="107"/>
      <c r="L78" s="107"/>
      <c r="N78" s="106"/>
      <c r="O78" s="106"/>
      <c r="P78" s="106"/>
      <c r="Q78" s="107"/>
      <c r="R78" s="107"/>
      <c r="T78" s="106"/>
      <c r="U78" s="106"/>
      <c r="V78" s="106"/>
      <c r="W78" s="107"/>
      <c r="X78" s="107"/>
    </row>
    <row r="79" spans="1:24" x14ac:dyDescent="0.15">
      <c r="H79" s="106"/>
      <c r="I79" s="106"/>
      <c r="J79" s="106"/>
      <c r="K79" s="107"/>
      <c r="L79" s="107"/>
      <c r="N79" s="106"/>
      <c r="O79" s="106"/>
      <c r="P79" s="106"/>
      <c r="Q79" s="107"/>
      <c r="R79" s="107"/>
      <c r="T79" s="106"/>
      <c r="U79" s="106"/>
      <c r="V79" s="106"/>
      <c r="W79" s="107"/>
      <c r="X79" s="107"/>
    </row>
    <row r="80" spans="1:24" x14ac:dyDescent="0.15">
      <c r="H80" s="106"/>
      <c r="I80" s="106"/>
      <c r="J80" s="106"/>
      <c r="K80" s="107"/>
      <c r="L80" s="107"/>
      <c r="N80" s="106"/>
      <c r="O80" s="106"/>
      <c r="P80" s="106"/>
      <c r="Q80" s="107"/>
      <c r="R80" s="107"/>
      <c r="T80" s="106"/>
      <c r="U80" s="106"/>
      <c r="V80" s="106"/>
      <c r="W80" s="107"/>
      <c r="X80" s="107"/>
    </row>
    <row r="81" spans="8:24" ht="18" x14ac:dyDescent="0.2">
      <c r="L81" s="110">
        <f>SUM(L72:L80)</f>
        <v>5.2397999999999998</v>
      </c>
      <c r="R81" s="110">
        <f>SUM(R72:R80)</f>
        <v>5.4523999999999999</v>
      </c>
      <c r="X81" s="110">
        <f>SUM(X72:X80)</f>
        <v>5.7050000000000001</v>
      </c>
    </row>
    <row r="82" spans="8:24" x14ac:dyDescent="0.15">
      <c r="H82" t="s">
        <v>1132</v>
      </c>
      <c r="I82" s="58">
        <v>9</v>
      </c>
      <c r="N82" t="s">
        <v>1132</v>
      </c>
      <c r="O82" s="58">
        <v>10.5</v>
      </c>
      <c r="T82" t="s">
        <v>1132</v>
      </c>
      <c r="U82" s="58">
        <v>12</v>
      </c>
    </row>
    <row r="83" spans="8:24" ht="18" x14ac:dyDescent="0.2">
      <c r="H83" t="s">
        <v>1125</v>
      </c>
      <c r="I83" s="58">
        <f>L81+5%</f>
        <v>5.2897999999999996</v>
      </c>
      <c r="J83" s="111">
        <f>I83/I82</f>
        <v>0.58775555555555548</v>
      </c>
      <c r="N83" t="s">
        <v>1125</v>
      </c>
      <c r="O83" s="58">
        <f>R81+5%</f>
        <v>5.5023999999999997</v>
      </c>
      <c r="P83" s="111">
        <f>O83/O82</f>
        <v>0.52403809523809519</v>
      </c>
      <c r="T83" t="s">
        <v>1125</v>
      </c>
      <c r="U83" s="58">
        <f>X81+5%</f>
        <v>5.7549999999999999</v>
      </c>
      <c r="V83" s="111">
        <f>U83/U82</f>
        <v>0.47958333333333331</v>
      </c>
    </row>
    <row r="84" spans="8:24" x14ac:dyDescent="0.15">
      <c r="H84" t="s">
        <v>1133</v>
      </c>
      <c r="I84" s="58">
        <f>I82-I83</f>
        <v>3.7102000000000004</v>
      </c>
      <c r="J84" s="112"/>
      <c r="N84" t="s">
        <v>1133</v>
      </c>
      <c r="O84" s="58">
        <f>O82-O83</f>
        <v>4.9976000000000003</v>
      </c>
      <c r="P84" s="112"/>
      <c r="T84" t="s">
        <v>1133</v>
      </c>
      <c r="U84" s="58">
        <f>U82-U83</f>
        <v>6.2450000000000001</v>
      </c>
      <c r="V84" s="112"/>
    </row>
    <row r="85" spans="8:24" x14ac:dyDescent="0.15">
      <c r="H85" s="189"/>
      <c r="I85" s="189"/>
      <c r="J85" s="189"/>
      <c r="K85" s="189"/>
      <c r="L85" s="189"/>
      <c r="N85" s="189"/>
      <c r="O85" s="189"/>
      <c r="P85" s="189"/>
      <c r="Q85" s="189"/>
      <c r="R85" s="189"/>
      <c r="T85" s="189"/>
      <c r="U85" s="189"/>
      <c r="V85" s="189"/>
      <c r="W85" s="189"/>
      <c r="X85" s="189"/>
    </row>
    <row r="86" spans="8:24" x14ac:dyDescent="0.15">
      <c r="H86" s="189"/>
      <c r="I86" s="189"/>
      <c r="J86" s="189"/>
      <c r="K86" s="189"/>
      <c r="L86" s="189"/>
      <c r="N86" s="189"/>
      <c r="O86" s="189"/>
      <c r="P86" s="189"/>
      <c r="Q86" s="189"/>
      <c r="R86" s="189"/>
      <c r="T86" s="189"/>
      <c r="U86" s="189"/>
      <c r="V86" s="189"/>
      <c r="W86" s="189"/>
      <c r="X86" s="189"/>
    </row>
    <row r="87" spans="8:24" ht="23" customHeight="1" x14ac:dyDescent="0.15">
      <c r="H87" s="167" t="s">
        <v>1299</v>
      </c>
      <c r="I87" s="167"/>
      <c r="J87" s="167"/>
      <c r="K87" s="167"/>
      <c r="L87" s="167"/>
      <c r="N87" s="167" t="s">
        <v>1299</v>
      </c>
      <c r="O87" s="167"/>
      <c r="P87" s="167"/>
      <c r="Q87" s="167"/>
      <c r="R87" s="167"/>
      <c r="T87" s="167" t="s">
        <v>1299</v>
      </c>
      <c r="U87" s="167"/>
      <c r="V87" s="167"/>
      <c r="W87" s="167"/>
      <c r="X87" s="167"/>
    </row>
    <row r="88" spans="8:24" x14ac:dyDescent="0.15">
      <c r="H88" s="167"/>
      <c r="I88" s="167"/>
      <c r="J88" s="167"/>
      <c r="K88" s="167"/>
      <c r="L88" s="167"/>
      <c r="N88" s="167"/>
      <c r="O88" s="167"/>
      <c r="P88" s="167"/>
      <c r="Q88" s="167"/>
      <c r="R88" s="167"/>
      <c r="T88" s="167"/>
      <c r="U88" s="167"/>
      <c r="V88" s="167"/>
      <c r="W88" s="167"/>
      <c r="X88" s="167"/>
    </row>
    <row r="89" spans="8:24" ht="16" x14ac:dyDescent="0.2">
      <c r="H89" s="119" t="s">
        <v>1122</v>
      </c>
      <c r="I89" s="119" t="s">
        <v>1123</v>
      </c>
      <c r="J89" s="119" t="s">
        <v>1124</v>
      </c>
      <c r="K89" s="119" t="s">
        <v>1125</v>
      </c>
      <c r="L89" s="119" t="s">
        <v>1126</v>
      </c>
      <c r="N89" s="119" t="s">
        <v>1122</v>
      </c>
      <c r="O89" s="119" t="s">
        <v>1123</v>
      </c>
      <c r="P89" s="119" t="s">
        <v>1124</v>
      </c>
      <c r="Q89" s="119" t="s">
        <v>1125</v>
      </c>
      <c r="R89" s="119" t="s">
        <v>1126</v>
      </c>
      <c r="T89" s="119" t="s">
        <v>1122</v>
      </c>
      <c r="U89" s="119" t="s">
        <v>1123</v>
      </c>
      <c r="V89" s="119" t="s">
        <v>1124</v>
      </c>
      <c r="W89" s="119" t="s">
        <v>1125</v>
      </c>
      <c r="X89" s="119" t="s">
        <v>1126</v>
      </c>
    </row>
    <row r="90" spans="8:24" x14ac:dyDescent="0.15">
      <c r="H90" s="106" t="s">
        <v>1163</v>
      </c>
      <c r="I90" s="106">
        <f>8+(18*0.025)</f>
        <v>8.4499999999999993</v>
      </c>
      <c r="J90" s="106" t="s">
        <v>1129</v>
      </c>
      <c r="K90" s="107">
        <f>INGREDIENTS!F11</f>
        <v>7.0000000000000007E-2</v>
      </c>
      <c r="L90" s="107">
        <f>K90*I90</f>
        <v>0.59150000000000003</v>
      </c>
      <c r="N90" s="106" t="s">
        <v>1163</v>
      </c>
      <c r="O90" s="106">
        <f>8+(18*0.025)</f>
        <v>8.4499999999999993</v>
      </c>
      <c r="P90" s="106" t="s">
        <v>1129</v>
      </c>
      <c r="Q90" s="107">
        <f>INGREDIENTS!F11</f>
        <v>7.0000000000000007E-2</v>
      </c>
      <c r="R90" s="107">
        <f>Q90*O90</f>
        <v>0.59150000000000003</v>
      </c>
      <c r="T90" s="106" t="s">
        <v>1163</v>
      </c>
      <c r="U90" s="106">
        <f>8+(18*0.025)</f>
        <v>8.4499999999999993</v>
      </c>
      <c r="V90" s="106" t="s">
        <v>1129</v>
      </c>
      <c r="W90" s="107">
        <f>INGREDIENTS!F11</f>
        <v>7.0000000000000007E-2</v>
      </c>
      <c r="X90" s="107">
        <f>W90*U90</f>
        <v>0.59150000000000003</v>
      </c>
    </row>
    <row r="91" spans="8:24" x14ac:dyDescent="0.15">
      <c r="H91" s="106" t="s">
        <v>1164</v>
      </c>
      <c r="I91" s="106">
        <v>205</v>
      </c>
      <c r="J91" s="106" t="s">
        <v>1165</v>
      </c>
      <c r="K91" s="107">
        <f>INGREDIENTS!$F$38</f>
        <v>1.426E-2</v>
      </c>
      <c r="L91" s="107">
        <f>K91*I91</f>
        <v>2.9233000000000002</v>
      </c>
      <c r="N91" s="106" t="s">
        <v>1164</v>
      </c>
      <c r="O91" s="106">
        <v>215</v>
      </c>
      <c r="P91" s="106" t="s">
        <v>1165</v>
      </c>
      <c r="Q91" s="107">
        <f>INGREDIENTS!$F$38</f>
        <v>1.426E-2</v>
      </c>
      <c r="R91" s="107">
        <f>Q91*O91</f>
        <v>3.0659000000000001</v>
      </c>
      <c r="T91" s="106" t="s">
        <v>1164</v>
      </c>
      <c r="U91" s="106">
        <v>225</v>
      </c>
      <c r="V91" s="106" t="s">
        <v>1165</v>
      </c>
      <c r="W91" s="107">
        <f>INGREDIENTS!$F$38</f>
        <v>1.426E-2</v>
      </c>
      <c r="X91" s="107">
        <f>W91*U91</f>
        <v>3.2084999999999999</v>
      </c>
    </row>
    <row r="92" spans="8:24" x14ac:dyDescent="0.15">
      <c r="H92" s="108" t="s">
        <v>1345</v>
      </c>
      <c r="I92" s="106">
        <v>1</v>
      </c>
      <c r="J92" s="106" t="s">
        <v>1036</v>
      </c>
      <c r="K92" s="107">
        <f>INGREDIENTS!F23</f>
        <v>0.25</v>
      </c>
      <c r="L92" s="107">
        <f t="shared" ref="L92:L94" si="13">K92*I92</f>
        <v>0.25</v>
      </c>
      <c r="N92" s="108" t="s">
        <v>1166</v>
      </c>
      <c r="O92" s="106">
        <v>1</v>
      </c>
      <c r="P92" s="106" t="s">
        <v>1036</v>
      </c>
      <c r="Q92" s="107">
        <f>INGREDIENTS!F19</f>
        <v>0.32</v>
      </c>
      <c r="R92" s="107">
        <f t="shared" ref="R92:R94" si="14">Q92*O92</f>
        <v>0.32</v>
      </c>
      <c r="T92" s="108" t="s">
        <v>1347</v>
      </c>
      <c r="U92" s="106"/>
      <c r="V92" s="106" t="s">
        <v>1036</v>
      </c>
      <c r="W92" s="107">
        <f>INGREDIENTS!F195</f>
        <v>0.1</v>
      </c>
      <c r="X92" s="107">
        <f t="shared" ref="X92:X94" si="15">W92*U92</f>
        <v>0</v>
      </c>
    </row>
    <row r="93" spans="8:24" x14ac:dyDescent="0.15">
      <c r="H93" s="108" t="s">
        <v>1346</v>
      </c>
      <c r="I93" s="106">
        <v>1</v>
      </c>
      <c r="J93" s="106" t="s">
        <v>1103</v>
      </c>
      <c r="K93" s="107">
        <f>INGREDIENTS!F24</f>
        <v>0.22</v>
      </c>
      <c r="L93" s="107">
        <f t="shared" si="13"/>
        <v>0.22</v>
      </c>
      <c r="N93" s="108" t="s">
        <v>1167</v>
      </c>
      <c r="O93" s="106">
        <v>1</v>
      </c>
      <c r="P93" s="106" t="s">
        <v>1103</v>
      </c>
      <c r="Q93" s="107">
        <f>INGREDIENTS!F20</f>
        <v>0.22</v>
      </c>
      <c r="R93" s="107">
        <f t="shared" si="14"/>
        <v>0.22</v>
      </c>
      <c r="T93" s="108" t="s">
        <v>1348</v>
      </c>
      <c r="U93" s="106">
        <v>1</v>
      </c>
      <c r="V93" s="106" t="s">
        <v>1103</v>
      </c>
      <c r="W93" s="107">
        <f>INGREDIENTS!F207</f>
        <v>0.38</v>
      </c>
      <c r="X93" s="107">
        <f t="shared" si="15"/>
        <v>0.38</v>
      </c>
    </row>
    <row r="94" spans="8:24" x14ac:dyDescent="0.15">
      <c r="H94" s="106" t="s">
        <v>1172</v>
      </c>
      <c r="I94" s="106">
        <v>15</v>
      </c>
      <c r="J94" s="106" t="s">
        <v>1129</v>
      </c>
      <c r="K94" s="107">
        <f>'KITCHEN Prep Cards'!C12</f>
        <v>1.9224242424242425E-2</v>
      </c>
      <c r="L94" s="107">
        <f t="shared" si="13"/>
        <v>0.28836363636363638</v>
      </c>
      <c r="N94" s="106" t="s">
        <v>1172</v>
      </c>
      <c r="O94" s="106">
        <v>15</v>
      </c>
      <c r="P94" s="106" t="s">
        <v>1129</v>
      </c>
      <c r="Q94" s="107">
        <f>'KITCHEN Prep Cards'!C12</f>
        <v>1.9224242424242425E-2</v>
      </c>
      <c r="R94" s="107">
        <f t="shared" si="14"/>
        <v>0.28836363636363638</v>
      </c>
      <c r="T94" s="106" t="s">
        <v>1172</v>
      </c>
      <c r="U94" s="106">
        <v>15</v>
      </c>
      <c r="V94" s="106" t="s">
        <v>1129</v>
      </c>
      <c r="W94" s="107">
        <f>'KITCHEN Prep Cards'!C12</f>
        <v>1.9224242424242425E-2</v>
      </c>
      <c r="X94" s="107">
        <f t="shared" si="15"/>
        <v>0.28836363636363638</v>
      </c>
    </row>
    <row r="95" spans="8:24" x14ac:dyDescent="0.15">
      <c r="H95" s="106"/>
      <c r="I95" s="106"/>
      <c r="J95" s="106"/>
      <c r="K95" s="107"/>
      <c r="L95" s="107"/>
      <c r="N95" s="106"/>
      <c r="O95" s="106"/>
      <c r="P95" s="106"/>
      <c r="Q95" s="107"/>
      <c r="R95" s="107"/>
      <c r="T95" s="106"/>
      <c r="U95" s="106"/>
      <c r="V95" s="106"/>
      <c r="W95" s="107"/>
      <c r="X95" s="107"/>
    </row>
    <row r="96" spans="8:24" x14ac:dyDescent="0.15">
      <c r="H96" s="106"/>
      <c r="I96" s="106"/>
      <c r="J96" s="106"/>
      <c r="K96" s="107"/>
      <c r="L96" s="107"/>
      <c r="N96" s="106"/>
      <c r="O96" s="106"/>
      <c r="P96" s="106"/>
      <c r="Q96" s="107"/>
      <c r="R96" s="107"/>
      <c r="T96" s="106"/>
      <c r="U96" s="106"/>
      <c r="V96" s="106"/>
      <c r="W96" s="107"/>
      <c r="X96" s="107"/>
    </row>
    <row r="97" spans="8:24" x14ac:dyDescent="0.15">
      <c r="H97" s="106"/>
      <c r="I97" s="106"/>
      <c r="J97" s="106"/>
      <c r="K97" s="107"/>
      <c r="L97" s="107"/>
      <c r="N97" s="106"/>
      <c r="O97" s="106"/>
      <c r="P97" s="106"/>
      <c r="Q97" s="107"/>
      <c r="R97" s="107"/>
      <c r="T97" s="106"/>
      <c r="U97" s="106"/>
      <c r="V97" s="106"/>
      <c r="W97" s="107"/>
      <c r="X97" s="107"/>
    </row>
    <row r="98" spans="8:24" x14ac:dyDescent="0.15">
      <c r="H98" s="106"/>
      <c r="I98" s="106"/>
      <c r="J98" s="106"/>
      <c r="K98" s="107"/>
      <c r="L98" s="107"/>
      <c r="N98" s="106"/>
      <c r="O98" s="106"/>
      <c r="P98" s="106"/>
      <c r="Q98" s="107"/>
      <c r="R98" s="107"/>
      <c r="T98" s="106"/>
      <c r="U98" s="106"/>
      <c r="V98" s="106"/>
      <c r="W98" s="107"/>
      <c r="X98" s="107"/>
    </row>
    <row r="99" spans="8:24" ht="18" x14ac:dyDescent="0.2">
      <c r="L99" s="110">
        <f>SUM(L90:L98)</f>
        <v>4.2731636363636367</v>
      </c>
      <c r="R99" s="110">
        <f>SUM(R90:R98)</f>
        <v>4.485763636363636</v>
      </c>
      <c r="X99" s="110">
        <f>SUM(X90:X98)</f>
        <v>4.4683636363636356</v>
      </c>
    </row>
    <row r="100" spans="8:24" x14ac:dyDescent="0.15">
      <c r="H100" t="s">
        <v>1132</v>
      </c>
      <c r="I100" s="58">
        <v>8</v>
      </c>
      <c r="N100" t="s">
        <v>1132</v>
      </c>
      <c r="O100" s="58">
        <v>8.5</v>
      </c>
      <c r="T100" t="s">
        <v>1132</v>
      </c>
      <c r="U100" s="58">
        <v>11</v>
      </c>
    </row>
    <row r="101" spans="8:24" ht="18" x14ac:dyDescent="0.2">
      <c r="H101" t="s">
        <v>1125</v>
      </c>
      <c r="I101" s="58">
        <f>L99+5%</f>
        <v>4.3231636363636365</v>
      </c>
      <c r="J101" s="111">
        <f>I101/I100</f>
        <v>0.54039545454545457</v>
      </c>
      <c r="N101" t="s">
        <v>1125</v>
      </c>
      <c r="O101" s="58">
        <f>R99+5%</f>
        <v>4.5357636363636358</v>
      </c>
      <c r="P101" s="111">
        <f>O101/O100</f>
        <v>0.53361925133689836</v>
      </c>
      <c r="T101" t="s">
        <v>1125</v>
      </c>
      <c r="U101" s="58">
        <f>X99+5%</f>
        <v>4.5183636363636355</v>
      </c>
      <c r="V101" s="111">
        <f>U101/U100</f>
        <v>0.4107603305785123</v>
      </c>
    </row>
    <row r="102" spans="8:24" x14ac:dyDescent="0.15">
      <c r="H102" t="s">
        <v>1133</v>
      </c>
      <c r="I102" s="58">
        <f>I100-I101</f>
        <v>3.6768363636363635</v>
      </c>
      <c r="J102" s="112"/>
      <c r="N102" t="s">
        <v>1133</v>
      </c>
      <c r="O102" s="58">
        <f>O100-O101</f>
        <v>3.9642363636363642</v>
      </c>
      <c r="P102" s="112"/>
      <c r="T102" s="54" t="s">
        <v>1133</v>
      </c>
      <c r="U102" s="58">
        <f>U100-U101</f>
        <v>6.4816363636363645</v>
      </c>
    </row>
    <row r="103" spans="8:24" x14ac:dyDescent="0.15">
      <c r="H103" s="192"/>
      <c r="I103" s="184"/>
      <c r="J103" s="184"/>
      <c r="K103" s="184"/>
      <c r="L103" s="184"/>
      <c r="N103" s="192"/>
      <c r="O103" s="184"/>
      <c r="P103" s="184"/>
      <c r="Q103" s="184"/>
      <c r="R103" s="184"/>
      <c r="T103" s="192"/>
      <c r="U103" s="184"/>
      <c r="V103" s="184"/>
      <c r="W103" s="184"/>
      <c r="X103" s="184"/>
    </row>
    <row r="104" spans="8:24" x14ac:dyDescent="0.15">
      <c r="H104" s="184"/>
      <c r="I104" s="184"/>
      <c r="J104" s="184"/>
      <c r="K104" s="184"/>
      <c r="L104" s="184"/>
      <c r="N104" s="184"/>
      <c r="O104" s="184"/>
      <c r="P104" s="184"/>
      <c r="Q104" s="184"/>
      <c r="R104" s="184"/>
      <c r="T104" s="184"/>
      <c r="U104" s="184"/>
      <c r="V104" s="184"/>
      <c r="W104" s="184"/>
      <c r="X104" s="184"/>
    </row>
    <row r="105" spans="8:24" ht="23" customHeight="1" x14ac:dyDescent="0.15">
      <c r="H105" s="167" t="s">
        <v>1173</v>
      </c>
      <c r="I105" s="167"/>
      <c r="J105" s="167"/>
      <c r="K105" s="167"/>
      <c r="L105" s="167"/>
      <c r="N105" s="167" t="s">
        <v>1173</v>
      </c>
      <c r="O105" s="167"/>
      <c r="P105" s="167"/>
      <c r="Q105" s="167"/>
      <c r="R105" s="167"/>
      <c r="T105" s="167" t="s">
        <v>1173</v>
      </c>
      <c r="U105" s="167"/>
      <c r="V105" s="167"/>
      <c r="W105" s="167"/>
      <c r="X105" s="167"/>
    </row>
    <row r="106" spans="8:24" x14ac:dyDescent="0.15">
      <c r="H106" s="167"/>
      <c r="I106" s="167"/>
      <c r="J106" s="167"/>
      <c r="K106" s="167"/>
      <c r="L106" s="167"/>
      <c r="N106" s="167"/>
      <c r="O106" s="167"/>
      <c r="P106" s="167"/>
      <c r="Q106" s="167"/>
      <c r="R106" s="167"/>
      <c r="T106" s="167"/>
      <c r="U106" s="167"/>
      <c r="V106" s="167"/>
      <c r="W106" s="167"/>
      <c r="X106" s="167"/>
    </row>
    <row r="107" spans="8:24" ht="16" x14ac:dyDescent="0.2">
      <c r="H107" s="119" t="s">
        <v>1122</v>
      </c>
      <c r="I107" s="119" t="s">
        <v>1123</v>
      </c>
      <c r="J107" s="119" t="s">
        <v>1124</v>
      </c>
      <c r="K107" s="119" t="s">
        <v>1125</v>
      </c>
      <c r="L107" s="119" t="s">
        <v>1126</v>
      </c>
      <c r="N107" s="119" t="s">
        <v>1122</v>
      </c>
      <c r="O107" s="119" t="s">
        <v>1123</v>
      </c>
      <c r="P107" s="119" t="s">
        <v>1124</v>
      </c>
      <c r="Q107" s="119" t="s">
        <v>1125</v>
      </c>
      <c r="R107" s="119" t="s">
        <v>1126</v>
      </c>
      <c r="T107" s="119" t="s">
        <v>1122</v>
      </c>
      <c r="U107" s="119" t="s">
        <v>1123</v>
      </c>
      <c r="V107" s="119" t="s">
        <v>1124</v>
      </c>
      <c r="W107" s="119" t="s">
        <v>1125</v>
      </c>
      <c r="X107" s="119" t="s">
        <v>1126</v>
      </c>
    </row>
    <row r="108" spans="8:24" x14ac:dyDescent="0.15">
      <c r="H108" s="106" t="s">
        <v>1164</v>
      </c>
      <c r="I108" s="106">
        <v>205</v>
      </c>
      <c r="J108" s="106" t="s">
        <v>1165</v>
      </c>
      <c r="K108" s="107">
        <f>INGREDIENTS!$F$38</f>
        <v>1.426E-2</v>
      </c>
      <c r="L108" s="107">
        <f>K108*I108</f>
        <v>2.9233000000000002</v>
      </c>
      <c r="N108" s="106" t="s">
        <v>1164</v>
      </c>
      <c r="O108" s="106">
        <v>215</v>
      </c>
      <c r="P108" s="106" t="s">
        <v>1165</v>
      </c>
      <c r="Q108" s="107">
        <f>INGREDIENTS!$F$38</f>
        <v>1.426E-2</v>
      </c>
      <c r="R108" s="107">
        <f>Q108*O108</f>
        <v>3.0659000000000001</v>
      </c>
      <c r="T108" s="106" t="s">
        <v>1164</v>
      </c>
      <c r="U108" s="106">
        <v>225</v>
      </c>
      <c r="V108" s="106" t="s">
        <v>1165</v>
      </c>
      <c r="W108" s="107">
        <f>INGREDIENTS!$F$38</f>
        <v>1.426E-2</v>
      </c>
      <c r="X108" s="107">
        <f>W108*U108</f>
        <v>3.2084999999999999</v>
      </c>
    </row>
    <row r="109" spans="8:24" x14ac:dyDescent="0.15">
      <c r="H109" s="108" t="s">
        <v>1166</v>
      </c>
      <c r="I109" s="106">
        <v>1</v>
      </c>
      <c r="J109" s="106" t="s">
        <v>1036</v>
      </c>
      <c r="K109" s="107">
        <f>INGREDIENTS!$F$19</f>
        <v>0.32</v>
      </c>
      <c r="L109" s="107">
        <f t="shared" ref="L109:L111" si="16">K109*I109</f>
        <v>0.32</v>
      </c>
      <c r="N109" s="108" t="s">
        <v>1166</v>
      </c>
      <c r="O109" s="106">
        <v>1</v>
      </c>
      <c r="P109" s="106" t="s">
        <v>1036</v>
      </c>
      <c r="Q109" s="107">
        <f>INGREDIENTS!$F$19</f>
        <v>0.32</v>
      </c>
      <c r="R109" s="107">
        <f t="shared" ref="R109:R111" si="17">Q109*O109</f>
        <v>0.32</v>
      </c>
      <c r="T109" s="108" t="s">
        <v>1347</v>
      </c>
      <c r="U109" s="106">
        <v>1</v>
      </c>
      <c r="V109" s="106" t="s">
        <v>1036</v>
      </c>
      <c r="W109" s="107">
        <f>INGREDIENTS!F207</f>
        <v>0.38</v>
      </c>
      <c r="X109" s="107">
        <f t="shared" ref="X109:X111" si="18">W109*U109</f>
        <v>0.38</v>
      </c>
    </row>
    <row r="110" spans="8:24" x14ac:dyDescent="0.15">
      <c r="H110" s="108" t="s">
        <v>1167</v>
      </c>
      <c r="I110" s="106">
        <v>1</v>
      </c>
      <c r="J110" s="106" t="s">
        <v>1103</v>
      </c>
      <c r="K110" s="107">
        <f>INGREDIENTS!$F$20</f>
        <v>0.22</v>
      </c>
      <c r="L110" s="107">
        <f t="shared" si="16"/>
        <v>0.22</v>
      </c>
      <c r="N110" s="108" t="s">
        <v>1167</v>
      </c>
      <c r="O110" s="106">
        <v>1</v>
      </c>
      <c r="P110" s="106" t="s">
        <v>1103</v>
      </c>
      <c r="Q110" s="107">
        <f>INGREDIENTS!$F$20</f>
        <v>0.22</v>
      </c>
      <c r="R110" s="107">
        <f t="shared" si="17"/>
        <v>0.22</v>
      </c>
      <c r="T110" s="108" t="s">
        <v>1348</v>
      </c>
      <c r="U110" s="106">
        <v>1</v>
      </c>
      <c r="V110" s="106" t="s">
        <v>1103</v>
      </c>
      <c r="W110" s="107">
        <f>INGREDIENTS!$F$20</f>
        <v>0.22</v>
      </c>
      <c r="X110" s="107">
        <f t="shared" si="18"/>
        <v>0.22</v>
      </c>
    </row>
    <row r="111" spans="8:24" x14ac:dyDescent="0.15">
      <c r="H111" s="106" t="s">
        <v>1172</v>
      </c>
      <c r="I111" s="106">
        <v>25</v>
      </c>
      <c r="J111" s="106" t="s">
        <v>1129</v>
      </c>
      <c r="K111" s="107">
        <f>'KITCHEN Prep Cards'!$C$12</f>
        <v>1.9224242424242425E-2</v>
      </c>
      <c r="L111" s="107">
        <f t="shared" si="16"/>
        <v>0.48060606060606065</v>
      </c>
      <c r="N111" s="106" t="s">
        <v>1172</v>
      </c>
      <c r="O111" s="106">
        <v>25</v>
      </c>
      <c r="P111" s="106" t="s">
        <v>1129</v>
      </c>
      <c r="Q111" s="107">
        <f>'KITCHEN Prep Cards'!$C$12</f>
        <v>1.9224242424242425E-2</v>
      </c>
      <c r="R111" s="107">
        <f t="shared" si="17"/>
        <v>0.48060606060606065</v>
      </c>
      <c r="T111" s="106" t="s">
        <v>1172</v>
      </c>
      <c r="U111" s="106">
        <v>25</v>
      </c>
      <c r="V111" s="106" t="s">
        <v>1129</v>
      </c>
      <c r="W111" s="107">
        <f>'KITCHEN Prep Cards'!$C$12</f>
        <v>1.9224242424242425E-2</v>
      </c>
      <c r="X111" s="107">
        <f t="shared" si="18"/>
        <v>0.48060606060606065</v>
      </c>
    </row>
    <row r="112" spans="8:24" x14ac:dyDescent="0.15">
      <c r="H112" s="106"/>
      <c r="I112" s="106"/>
      <c r="J112" s="106"/>
      <c r="K112" s="107"/>
      <c r="L112" s="107"/>
      <c r="N112" s="106"/>
      <c r="O112" s="106"/>
      <c r="P112" s="106"/>
      <c r="Q112" s="107"/>
      <c r="R112" s="107"/>
      <c r="T112" s="106"/>
      <c r="U112" s="106"/>
      <c r="V112" s="106"/>
      <c r="W112" s="107"/>
      <c r="X112" s="107"/>
    </row>
    <row r="113" spans="8:24" x14ac:dyDescent="0.15">
      <c r="H113" s="106"/>
      <c r="I113" s="106"/>
      <c r="J113" s="106"/>
      <c r="K113" s="107"/>
      <c r="L113" s="107"/>
      <c r="N113" s="106"/>
      <c r="O113" s="106"/>
      <c r="P113" s="106"/>
      <c r="Q113" s="107"/>
      <c r="R113" s="107"/>
      <c r="T113" s="106"/>
      <c r="U113" s="106"/>
      <c r="V113" s="106"/>
      <c r="W113" s="107"/>
      <c r="X113" s="107"/>
    </row>
    <row r="114" spans="8:24" x14ac:dyDescent="0.15">
      <c r="H114" s="106"/>
      <c r="I114" s="106"/>
      <c r="J114" s="106"/>
      <c r="K114" s="107"/>
      <c r="L114" s="107"/>
      <c r="N114" s="106"/>
      <c r="O114" s="106"/>
      <c r="P114" s="106"/>
      <c r="Q114" s="107"/>
      <c r="R114" s="107"/>
      <c r="T114" s="106"/>
      <c r="U114" s="106"/>
      <c r="V114" s="106"/>
      <c r="W114" s="107"/>
      <c r="X114" s="107"/>
    </row>
    <row r="115" spans="8:24" x14ac:dyDescent="0.15">
      <c r="H115" s="106"/>
      <c r="I115" s="106"/>
      <c r="J115" s="106"/>
      <c r="K115" s="107"/>
      <c r="L115" s="107"/>
      <c r="N115" s="106"/>
      <c r="O115" s="106"/>
      <c r="P115" s="106"/>
      <c r="Q115" s="107"/>
      <c r="R115" s="107"/>
      <c r="T115" s="106"/>
      <c r="U115" s="106"/>
      <c r="V115" s="106"/>
      <c r="W115" s="107"/>
      <c r="X115" s="107"/>
    </row>
    <row r="116" spans="8:24" ht="18" x14ac:dyDescent="0.2">
      <c r="L116" s="110">
        <f>SUM(L108:L111)</f>
        <v>3.9439060606060607</v>
      </c>
      <c r="R116" s="110">
        <f>SUM(R108:R111)</f>
        <v>4.0865060606060606</v>
      </c>
      <c r="X116" s="110">
        <f>SUM(X108:X111)</f>
        <v>4.2891060606060609</v>
      </c>
    </row>
    <row r="117" spans="8:24" x14ac:dyDescent="0.15">
      <c r="H117" t="s">
        <v>1132</v>
      </c>
      <c r="I117" s="58">
        <v>8.5</v>
      </c>
      <c r="N117" t="s">
        <v>1132</v>
      </c>
      <c r="O117" s="58">
        <v>8.5</v>
      </c>
      <c r="T117" t="s">
        <v>1132</v>
      </c>
      <c r="U117" s="58">
        <v>11</v>
      </c>
    </row>
    <row r="118" spans="8:24" ht="18" x14ac:dyDescent="0.2">
      <c r="H118" t="s">
        <v>1125</v>
      </c>
      <c r="I118" s="58">
        <f>L116+5%</f>
        <v>3.9939060606060606</v>
      </c>
      <c r="J118" s="111">
        <f>I118/I117</f>
        <v>0.46987130124777182</v>
      </c>
      <c r="N118" t="s">
        <v>1125</v>
      </c>
      <c r="O118" s="58">
        <f>R116+5%</f>
        <v>4.1365060606060604</v>
      </c>
      <c r="P118" s="111">
        <f>O118/O117</f>
        <v>0.4866477718360071</v>
      </c>
      <c r="T118" t="s">
        <v>1125</v>
      </c>
      <c r="U118" s="58">
        <f>X116+5%</f>
        <v>4.3391060606060607</v>
      </c>
      <c r="V118" s="111">
        <f>U118/U117</f>
        <v>0.39446418732782368</v>
      </c>
    </row>
    <row r="119" spans="8:24" x14ac:dyDescent="0.15">
      <c r="H119" t="s">
        <v>1133</v>
      </c>
      <c r="I119" s="58">
        <f>I117-I118</f>
        <v>4.5060939393939394</v>
      </c>
      <c r="J119" s="112"/>
      <c r="N119" t="s">
        <v>1133</v>
      </c>
      <c r="O119" s="58">
        <f>O117-O118</f>
        <v>4.3634939393939396</v>
      </c>
      <c r="P119" s="112"/>
      <c r="T119" t="s">
        <v>1133</v>
      </c>
      <c r="U119" s="58">
        <f>U117-U118</f>
        <v>6.6608939393939393</v>
      </c>
      <c r="V119" s="112"/>
    </row>
    <row r="120" spans="8:24" x14ac:dyDescent="0.15">
      <c r="H120" s="190"/>
      <c r="I120" s="190"/>
      <c r="J120" s="190"/>
      <c r="K120" s="190"/>
      <c r="L120" s="190"/>
      <c r="N120" s="190"/>
      <c r="O120" s="190"/>
      <c r="P120" s="190"/>
      <c r="Q120" s="190"/>
      <c r="R120" s="190"/>
      <c r="T120" s="190"/>
      <c r="U120" s="190"/>
      <c r="V120" s="190"/>
      <c r="W120" s="190"/>
      <c r="X120" s="190"/>
    </row>
    <row r="121" spans="8:24" x14ac:dyDescent="0.15">
      <c r="H121" s="190"/>
      <c r="I121" s="190"/>
      <c r="J121" s="190"/>
      <c r="K121" s="190"/>
      <c r="L121" s="190"/>
      <c r="N121" s="190"/>
      <c r="O121" s="190"/>
      <c r="P121" s="190"/>
      <c r="Q121" s="190"/>
      <c r="R121" s="190"/>
      <c r="T121" s="190"/>
      <c r="U121" s="190"/>
      <c r="V121" s="190"/>
      <c r="W121" s="190"/>
      <c r="X121" s="190"/>
    </row>
    <row r="122" spans="8:24" ht="23" x14ac:dyDescent="0.25">
      <c r="H122" s="185" t="s">
        <v>1350</v>
      </c>
      <c r="I122" s="185"/>
      <c r="J122" s="185"/>
      <c r="K122" s="185"/>
      <c r="L122" s="185"/>
      <c r="N122" s="185" t="s">
        <v>1350</v>
      </c>
      <c r="O122" s="185"/>
      <c r="P122" s="185"/>
      <c r="Q122" s="185"/>
      <c r="R122" s="185"/>
      <c r="T122" s="185" t="s">
        <v>1350</v>
      </c>
      <c r="U122" s="185"/>
      <c r="V122" s="185"/>
      <c r="W122" s="185"/>
      <c r="X122" s="185"/>
    </row>
    <row r="123" spans="8:24" x14ac:dyDescent="0.15">
      <c r="H123" s="191"/>
      <c r="I123" s="191"/>
      <c r="J123" s="191"/>
      <c r="K123" s="191"/>
      <c r="L123" s="191"/>
      <c r="N123" s="191"/>
      <c r="O123" s="191"/>
      <c r="P123" s="191"/>
      <c r="Q123" s="191"/>
      <c r="R123" s="191"/>
      <c r="T123" s="191"/>
      <c r="U123" s="191"/>
      <c r="V123" s="191"/>
      <c r="W123" s="191"/>
      <c r="X123" s="191"/>
    </row>
    <row r="124" spans="8:24" ht="16" x14ac:dyDescent="0.2">
      <c r="H124" s="119" t="s">
        <v>1122</v>
      </c>
      <c r="I124" s="119" t="s">
        <v>1123</v>
      </c>
      <c r="J124" s="119" t="s">
        <v>1124</v>
      </c>
      <c r="K124" s="119" t="s">
        <v>1125</v>
      </c>
      <c r="L124" s="119" t="s">
        <v>1126</v>
      </c>
      <c r="N124" s="119" t="s">
        <v>1122</v>
      </c>
      <c r="O124" s="119" t="s">
        <v>1123</v>
      </c>
      <c r="P124" s="119" t="s">
        <v>1124</v>
      </c>
      <c r="Q124" s="119" t="s">
        <v>1125</v>
      </c>
      <c r="R124" s="119" t="s">
        <v>1126</v>
      </c>
      <c r="T124" s="119" t="s">
        <v>1122</v>
      </c>
      <c r="U124" s="119" t="s">
        <v>1123</v>
      </c>
      <c r="V124" s="119" t="s">
        <v>1124</v>
      </c>
      <c r="W124" s="119" t="s">
        <v>1125</v>
      </c>
      <c r="X124" s="119" t="s">
        <v>1126</v>
      </c>
    </row>
    <row r="125" spans="8:24" x14ac:dyDescent="0.15">
      <c r="H125" s="108" t="s">
        <v>1345</v>
      </c>
      <c r="I125" s="106">
        <v>1</v>
      </c>
      <c r="J125" s="106" t="s">
        <v>1036</v>
      </c>
      <c r="K125" s="107">
        <f>INGREDIENTS!F23</f>
        <v>0.25</v>
      </c>
      <c r="L125" s="107">
        <f t="shared" ref="L125:L129" si="19">K125*I125</f>
        <v>0.25</v>
      </c>
      <c r="N125" s="108" t="s">
        <v>1166</v>
      </c>
      <c r="O125" s="106">
        <v>1</v>
      </c>
      <c r="P125" s="106" t="s">
        <v>1036</v>
      </c>
      <c r="Q125" s="107">
        <f>INGREDIENTS!F19</f>
        <v>0.32</v>
      </c>
      <c r="R125" s="107">
        <f t="shared" ref="R125:R129" si="20">Q125*O125</f>
        <v>0.32</v>
      </c>
      <c r="T125" s="108" t="s">
        <v>1347</v>
      </c>
      <c r="U125" s="106">
        <v>1</v>
      </c>
      <c r="V125" s="106" t="s">
        <v>1036</v>
      </c>
      <c r="W125" s="107">
        <f>INGREDIENTS!F207</f>
        <v>0.38</v>
      </c>
      <c r="X125" s="107">
        <f t="shared" ref="X125:X129" si="21">W125*U125</f>
        <v>0.38</v>
      </c>
    </row>
    <row r="126" spans="8:24" x14ac:dyDescent="0.15">
      <c r="H126" s="108" t="s">
        <v>1346</v>
      </c>
      <c r="I126" s="106">
        <v>1</v>
      </c>
      <c r="J126" s="106" t="s">
        <v>1103</v>
      </c>
      <c r="K126" s="107">
        <f>INGREDIENTS!F24</f>
        <v>0.22</v>
      </c>
      <c r="L126" s="107">
        <f t="shared" si="19"/>
        <v>0.22</v>
      </c>
      <c r="N126" s="108" t="s">
        <v>1167</v>
      </c>
      <c r="O126" s="106">
        <v>1</v>
      </c>
      <c r="P126" s="106" t="s">
        <v>1103</v>
      </c>
      <c r="Q126" s="107">
        <f>INGREDIENTS!F20</f>
        <v>0.22</v>
      </c>
      <c r="R126" s="107">
        <f t="shared" si="20"/>
        <v>0.22</v>
      </c>
      <c r="T126" s="108" t="s">
        <v>1348</v>
      </c>
      <c r="U126" s="106">
        <v>1</v>
      </c>
      <c r="V126" s="106" t="s">
        <v>1103</v>
      </c>
      <c r="W126" s="107">
        <f>INGREDIENTS!F20</f>
        <v>0.22</v>
      </c>
      <c r="X126" s="107">
        <f t="shared" si="21"/>
        <v>0.22</v>
      </c>
    </row>
    <row r="127" spans="8:24" x14ac:dyDescent="0.15">
      <c r="H127" s="106" t="s">
        <v>1182</v>
      </c>
      <c r="I127" s="106">
        <v>15</v>
      </c>
      <c r="J127" s="106" t="s">
        <v>1129</v>
      </c>
      <c r="K127" s="107">
        <f>INGREDIENTS!F170</f>
        <v>0.125</v>
      </c>
      <c r="L127" s="107">
        <f t="shared" si="19"/>
        <v>1.875</v>
      </c>
      <c r="N127" s="106" t="s">
        <v>1182</v>
      </c>
      <c r="O127" s="106">
        <v>15</v>
      </c>
      <c r="P127" s="106" t="s">
        <v>1129</v>
      </c>
      <c r="Q127" s="107">
        <f>INGREDIENTS!F170</f>
        <v>0.125</v>
      </c>
      <c r="R127" s="107">
        <f t="shared" si="20"/>
        <v>1.875</v>
      </c>
      <c r="T127" s="106" t="s">
        <v>1182</v>
      </c>
      <c r="U127" s="106">
        <v>15</v>
      </c>
      <c r="V127" s="106" t="s">
        <v>1129</v>
      </c>
      <c r="W127" s="107">
        <f>INGREDIENTS!F170</f>
        <v>0.125</v>
      </c>
      <c r="X127" s="107">
        <f t="shared" si="21"/>
        <v>1.875</v>
      </c>
    </row>
    <row r="128" spans="8:24" x14ac:dyDescent="0.15">
      <c r="H128" s="108" t="s">
        <v>1184</v>
      </c>
      <c r="I128" s="106">
        <v>20</v>
      </c>
      <c r="J128" s="108" t="s">
        <v>1001</v>
      </c>
      <c r="K128" s="107">
        <f>INGREDIENTS!F120</f>
        <v>1.0999999999999999E-2</v>
      </c>
      <c r="L128" s="107">
        <f t="shared" si="19"/>
        <v>0.21999999999999997</v>
      </c>
      <c r="N128" s="108" t="s">
        <v>1184</v>
      </c>
      <c r="O128" s="106">
        <v>20</v>
      </c>
      <c r="P128" s="108" t="s">
        <v>1001</v>
      </c>
      <c r="Q128" s="107">
        <f>INGREDIENTS!F120</f>
        <v>1.0999999999999999E-2</v>
      </c>
      <c r="R128" s="107">
        <f t="shared" si="20"/>
        <v>0.21999999999999997</v>
      </c>
      <c r="T128" s="108" t="s">
        <v>1184</v>
      </c>
      <c r="U128" s="106">
        <v>20</v>
      </c>
      <c r="V128" s="108" t="s">
        <v>1001</v>
      </c>
      <c r="W128" s="107">
        <f>INGREDIENTS!F120</f>
        <v>1.0999999999999999E-2</v>
      </c>
      <c r="X128" s="107">
        <f t="shared" si="21"/>
        <v>0.21999999999999997</v>
      </c>
    </row>
    <row r="129" spans="8:24" x14ac:dyDescent="0.15">
      <c r="H129" s="108" t="s">
        <v>1327</v>
      </c>
      <c r="I129" s="106">
        <v>3</v>
      </c>
      <c r="J129" s="108" t="s">
        <v>1036</v>
      </c>
      <c r="K129" s="107">
        <f>INGREDIENTS!F185</f>
        <v>0.4</v>
      </c>
      <c r="L129" s="107">
        <f t="shared" si="19"/>
        <v>1.2000000000000002</v>
      </c>
      <c r="N129" s="108" t="s">
        <v>1327</v>
      </c>
      <c r="O129" s="106">
        <v>3</v>
      </c>
      <c r="P129" s="108" t="s">
        <v>1036</v>
      </c>
      <c r="Q129" s="107">
        <f>INGREDIENTS!F185</f>
        <v>0.4</v>
      </c>
      <c r="R129" s="107">
        <f t="shared" si="20"/>
        <v>1.2000000000000002</v>
      </c>
      <c r="T129" s="108" t="s">
        <v>1327</v>
      </c>
      <c r="U129" s="106">
        <v>3</v>
      </c>
      <c r="V129" s="108" t="s">
        <v>1036</v>
      </c>
      <c r="W129" s="107">
        <f>INGREDIENTS!F185</f>
        <v>0.4</v>
      </c>
      <c r="X129" s="107">
        <f t="shared" si="21"/>
        <v>1.2000000000000002</v>
      </c>
    </row>
    <row r="130" spans="8:24" x14ac:dyDescent="0.15">
      <c r="H130" s="106"/>
      <c r="I130" s="106"/>
      <c r="J130" s="106"/>
      <c r="K130" s="107"/>
      <c r="L130" s="107"/>
      <c r="N130" s="106"/>
      <c r="O130" s="106"/>
      <c r="P130" s="106"/>
      <c r="Q130" s="107"/>
      <c r="R130" s="107"/>
      <c r="T130" s="106"/>
      <c r="U130" s="106"/>
      <c r="V130" s="106"/>
      <c r="W130" s="107"/>
      <c r="X130" s="107"/>
    </row>
    <row r="131" spans="8:24" x14ac:dyDescent="0.15">
      <c r="H131" s="106"/>
      <c r="I131" s="106"/>
      <c r="J131" s="106"/>
      <c r="K131" s="107"/>
      <c r="L131" s="107"/>
      <c r="N131" s="106"/>
      <c r="O131" s="106"/>
      <c r="P131" s="106"/>
      <c r="Q131" s="107"/>
      <c r="R131" s="107"/>
      <c r="T131" s="106"/>
      <c r="U131" s="106"/>
      <c r="V131" s="106"/>
      <c r="W131" s="107"/>
      <c r="X131" s="107"/>
    </row>
    <row r="132" spans="8:24" ht="18" x14ac:dyDescent="0.2">
      <c r="L132" s="110">
        <f>SUM(L125:L131)</f>
        <v>3.7649999999999997</v>
      </c>
      <c r="R132" s="110">
        <f>SUM(R125:R131)</f>
        <v>3.835</v>
      </c>
      <c r="X132" s="110">
        <f>SUM(X125:X131)</f>
        <v>3.8950000000000005</v>
      </c>
    </row>
    <row r="133" spans="8:24" x14ac:dyDescent="0.15">
      <c r="H133" t="s">
        <v>1132</v>
      </c>
      <c r="I133" s="58">
        <v>8</v>
      </c>
      <c r="N133" t="s">
        <v>1132</v>
      </c>
      <c r="O133" s="58">
        <v>10</v>
      </c>
      <c r="T133" t="s">
        <v>1132</v>
      </c>
      <c r="U133" s="58">
        <v>12</v>
      </c>
    </row>
    <row r="134" spans="8:24" ht="18" x14ac:dyDescent="0.2">
      <c r="H134" t="s">
        <v>1125</v>
      </c>
      <c r="I134" s="58">
        <f>L132+5%</f>
        <v>3.8149999999999995</v>
      </c>
      <c r="J134" s="111">
        <f>I134/I133</f>
        <v>0.47687499999999994</v>
      </c>
      <c r="N134" t="s">
        <v>1125</v>
      </c>
      <c r="O134" s="58">
        <f>R132+5%</f>
        <v>3.8849999999999998</v>
      </c>
      <c r="P134" s="111">
        <f>O134/O133</f>
        <v>0.38849999999999996</v>
      </c>
      <c r="T134" t="s">
        <v>1125</v>
      </c>
      <c r="U134" s="58">
        <f>X132+5%</f>
        <v>3.9450000000000003</v>
      </c>
      <c r="V134" s="111">
        <f>U134/U133</f>
        <v>0.32875000000000004</v>
      </c>
    </row>
    <row r="135" spans="8:24" x14ac:dyDescent="0.15">
      <c r="H135" t="s">
        <v>1133</v>
      </c>
      <c r="I135" s="58">
        <f>I133-I134</f>
        <v>4.1850000000000005</v>
      </c>
      <c r="J135" s="112"/>
      <c r="N135" t="s">
        <v>1133</v>
      </c>
      <c r="O135" s="58">
        <f>O133-O134</f>
        <v>6.1150000000000002</v>
      </c>
      <c r="P135" s="112"/>
      <c r="T135" t="s">
        <v>1133</v>
      </c>
      <c r="U135" s="58">
        <f>U133-U134</f>
        <v>8.0549999999999997</v>
      </c>
      <c r="V135" s="112"/>
    </row>
    <row r="136" spans="8:24" x14ac:dyDescent="0.15">
      <c r="H136" s="190"/>
      <c r="I136" s="190"/>
      <c r="J136" s="190"/>
      <c r="K136" s="190"/>
      <c r="L136" s="190"/>
      <c r="N136" s="190"/>
      <c r="O136" s="190"/>
      <c r="P136" s="190"/>
      <c r="Q136" s="190"/>
      <c r="R136" s="190"/>
      <c r="T136" s="190"/>
      <c r="U136" s="190"/>
      <c r="V136" s="190"/>
      <c r="W136" s="190"/>
      <c r="X136" s="190"/>
    </row>
    <row r="137" spans="8:24" x14ac:dyDescent="0.15">
      <c r="H137" s="190"/>
      <c r="I137" s="190"/>
      <c r="J137" s="190"/>
      <c r="K137" s="190"/>
      <c r="L137" s="190"/>
      <c r="N137" s="190"/>
      <c r="O137" s="190"/>
      <c r="P137" s="190"/>
      <c r="Q137" s="190"/>
      <c r="R137" s="190"/>
      <c r="T137" s="190"/>
      <c r="U137" s="190"/>
      <c r="V137" s="190"/>
      <c r="W137" s="190"/>
      <c r="X137" s="190"/>
    </row>
    <row r="138" spans="8:24" ht="23" x14ac:dyDescent="0.25">
      <c r="H138" s="185" t="s">
        <v>1351</v>
      </c>
      <c r="I138" s="185"/>
      <c r="J138" s="185"/>
      <c r="K138" s="185"/>
      <c r="L138" s="185"/>
      <c r="N138" s="185" t="s">
        <v>1351</v>
      </c>
      <c r="O138" s="185"/>
      <c r="P138" s="185"/>
      <c r="Q138" s="185"/>
      <c r="R138" s="185"/>
      <c r="T138" s="185" t="s">
        <v>1351</v>
      </c>
      <c r="U138" s="185"/>
      <c r="V138" s="185"/>
      <c r="W138" s="185"/>
      <c r="X138" s="185"/>
    </row>
    <row r="139" spans="8:24" ht="16" x14ac:dyDescent="0.2">
      <c r="H139" s="119" t="s">
        <v>1122</v>
      </c>
      <c r="I139" s="119" t="s">
        <v>1123</v>
      </c>
      <c r="J139" s="119" t="s">
        <v>1124</v>
      </c>
      <c r="K139" s="119" t="s">
        <v>1125</v>
      </c>
      <c r="L139" s="119" t="s">
        <v>1126</v>
      </c>
      <c r="N139" s="119" t="s">
        <v>1122</v>
      </c>
      <c r="O139" s="119" t="s">
        <v>1123</v>
      </c>
      <c r="P139" s="119" t="s">
        <v>1124</v>
      </c>
      <c r="Q139" s="119" t="s">
        <v>1125</v>
      </c>
      <c r="R139" s="119" t="s">
        <v>1126</v>
      </c>
      <c r="T139" s="119" t="s">
        <v>1122</v>
      </c>
      <c r="U139" s="119" t="s">
        <v>1123</v>
      </c>
      <c r="V139" s="119" t="s">
        <v>1124</v>
      </c>
      <c r="W139" s="119" t="s">
        <v>1125</v>
      </c>
      <c r="X139" s="119" t="s">
        <v>1126</v>
      </c>
    </row>
    <row r="140" spans="8:24" x14ac:dyDescent="0.15">
      <c r="H140" s="108" t="s">
        <v>1332</v>
      </c>
      <c r="I140" s="106">
        <v>3</v>
      </c>
      <c r="J140" s="108" t="s">
        <v>1129</v>
      </c>
      <c r="K140" s="107">
        <f>INGREDIENTS!F190</f>
        <v>0.44</v>
      </c>
      <c r="L140" s="107">
        <f>K140*I140</f>
        <v>1.32</v>
      </c>
      <c r="N140" s="108" t="s">
        <v>1332</v>
      </c>
      <c r="O140" s="106">
        <v>3</v>
      </c>
      <c r="P140" s="108" t="s">
        <v>1129</v>
      </c>
      <c r="Q140" s="107">
        <f>INGREDIENTS!F190</f>
        <v>0.44</v>
      </c>
      <c r="R140" s="107">
        <f>Q140*O140</f>
        <v>1.32</v>
      </c>
      <c r="T140" s="108" t="s">
        <v>1332</v>
      </c>
      <c r="U140" s="106">
        <v>3</v>
      </c>
      <c r="V140" s="108" t="s">
        <v>1129</v>
      </c>
      <c r="W140" s="107">
        <f>INGREDIENTS!F190</f>
        <v>0.44</v>
      </c>
      <c r="X140" s="107">
        <f>W140*U140</f>
        <v>1.32</v>
      </c>
    </row>
    <row r="141" spans="8:24" x14ac:dyDescent="0.15">
      <c r="H141" s="108" t="s">
        <v>1128</v>
      </c>
      <c r="I141" s="106">
        <v>205</v>
      </c>
      <c r="J141" s="108" t="s">
        <v>1001</v>
      </c>
      <c r="K141" s="107">
        <f>INGREDIENTS!F38</f>
        <v>1.426E-2</v>
      </c>
      <c r="L141" s="107">
        <f t="shared" ref="L141:L143" si="22">K141*I141</f>
        <v>2.9233000000000002</v>
      </c>
      <c r="N141" s="108" t="s">
        <v>1128</v>
      </c>
      <c r="O141" s="106">
        <v>215</v>
      </c>
      <c r="P141" s="108" t="s">
        <v>1001</v>
      </c>
      <c r="Q141" s="107">
        <f>INGREDIENTS!F38</f>
        <v>1.426E-2</v>
      </c>
      <c r="R141" s="107">
        <f t="shared" ref="R141:R143" si="23">Q141*O141</f>
        <v>3.0659000000000001</v>
      </c>
      <c r="T141" s="108" t="s">
        <v>1128</v>
      </c>
      <c r="U141" s="106">
        <v>225</v>
      </c>
      <c r="V141" s="108" t="s">
        <v>1001</v>
      </c>
      <c r="W141" s="107">
        <f>INGREDIENTS!F38</f>
        <v>1.426E-2</v>
      </c>
      <c r="X141" s="107">
        <f t="shared" ref="X141:X143" si="24">W141*U141</f>
        <v>3.2084999999999999</v>
      </c>
    </row>
    <row r="142" spans="8:24" x14ac:dyDescent="0.15">
      <c r="H142" s="108" t="s">
        <v>1335</v>
      </c>
      <c r="I142" s="106">
        <v>1</v>
      </c>
      <c r="J142" s="108" t="s">
        <v>1036</v>
      </c>
      <c r="K142" s="107">
        <f>INGREDIENTS!F23</f>
        <v>0.25</v>
      </c>
      <c r="L142" s="107">
        <f t="shared" si="22"/>
        <v>0.25</v>
      </c>
      <c r="N142" s="108" t="s">
        <v>1334</v>
      </c>
      <c r="O142" s="106">
        <v>1</v>
      </c>
      <c r="P142" s="108" t="s">
        <v>1036</v>
      </c>
      <c r="Q142" s="107">
        <f>INGREDIENTS!F19</f>
        <v>0.32</v>
      </c>
      <c r="R142" s="107">
        <f t="shared" si="23"/>
        <v>0.32</v>
      </c>
      <c r="T142" s="108" t="s">
        <v>1354</v>
      </c>
      <c r="U142" s="106">
        <v>1</v>
      </c>
      <c r="V142" s="108" t="s">
        <v>1036</v>
      </c>
      <c r="W142" s="107">
        <f>INGREDIENTS!F207</f>
        <v>0.38</v>
      </c>
      <c r="X142" s="107">
        <f t="shared" si="24"/>
        <v>0.38</v>
      </c>
    </row>
    <row r="143" spans="8:24" x14ac:dyDescent="0.15">
      <c r="H143" s="108" t="s">
        <v>1352</v>
      </c>
      <c r="I143" s="106">
        <v>1</v>
      </c>
      <c r="J143" s="108" t="s">
        <v>1036</v>
      </c>
      <c r="K143" s="107">
        <f>INGREDIENTS!F24</f>
        <v>0.22</v>
      </c>
      <c r="L143" s="107">
        <f t="shared" si="22"/>
        <v>0.22</v>
      </c>
      <c r="N143" s="108" t="s">
        <v>1353</v>
      </c>
      <c r="O143" s="106">
        <v>1</v>
      </c>
      <c r="P143" s="108" t="s">
        <v>1036</v>
      </c>
      <c r="Q143" s="107">
        <f>INGREDIENTS!F20</f>
        <v>0.22</v>
      </c>
      <c r="R143" s="107">
        <f t="shared" si="23"/>
        <v>0.22</v>
      </c>
      <c r="T143" s="108" t="s">
        <v>1353</v>
      </c>
      <c r="U143" s="106">
        <v>1</v>
      </c>
      <c r="V143" s="108" t="s">
        <v>1036</v>
      </c>
      <c r="W143" s="107">
        <f>INGREDIENTS!F20</f>
        <v>0.22</v>
      </c>
      <c r="X143" s="107">
        <f t="shared" si="24"/>
        <v>0.22</v>
      </c>
    </row>
    <row r="144" spans="8:24" x14ac:dyDescent="0.15">
      <c r="H144" s="106"/>
      <c r="I144" s="106"/>
      <c r="J144" s="106"/>
      <c r="K144" s="107"/>
      <c r="L144" s="107"/>
      <c r="N144" s="106"/>
      <c r="O144" s="106"/>
      <c r="P144" s="106"/>
      <c r="Q144" s="107"/>
      <c r="R144" s="107"/>
      <c r="T144" s="106"/>
      <c r="U144" s="106"/>
      <c r="V144" s="106"/>
      <c r="W144" s="107"/>
      <c r="X144" s="107"/>
    </row>
    <row r="145" spans="8:24" x14ac:dyDescent="0.15">
      <c r="H145" s="106"/>
      <c r="I145" s="106"/>
      <c r="J145" s="106"/>
      <c r="K145" s="107"/>
      <c r="L145" s="107"/>
      <c r="N145" s="106"/>
      <c r="O145" s="106"/>
      <c r="P145" s="106"/>
      <c r="Q145" s="107"/>
      <c r="R145" s="107"/>
      <c r="T145" s="106"/>
      <c r="U145" s="106"/>
      <c r="V145" s="106"/>
      <c r="W145" s="107"/>
      <c r="X145" s="107"/>
    </row>
    <row r="146" spans="8:24" ht="18" x14ac:dyDescent="0.2">
      <c r="L146" s="110">
        <f>SUM(L140:L145)</f>
        <v>4.7133000000000003</v>
      </c>
      <c r="R146" s="110">
        <f>SUM(R140:R145)</f>
        <v>4.9259000000000004</v>
      </c>
      <c r="X146" s="110">
        <f>SUM(X140:X145)</f>
        <v>5.1284999999999998</v>
      </c>
    </row>
    <row r="147" spans="8:24" x14ac:dyDescent="0.15">
      <c r="H147" t="s">
        <v>1132</v>
      </c>
      <c r="I147" s="58">
        <v>13</v>
      </c>
      <c r="N147" t="s">
        <v>1132</v>
      </c>
      <c r="O147" s="58">
        <v>15</v>
      </c>
      <c r="T147" t="s">
        <v>1132</v>
      </c>
      <c r="U147" s="58">
        <v>17</v>
      </c>
    </row>
    <row r="148" spans="8:24" ht="18" x14ac:dyDescent="0.2">
      <c r="H148" t="s">
        <v>1125</v>
      </c>
      <c r="I148" s="58">
        <f>L146+5%</f>
        <v>4.7633000000000001</v>
      </c>
      <c r="J148" s="111">
        <f>I148/I147</f>
        <v>0.36640769230769232</v>
      </c>
      <c r="N148" t="s">
        <v>1125</v>
      </c>
      <c r="O148" s="58">
        <f>R146+5%</f>
        <v>4.9759000000000002</v>
      </c>
      <c r="P148" s="111">
        <f>O148/O147</f>
        <v>0.33172666666666667</v>
      </c>
      <c r="T148" t="s">
        <v>1125</v>
      </c>
      <c r="U148" s="58">
        <f>X146+5%</f>
        <v>5.1784999999999997</v>
      </c>
      <c r="V148" s="111">
        <f>U148/U147</f>
        <v>0.30461764705882349</v>
      </c>
    </row>
    <row r="149" spans="8:24" x14ac:dyDescent="0.15">
      <c r="H149" t="s">
        <v>1133</v>
      </c>
      <c r="I149" s="58">
        <f>I147-I148</f>
        <v>8.236699999999999</v>
      </c>
      <c r="J149" s="112"/>
      <c r="N149" t="s">
        <v>1133</v>
      </c>
      <c r="O149" s="58">
        <f>O147-O148</f>
        <v>10.024100000000001</v>
      </c>
      <c r="P149" s="112"/>
      <c r="T149" t="s">
        <v>1133</v>
      </c>
      <c r="U149" s="58">
        <f>U147-U148</f>
        <v>11.8215</v>
      </c>
      <c r="V149" s="112"/>
    </row>
    <row r="150" spans="8:24" x14ac:dyDescent="0.15">
      <c r="H150" s="190"/>
      <c r="I150" s="190"/>
      <c r="J150" s="190"/>
      <c r="K150" s="190"/>
      <c r="L150" s="190"/>
      <c r="N150" s="190"/>
      <c r="O150" s="190"/>
      <c r="P150" s="190"/>
      <c r="Q150" s="190"/>
      <c r="R150" s="190"/>
      <c r="T150" s="190"/>
      <c r="U150" s="190"/>
      <c r="V150" s="190"/>
      <c r="W150" s="190"/>
      <c r="X150" s="190"/>
    </row>
    <row r="151" spans="8:24" x14ac:dyDescent="0.15">
      <c r="H151" s="190"/>
      <c r="I151" s="190"/>
      <c r="J151" s="190"/>
      <c r="K151" s="190"/>
      <c r="L151" s="190"/>
      <c r="N151" s="190"/>
      <c r="O151" s="190"/>
      <c r="P151" s="190"/>
      <c r="Q151" s="190"/>
      <c r="R151" s="190"/>
      <c r="T151" s="190"/>
      <c r="U151" s="190"/>
      <c r="V151" s="190"/>
      <c r="W151" s="190"/>
      <c r="X151" s="190"/>
    </row>
    <row r="152" spans="8:24" x14ac:dyDescent="0.15">
      <c r="H152" s="167" t="s">
        <v>1370</v>
      </c>
      <c r="I152" s="167"/>
      <c r="J152" s="167"/>
      <c r="K152" s="167"/>
      <c r="L152" s="167"/>
      <c r="N152" s="167" t="s">
        <v>1370</v>
      </c>
      <c r="O152" s="167"/>
      <c r="P152" s="167"/>
      <c r="Q152" s="167"/>
      <c r="R152" s="167"/>
      <c r="T152" s="167" t="s">
        <v>1370</v>
      </c>
      <c r="U152" s="167"/>
      <c r="V152" s="167"/>
      <c r="W152" s="167"/>
      <c r="X152" s="167"/>
    </row>
    <row r="153" spans="8:24" x14ac:dyDescent="0.15">
      <c r="H153" s="167"/>
      <c r="I153" s="167"/>
      <c r="J153" s="167"/>
      <c r="K153" s="167"/>
      <c r="L153" s="167"/>
      <c r="N153" s="167"/>
      <c r="O153" s="167"/>
      <c r="P153" s="167"/>
      <c r="Q153" s="167"/>
      <c r="R153" s="167"/>
      <c r="T153" s="167"/>
      <c r="U153" s="167"/>
      <c r="V153" s="167"/>
      <c r="W153" s="167"/>
      <c r="X153" s="167"/>
    </row>
    <row r="154" spans="8:24" ht="16" x14ac:dyDescent="0.2">
      <c r="H154" s="119" t="s">
        <v>1122</v>
      </c>
      <c r="I154" s="119" t="s">
        <v>1123</v>
      </c>
      <c r="J154" s="119" t="s">
        <v>1124</v>
      </c>
      <c r="K154" s="119" t="s">
        <v>1125</v>
      </c>
      <c r="L154" s="119" t="s">
        <v>1126</v>
      </c>
      <c r="N154" s="119" t="s">
        <v>1122</v>
      </c>
      <c r="O154" s="119" t="s">
        <v>1123</v>
      </c>
      <c r="P154" s="119" t="s">
        <v>1124</v>
      </c>
      <c r="Q154" s="119" t="s">
        <v>1125</v>
      </c>
      <c r="R154" s="119" t="s">
        <v>1126</v>
      </c>
      <c r="T154" s="119" t="s">
        <v>1122</v>
      </c>
      <c r="U154" s="119" t="s">
        <v>1123</v>
      </c>
      <c r="V154" s="119" t="s">
        <v>1124</v>
      </c>
      <c r="W154" s="119" t="s">
        <v>1125</v>
      </c>
      <c r="X154" s="119" t="s">
        <v>1126</v>
      </c>
    </row>
    <row r="155" spans="8:24" x14ac:dyDescent="0.15">
      <c r="H155" s="106" t="s">
        <v>1163</v>
      </c>
      <c r="I155" s="106">
        <f>16+(18*0.025)</f>
        <v>16.45</v>
      </c>
      <c r="J155" s="106" t="s">
        <v>1129</v>
      </c>
      <c r="K155" s="107">
        <f>INGREDIENTS!F11</f>
        <v>7.0000000000000007E-2</v>
      </c>
      <c r="L155" s="107">
        <f>K155*I155</f>
        <v>1.1515</v>
      </c>
      <c r="N155" s="106" t="s">
        <v>1163</v>
      </c>
      <c r="O155" s="106">
        <f>16+(18*0.025)</f>
        <v>16.45</v>
      </c>
      <c r="P155" s="106" t="s">
        <v>1129</v>
      </c>
      <c r="Q155" s="107">
        <f>INGREDIENTS!F11</f>
        <v>7.0000000000000007E-2</v>
      </c>
      <c r="R155" s="107">
        <f>Q155*O155</f>
        <v>1.1515</v>
      </c>
      <c r="T155" s="106" t="s">
        <v>1163</v>
      </c>
      <c r="U155" s="106">
        <f>16+(18*0.025)</f>
        <v>16.45</v>
      </c>
      <c r="V155" s="106" t="s">
        <v>1129</v>
      </c>
      <c r="W155" s="107">
        <f>INGREDIENTS!F11</f>
        <v>7.0000000000000007E-2</v>
      </c>
      <c r="X155" s="107">
        <f>W155*U155</f>
        <v>1.1515</v>
      </c>
    </row>
    <row r="156" spans="8:24" x14ac:dyDescent="0.15">
      <c r="H156" s="108" t="s">
        <v>1345</v>
      </c>
      <c r="I156" s="106">
        <v>1</v>
      </c>
      <c r="J156" s="106" t="s">
        <v>1036</v>
      </c>
      <c r="K156" s="107">
        <f>INGREDIENTS!F23</f>
        <v>0.25</v>
      </c>
      <c r="L156" s="107">
        <f t="shared" ref="L156:L157" si="25">K156*I156</f>
        <v>0.25</v>
      </c>
      <c r="N156" s="108" t="s">
        <v>1166</v>
      </c>
      <c r="O156" s="106">
        <v>1</v>
      </c>
      <c r="P156" s="106" t="s">
        <v>1036</v>
      </c>
      <c r="Q156" s="107">
        <f>INGREDIENTS!F19</f>
        <v>0.32</v>
      </c>
      <c r="R156" s="107">
        <f t="shared" ref="R156:R157" si="26">Q156*O156</f>
        <v>0.32</v>
      </c>
      <c r="T156" s="108" t="s">
        <v>1347</v>
      </c>
      <c r="U156" s="106">
        <v>1</v>
      </c>
      <c r="V156" s="106" t="s">
        <v>1036</v>
      </c>
      <c r="W156" s="107">
        <f>INGREDIENTS!F207</f>
        <v>0.38</v>
      </c>
      <c r="X156" s="107">
        <f t="shared" ref="X156:X157" si="27">W156*U156</f>
        <v>0.38</v>
      </c>
    </row>
    <row r="157" spans="8:24" x14ac:dyDescent="0.15">
      <c r="H157" s="108" t="s">
        <v>1346</v>
      </c>
      <c r="I157" s="106">
        <v>1</v>
      </c>
      <c r="J157" s="106" t="s">
        <v>1103</v>
      </c>
      <c r="K157" s="107">
        <f>INGREDIENTS!F24</f>
        <v>0.22</v>
      </c>
      <c r="L157" s="107">
        <f t="shared" si="25"/>
        <v>0.22</v>
      </c>
      <c r="N157" s="108" t="s">
        <v>1371</v>
      </c>
      <c r="O157" s="106">
        <v>1</v>
      </c>
      <c r="P157" s="106" t="s">
        <v>1103</v>
      </c>
      <c r="Q157" s="107">
        <f>INGREDIENTS!F20</f>
        <v>0.22</v>
      </c>
      <c r="R157" s="107">
        <f t="shared" si="26"/>
        <v>0.22</v>
      </c>
      <c r="T157" s="108" t="s">
        <v>1348</v>
      </c>
      <c r="U157" s="106">
        <v>1</v>
      </c>
      <c r="V157" s="106" t="s">
        <v>1103</v>
      </c>
      <c r="W157" s="107">
        <f>INGREDIENTS!F20</f>
        <v>0.22</v>
      </c>
      <c r="X157" s="107">
        <f t="shared" si="27"/>
        <v>0.22</v>
      </c>
    </row>
    <row r="158" spans="8:24" x14ac:dyDescent="0.15">
      <c r="H158" s="108"/>
      <c r="I158" s="106"/>
      <c r="J158" s="106"/>
      <c r="K158" s="107"/>
      <c r="L158" s="107"/>
      <c r="N158" s="108"/>
      <c r="O158" s="106"/>
      <c r="P158" s="106"/>
      <c r="Q158" s="107"/>
      <c r="R158" s="107"/>
      <c r="T158" s="108"/>
      <c r="U158" s="106"/>
      <c r="V158" s="106"/>
      <c r="W158" s="107"/>
      <c r="X158" s="107"/>
    </row>
    <row r="159" spans="8:24" x14ac:dyDescent="0.15">
      <c r="H159" s="106"/>
      <c r="I159" s="106"/>
      <c r="J159" s="106"/>
      <c r="K159" s="107"/>
      <c r="L159" s="107"/>
      <c r="N159" s="106"/>
      <c r="O159" s="106"/>
      <c r="P159" s="106"/>
      <c r="Q159" s="107"/>
      <c r="R159" s="107"/>
      <c r="T159" s="106"/>
      <c r="U159" s="106"/>
      <c r="V159" s="106"/>
      <c r="W159" s="107"/>
      <c r="X159" s="107"/>
    </row>
    <row r="160" spans="8:24" ht="18" x14ac:dyDescent="0.2">
      <c r="L160" s="110">
        <f>SUM(L155:L159)</f>
        <v>1.6214999999999999</v>
      </c>
      <c r="R160" s="110">
        <f>SUM(R155:R159)</f>
        <v>1.6915</v>
      </c>
      <c r="X160" s="110">
        <f>SUM(X155:X159)</f>
        <v>1.7514999999999998</v>
      </c>
    </row>
    <row r="161" spans="8:24" x14ac:dyDescent="0.15">
      <c r="H161" t="s">
        <v>1132</v>
      </c>
      <c r="I161" s="58">
        <v>8</v>
      </c>
      <c r="N161" t="s">
        <v>1132</v>
      </c>
      <c r="O161" s="58">
        <v>8</v>
      </c>
      <c r="T161" t="s">
        <v>1132</v>
      </c>
      <c r="U161" s="58">
        <v>10</v>
      </c>
    </row>
    <row r="162" spans="8:24" ht="18" x14ac:dyDescent="0.2">
      <c r="H162" t="s">
        <v>1125</v>
      </c>
      <c r="I162" s="58">
        <f>L160+5%</f>
        <v>1.6715</v>
      </c>
      <c r="J162" s="111">
        <f>I162/I161</f>
        <v>0.2089375</v>
      </c>
      <c r="N162" t="s">
        <v>1125</v>
      </c>
      <c r="O162" s="58">
        <f>R160+5%</f>
        <v>1.7415</v>
      </c>
      <c r="P162" s="111">
        <f>O162/O161</f>
        <v>0.21768750000000001</v>
      </c>
      <c r="T162" t="s">
        <v>1125</v>
      </c>
      <c r="U162" s="58">
        <f>X160+5%</f>
        <v>1.8014999999999999</v>
      </c>
      <c r="V162" s="111">
        <f>U162/U161</f>
        <v>0.18014999999999998</v>
      </c>
    </row>
    <row r="163" spans="8:24" x14ac:dyDescent="0.15">
      <c r="H163" t="s">
        <v>1133</v>
      </c>
      <c r="I163" s="58">
        <f>I161-I162</f>
        <v>6.3285</v>
      </c>
      <c r="J163" s="112"/>
      <c r="N163" t="s">
        <v>1133</v>
      </c>
      <c r="O163" s="58">
        <f>O161-O162</f>
        <v>6.2584999999999997</v>
      </c>
      <c r="P163" s="112"/>
      <c r="T163" t="s">
        <v>1133</v>
      </c>
      <c r="U163" s="58">
        <f>U161-U162</f>
        <v>8.1984999999999992</v>
      </c>
      <c r="V163" s="112"/>
    </row>
    <row r="164" spans="8:24" x14ac:dyDescent="0.15">
      <c r="H164" s="190"/>
      <c r="I164" s="190"/>
      <c r="J164" s="190"/>
      <c r="K164" s="190"/>
      <c r="L164" s="190"/>
      <c r="N164" s="190"/>
      <c r="O164" s="190"/>
      <c r="P164" s="190"/>
      <c r="Q164" s="190"/>
      <c r="R164" s="190"/>
      <c r="T164" s="190"/>
      <c r="U164" s="190"/>
      <c r="V164" s="190"/>
      <c r="W164" s="190"/>
      <c r="X164" s="190"/>
    </row>
    <row r="165" spans="8:24" x14ac:dyDescent="0.15">
      <c r="H165" s="190"/>
      <c r="I165" s="190"/>
      <c r="J165" s="190"/>
      <c r="K165" s="190"/>
      <c r="L165" s="190"/>
      <c r="N165" s="190"/>
      <c r="O165" s="190"/>
      <c r="P165" s="190"/>
      <c r="Q165" s="190"/>
      <c r="R165" s="190"/>
      <c r="T165" s="190"/>
      <c r="U165" s="190"/>
      <c r="V165" s="190"/>
      <c r="W165" s="190"/>
      <c r="X165" s="190"/>
    </row>
    <row r="166" spans="8:24" x14ac:dyDescent="0.15">
      <c r="H166" s="167" t="s">
        <v>1379</v>
      </c>
      <c r="I166" s="167"/>
      <c r="J166" s="167"/>
      <c r="K166" s="167"/>
      <c r="L166" s="167"/>
      <c r="N166" s="167" t="s">
        <v>1379</v>
      </c>
      <c r="O166" s="167"/>
      <c r="P166" s="167"/>
      <c r="Q166" s="167"/>
      <c r="R166" s="167"/>
      <c r="T166" s="167" t="s">
        <v>1379</v>
      </c>
      <c r="U166" s="167"/>
      <c r="V166" s="167"/>
      <c r="W166" s="167"/>
      <c r="X166" s="167"/>
    </row>
    <row r="167" spans="8:24" x14ac:dyDescent="0.15">
      <c r="H167" s="167"/>
      <c r="I167" s="167"/>
      <c r="J167" s="167"/>
      <c r="K167" s="167"/>
      <c r="L167" s="167"/>
      <c r="N167" s="167"/>
      <c r="O167" s="167"/>
      <c r="P167" s="167"/>
      <c r="Q167" s="167"/>
      <c r="R167" s="167"/>
      <c r="T167" s="167"/>
      <c r="U167" s="167"/>
      <c r="V167" s="167"/>
      <c r="W167" s="167"/>
      <c r="X167" s="167"/>
    </row>
    <row r="168" spans="8:24" ht="16" x14ac:dyDescent="0.2">
      <c r="H168" s="119" t="s">
        <v>1122</v>
      </c>
      <c r="I168" s="119" t="s">
        <v>1123</v>
      </c>
      <c r="J168" s="119" t="s">
        <v>1124</v>
      </c>
      <c r="K168" s="119" t="s">
        <v>1125</v>
      </c>
      <c r="L168" s="119" t="s">
        <v>1126</v>
      </c>
      <c r="N168" s="119" t="s">
        <v>1122</v>
      </c>
      <c r="O168" s="119" t="s">
        <v>1123</v>
      </c>
      <c r="P168" s="119" t="s">
        <v>1124</v>
      </c>
      <c r="Q168" s="119" t="s">
        <v>1125</v>
      </c>
      <c r="R168" s="119" t="s">
        <v>1126</v>
      </c>
      <c r="T168" s="119" t="s">
        <v>1122</v>
      </c>
      <c r="U168" s="119" t="s">
        <v>1123</v>
      </c>
      <c r="V168" s="119" t="s">
        <v>1124</v>
      </c>
      <c r="W168" s="119" t="s">
        <v>1125</v>
      </c>
      <c r="X168" s="119" t="s">
        <v>1126</v>
      </c>
    </row>
    <row r="169" spans="8:24" x14ac:dyDescent="0.15">
      <c r="H169" s="108" t="s">
        <v>1380</v>
      </c>
      <c r="I169" s="106">
        <v>30</v>
      </c>
      <c r="J169" s="108" t="s">
        <v>1176</v>
      </c>
      <c r="K169" s="107">
        <f>INGREDIENTS!F72</f>
        <v>0.06</v>
      </c>
      <c r="L169" s="107">
        <f>K169*I169</f>
        <v>1.7999999999999998</v>
      </c>
      <c r="N169" s="108" t="s">
        <v>1380</v>
      </c>
      <c r="O169" s="106">
        <v>35</v>
      </c>
      <c r="P169" s="108" t="s">
        <v>1176</v>
      </c>
      <c r="Q169" s="107">
        <f>INGREDIENTS!F72</f>
        <v>0.06</v>
      </c>
      <c r="R169" s="107">
        <f>Q169*O169</f>
        <v>2.1</v>
      </c>
      <c r="T169" s="108" t="s">
        <v>1380</v>
      </c>
      <c r="U169" s="106">
        <v>40</v>
      </c>
      <c r="V169" s="108" t="s">
        <v>1176</v>
      </c>
      <c r="W169" s="107">
        <f>INGREDIENTS!F72</f>
        <v>0.06</v>
      </c>
      <c r="X169" s="107">
        <f>W169*U169</f>
        <v>2.4</v>
      </c>
    </row>
    <row r="170" spans="8:24" x14ac:dyDescent="0.15">
      <c r="H170" s="108" t="s">
        <v>1381</v>
      </c>
      <c r="I170" s="106">
        <f>8+(18*0.025)</f>
        <v>8.4499999999999993</v>
      </c>
      <c r="J170" s="108" t="s">
        <v>1129</v>
      </c>
      <c r="K170" s="107">
        <f>INGREDIENTS!F11</f>
        <v>7.0000000000000007E-2</v>
      </c>
      <c r="L170" s="107">
        <f t="shared" ref="L170:L173" si="28">K170*I170</f>
        <v>0.59150000000000003</v>
      </c>
      <c r="N170" s="108" t="s">
        <v>1381</v>
      </c>
      <c r="O170" s="106">
        <f>8+(18*0.025)</f>
        <v>8.4499999999999993</v>
      </c>
      <c r="P170" s="108" t="s">
        <v>1129</v>
      </c>
      <c r="Q170" s="107">
        <f>INGREDIENTS!F11</f>
        <v>7.0000000000000007E-2</v>
      </c>
      <c r="R170" s="107">
        <f t="shared" ref="R170:R173" si="29">Q170*O170</f>
        <v>0.59150000000000003</v>
      </c>
      <c r="T170" s="108" t="s">
        <v>1381</v>
      </c>
      <c r="U170" s="106">
        <f>8+(18*0.025)</f>
        <v>8.4499999999999993</v>
      </c>
      <c r="V170" s="108" t="s">
        <v>1129</v>
      </c>
      <c r="W170" s="107">
        <f>INGREDIENTS!F11</f>
        <v>7.0000000000000007E-2</v>
      </c>
      <c r="X170" s="107">
        <f t="shared" ref="X170:X173" si="30">W170*U170</f>
        <v>0.59150000000000003</v>
      </c>
    </row>
    <row r="171" spans="8:24" x14ac:dyDescent="0.15">
      <c r="H171" s="108" t="s">
        <v>1382</v>
      </c>
      <c r="I171" s="106">
        <v>205</v>
      </c>
      <c r="J171" s="108" t="s">
        <v>1001</v>
      </c>
      <c r="K171" s="107">
        <f>INGREDIENTS!F38</f>
        <v>1.426E-2</v>
      </c>
      <c r="L171" s="107">
        <f t="shared" si="28"/>
        <v>2.9233000000000002</v>
      </c>
      <c r="N171" s="108" t="s">
        <v>1382</v>
      </c>
      <c r="O171" s="106">
        <v>215</v>
      </c>
      <c r="P171" s="108" t="s">
        <v>1001</v>
      </c>
      <c r="Q171" s="107">
        <f>INGREDIENTS!F38</f>
        <v>1.426E-2</v>
      </c>
      <c r="R171" s="107">
        <f t="shared" si="29"/>
        <v>3.0659000000000001</v>
      </c>
      <c r="T171" s="108" t="s">
        <v>1382</v>
      </c>
      <c r="U171" s="106">
        <v>225</v>
      </c>
      <c r="V171" s="108" t="s">
        <v>1001</v>
      </c>
      <c r="W171" s="107">
        <f>INGREDIENTS!F38</f>
        <v>1.426E-2</v>
      </c>
      <c r="X171" s="107">
        <f t="shared" si="30"/>
        <v>3.2084999999999999</v>
      </c>
    </row>
    <row r="172" spans="8:24" x14ac:dyDescent="0.15">
      <c r="H172" s="108" t="s">
        <v>1345</v>
      </c>
      <c r="I172" s="106">
        <v>1</v>
      </c>
      <c r="J172" s="106" t="s">
        <v>1036</v>
      </c>
      <c r="K172" s="107">
        <f>INGREDIENTS!F23</f>
        <v>0.25</v>
      </c>
      <c r="L172" s="107">
        <f t="shared" si="28"/>
        <v>0.25</v>
      </c>
      <c r="N172" s="108" t="s">
        <v>1166</v>
      </c>
      <c r="O172" s="106">
        <v>1</v>
      </c>
      <c r="P172" s="106" t="s">
        <v>1036</v>
      </c>
      <c r="Q172" s="107">
        <f>INGREDIENTS!F19</f>
        <v>0.32</v>
      </c>
      <c r="R172" s="107">
        <f t="shared" si="29"/>
        <v>0.32</v>
      </c>
      <c r="T172" s="108" t="s">
        <v>1347</v>
      </c>
      <c r="U172" s="106">
        <v>1</v>
      </c>
      <c r="V172" s="106" t="s">
        <v>1036</v>
      </c>
      <c r="W172" s="107">
        <f>INGREDIENTS!F26</f>
        <v>0.28999999999999998</v>
      </c>
      <c r="X172" s="107">
        <f t="shared" si="30"/>
        <v>0.28999999999999998</v>
      </c>
    </row>
    <row r="173" spans="8:24" x14ac:dyDescent="0.15">
      <c r="H173" s="108" t="s">
        <v>1386</v>
      </c>
      <c r="I173" s="106">
        <v>1</v>
      </c>
      <c r="J173" s="106" t="s">
        <v>1103</v>
      </c>
      <c r="K173" s="107">
        <f>INGREDIENTS!F24</f>
        <v>0.22</v>
      </c>
      <c r="L173" s="107">
        <f t="shared" si="28"/>
        <v>0.22</v>
      </c>
      <c r="N173" s="108" t="s">
        <v>1387</v>
      </c>
      <c r="O173" s="106">
        <v>1</v>
      </c>
      <c r="P173" s="106" t="s">
        <v>1103</v>
      </c>
      <c r="Q173" s="107">
        <f>INGREDIENTS!F20</f>
        <v>0.22</v>
      </c>
      <c r="R173" s="107">
        <f t="shared" si="29"/>
        <v>0.22</v>
      </c>
      <c r="T173" s="108" t="s">
        <v>1388</v>
      </c>
      <c r="U173" s="106">
        <v>1</v>
      </c>
      <c r="V173" s="106" t="s">
        <v>1103</v>
      </c>
      <c r="W173" s="107">
        <f>INGREDIENTS!F20</f>
        <v>0.22</v>
      </c>
      <c r="X173" s="107">
        <f t="shared" si="30"/>
        <v>0.22</v>
      </c>
    </row>
    <row r="174" spans="8:24" x14ac:dyDescent="0.15">
      <c r="H174" s="108"/>
      <c r="I174" s="106"/>
      <c r="J174" s="108"/>
      <c r="K174" s="107"/>
      <c r="L174" s="107"/>
      <c r="N174" s="108"/>
      <c r="O174" s="106"/>
      <c r="P174" s="108"/>
      <c r="Q174" s="107"/>
      <c r="R174" s="107"/>
      <c r="T174" s="108"/>
      <c r="U174" s="106"/>
      <c r="V174" s="108"/>
      <c r="W174" s="107"/>
      <c r="X174" s="107"/>
    </row>
    <row r="175" spans="8:24" x14ac:dyDescent="0.15">
      <c r="H175" s="106"/>
      <c r="I175" s="106"/>
      <c r="J175" s="106"/>
      <c r="K175" s="107"/>
      <c r="L175" s="107"/>
      <c r="N175" s="106"/>
      <c r="O175" s="106"/>
      <c r="P175" s="106"/>
      <c r="Q175" s="107"/>
      <c r="R175" s="107"/>
      <c r="T175" s="106"/>
      <c r="U175" s="106"/>
      <c r="V175" s="106"/>
      <c r="W175" s="107"/>
      <c r="X175" s="107"/>
    </row>
    <row r="176" spans="8:24" ht="18" x14ac:dyDescent="0.2">
      <c r="L176" s="110">
        <f>SUM(L169:L175)</f>
        <v>5.7847999999999997</v>
      </c>
      <c r="R176" s="110">
        <f>SUM(R169:R175)</f>
        <v>6.2974000000000006</v>
      </c>
      <c r="X176" s="110">
        <f>SUM(X169:X175)</f>
        <v>6.7099999999999991</v>
      </c>
    </row>
    <row r="177" spans="8:24" x14ac:dyDescent="0.15">
      <c r="H177" t="s">
        <v>1132</v>
      </c>
      <c r="I177" s="58">
        <v>8</v>
      </c>
      <c r="N177" t="s">
        <v>1132</v>
      </c>
      <c r="O177" s="58">
        <v>12</v>
      </c>
      <c r="T177" t="s">
        <v>1132</v>
      </c>
      <c r="U177" s="58">
        <v>16</v>
      </c>
    </row>
    <row r="178" spans="8:24" ht="18" x14ac:dyDescent="0.2">
      <c r="H178" t="s">
        <v>1125</v>
      </c>
      <c r="I178" s="58">
        <f>L176+5%</f>
        <v>5.8347999999999995</v>
      </c>
      <c r="J178" s="111">
        <f>I178/I177</f>
        <v>0.72934999999999994</v>
      </c>
      <c r="N178" t="s">
        <v>1125</v>
      </c>
      <c r="O178" s="58">
        <f>R176+5%</f>
        <v>6.3474000000000004</v>
      </c>
      <c r="P178" s="111">
        <f>O178/O177</f>
        <v>0.52895000000000003</v>
      </c>
      <c r="T178" t="s">
        <v>1125</v>
      </c>
      <c r="U178" s="58">
        <f>X176+5%</f>
        <v>6.7599999999999989</v>
      </c>
      <c r="V178" s="111">
        <f>U178/U177</f>
        <v>0.42249999999999993</v>
      </c>
    </row>
    <row r="179" spans="8:24" x14ac:dyDescent="0.15">
      <c r="H179" t="s">
        <v>1133</v>
      </c>
      <c r="I179" s="58">
        <f>I177-I178</f>
        <v>2.1652000000000005</v>
      </c>
      <c r="J179" s="112"/>
      <c r="N179" t="s">
        <v>1133</v>
      </c>
      <c r="O179" s="58">
        <f>O177-O178</f>
        <v>5.6525999999999996</v>
      </c>
      <c r="P179" s="112"/>
      <c r="T179" t="s">
        <v>1133</v>
      </c>
      <c r="U179" s="58">
        <f>U177-U178</f>
        <v>9.240000000000002</v>
      </c>
      <c r="V179" s="112"/>
    </row>
    <row r="180" spans="8:24" x14ac:dyDescent="0.15">
      <c r="H180" s="190"/>
      <c r="I180" s="190"/>
      <c r="J180" s="190"/>
      <c r="K180" s="190"/>
      <c r="L180" s="190"/>
      <c r="N180" s="190"/>
      <c r="O180" s="190"/>
      <c r="P180" s="190"/>
      <c r="Q180" s="190"/>
      <c r="R180" s="190"/>
      <c r="T180" s="190"/>
      <c r="U180" s="190"/>
      <c r="V180" s="190"/>
      <c r="W180" s="190"/>
      <c r="X180" s="190"/>
    </row>
    <row r="181" spans="8:24" x14ac:dyDescent="0.15">
      <c r="H181" s="190"/>
      <c r="I181" s="190"/>
      <c r="J181" s="190"/>
      <c r="K181" s="190"/>
      <c r="L181" s="190"/>
      <c r="N181" s="190"/>
      <c r="O181" s="190"/>
      <c r="P181" s="190"/>
      <c r="Q181" s="190"/>
      <c r="R181" s="190"/>
      <c r="T181" s="190"/>
      <c r="U181" s="190"/>
      <c r="V181" s="190"/>
      <c r="W181" s="190"/>
      <c r="X181" s="190"/>
    </row>
    <row r="182" spans="8:24" x14ac:dyDescent="0.15">
      <c r="H182" s="167" t="s">
        <v>1504</v>
      </c>
      <c r="I182" s="167"/>
      <c r="J182" s="167"/>
      <c r="K182" s="167"/>
      <c r="L182" s="167"/>
      <c r="N182" s="167" t="s">
        <v>1505</v>
      </c>
      <c r="O182" s="167"/>
      <c r="P182" s="167"/>
      <c r="Q182" s="167"/>
      <c r="R182" s="167"/>
      <c r="T182" s="167" t="s">
        <v>1506</v>
      </c>
      <c r="U182" s="167"/>
      <c r="V182" s="167"/>
      <c r="W182" s="167"/>
      <c r="X182" s="167"/>
    </row>
    <row r="183" spans="8:24" x14ac:dyDescent="0.15">
      <c r="H183" s="167"/>
      <c r="I183" s="167"/>
      <c r="J183" s="167"/>
      <c r="K183" s="167"/>
      <c r="L183" s="167"/>
      <c r="N183" s="167"/>
      <c r="O183" s="167"/>
      <c r="P183" s="167"/>
      <c r="Q183" s="167"/>
      <c r="R183" s="167"/>
      <c r="T183" s="167"/>
      <c r="U183" s="167"/>
      <c r="V183" s="167"/>
      <c r="W183" s="167"/>
      <c r="X183" s="167"/>
    </row>
    <row r="184" spans="8:24" ht="16" x14ac:dyDescent="0.2">
      <c r="H184" s="119" t="s">
        <v>1122</v>
      </c>
      <c r="I184" s="119" t="s">
        <v>1123</v>
      </c>
      <c r="J184" s="119" t="s">
        <v>1124</v>
      </c>
      <c r="K184" s="119" t="s">
        <v>1125</v>
      </c>
      <c r="L184" s="119" t="s">
        <v>1126</v>
      </c>
      <c r="N184" s="119" t="s">
        <v>1122</v>
      </c>
      <c r="O184" s="119" t="s">
        <v>1123</v>
      </c>
      <c r="P184" s="119" t="s">
        <v>1124</v>
      </c>
      <c r="Q184" s="119" t="s">
        <v>1125</v>
      </c>
      <c r="R184" s="119" t="s">
        <v>1126</v>
      </c>
      <c r="T184" s="119" t="s">
        <v>1122</v>
      </c>
      <c r="U184" s="119" t="s">
        <v>1123</v>
      </c>
      <c r="V184" s="119" t="s">
        <v>1124</v>
      </c>
      <c r="W184" s="119" t="s">
        <v>1125</v>
      </c>
      <c r="X184" s="119" t="s">
        <v>1126</v>
      </c>
    </row>
    <row r="185" spans="8:24" x14ac:dyDescent="0.15">
      <c r="H185" s="108" t="s">
        <v>1503</v>
      </c>
      <c r="I185" s="106">
        <v>1</v>
      </c>
      <c r="J185" s="108" t="s">
        <v>1036</v>
      </c>
      <c r="K185" s="107">
        <f>INGREDIENTS!F264</f>
        <v>1.9</v>
      </c>
      <c r="L185" s="107">
        <f t="shared" ref="L185:L187" si="31">K185*I185</f>
        <v>1.9</v>
      </c>
      <c r="N185" s="108" t="s">
        <v>1503</v>
      </c>
      <c r="O185" s="106">
        <v>1</v>
      </c>
      <c r="P185" s="108" t="s">
        <v>1036</v>
      </c>
      <c r="Q185" s="107">
        <f>INGREDIENTS!F264</f>
        <v>1.9</v>
      </c>
      <c r="R185" s="107">
        <f t="shared" ref="R185:R187" si="32">Q185*O185</f>
        <v>1.9</v>
      </c>
      <c r="T185" s="108" t="s">
        <v>1503</v>
      </c>
      <c r="U185" s="106">
        <v>1</v>
      </c>
      <c r="V185" s="108" t="s">
        <v>1036</v>
      </c>
      <c r="W185" s="107">
        <f>INGREDIENTS!F264</f>
        <v>1.9</v>
      </c>
      <c r="X185" s="107">
        <f t="shared" ref="X185:X187" si="33">W185*U185</f>
        <v>1.9</v>
      </c>
    </row>
    <row r="186" spans="8:24" x14ac:dyDescent="0.15">
      <c r="H186" s="108" t="s">
        <v>1345</v>
      </c>
      <c r="I186" s="106">
        <v>1</v>
      </c>
      <c r="J186" s="106" t="s">
        <v>1036</v>
      </c>
      <c r="K186" s="107">
        <f>INGREDIENTS!F205</f>
        <v>0.26</v>
      </c>
      <c r="L186" s="107">
        <f t="shared" si="31"/>
        <v>0.26</v>
      </c>
      <c r="N186" s="108" t="s">
        <v>1166</v>
      </c>
      <c r="O186" s="106">
        <v>1</v>
      </c>
      <c r="P186" s="106" t="s">
        <v>1036</v>
      </c>
      <c r="Q186" s="107">
        <f>INGREDIENTS!F19</f>
        <v>0.32</v>
      </c>
      <c r="R186" s="107">
        <f t="shared" si="32"/>
        <v>0.32</v>
      </c>
      <c r="T186" s="108" t="s">
        <v>1347</v>
      </c>
      <c r="U186" s="106">
        <v>1</v>
      </c>
      <c r="V186" s="106" t="s">
        <v>1036</v>
      </c>
      <c r="W186" s="107">
        <f>INGREDIENTS!F207</f>
        <v>0.38</v>
      </c>
      <c r="X186" s="107">
        <f t="shared" si="33"/>
        <v>0.38</v>
      </c>
    </row>
    <row r="187" spans="8:24" x14ac:dyDescent="0.15">
      <c r="H187" s="108" t="s">
        <v>1386</v>
      </c>
      <c r="I187" s="106">
        <v>1</v>
      </c>
      <c r="J187" s="106" t="s">
        <v>1103</v>
      </c>
      <c r="K187" s="107">
        <f>INGREDIENTS!F24</f>
        <v>0.22</v>
      </c>
      <c r="L187" s="107">
        <f t="shared" si="31"/>
        <v>0.22</v>
      </c>
      <c r="N187" s="108" t="s">
        <v>1387</v>
      </c>
      <c r="O187" s="106">
        <v>1</v>
      </c>
      <c r="P187" s="106" t="s">
        <v>1103</v>
      </c>
      <c r="Q187" s="107">
        <f>INGREDIENTS!F20</f>
        <v>0.22</v>
      </c>
      <c r="R187" s="107">
        <f t="shared" si="32"/>
        <v>0.22</v>
      </c>
      <c r="T187" s="108" t="s">
        <v>1388</v>
      </c>
      <c r="U187" s="106">
        <v>1</v>
      </c>
      <c r="V187" s="106" t="s">
        <v>1103</v>
      </c>
      <c r="W187" s="107">
        <f>INGREDIENTS!F20</f>
        <v>0.22</v>
      </c>
      <c r="X187" s="107">
        <f t="shared" si="33"/>
        <v>0.22</v>
      </c>
    </row>
    <row r="188" spans="8:24" x14ac:dyDescent="0.15">
      <c r="H188" s="108"/>
      <c r="I188" s="106"/>
      <c r="J188" s="108"/>
      <c r="K188" s="107"/>
      <c r="L188" s="107"/>
      <c r="N188" s="108"/>
      <c r="O188" s="106"/>
      <c r="P188" s="108"/>
      <c r="Q188" s="107"/>
      <c r="R188" s="107"/>
      <c r="T188" s="108"/>
      <c r="U188" s="106"/>
      <c r="V188" s="108"/>
      <c r="W188" s="107"/>
      <c r="X188" s="107"/>
    </row>
    <row r="189" spans="8:24" x14ac:dyDescent="0.15">
      <c r="H189" s="106"/>
      <c r="I189" s="106"/>
      <c r="J189" s="106"/>
      <c r="K189" s="107"/>
      <c r="L189" s="107"/>
      <c r="N189" s="106"/>
      <c r="O189" s="106"/>
      <c r="P189" s="106"/>
      <c r="Q189" s="107"/>
      <c r="R189" s="107"/>
      <c r="T189" s="106"/>
      <c r="U189" s="106"/>
      <c r="V189" s="106"/>
      <c r="W189" s="107"/>
      <c r="X189" s="107"/>
    </row>
    <row r="190" spans="8:24" ht="18" x14ac:dyDescent="0.2">
      <c r="L190" s="110">
        <f>SUM(L185:L189)</f>
        <v>2.3800000000000003</v>
      </c>
      <c r="R190" s="110">
        <f>SUM(R185:R189)</f>
        <v>2.44</v>
      </c>
      <c r="X190" s="110">
        <f>SUM(X185:X189)</f>
        <v>2.5</v>
      </c>
    </row>
    <row r="191" spans="8:24" x14ac:dyDescent="0.15">
      <c r="H191" t="s">
        <v>1132</v>
      </c>
      <c r="I191" s="58">
        <v>12</v>
      </c>
      <c r="N191" t="s">
        <v>1132</v>
      </c>
      <c r="O191" s="58">
        <v>12</v>
      </c>
      <c r="T191" t="s">
        <v>1132</v>
      </c>
      <c r="U191" s="58">
        <v>13</v>
      </c>
    </row>
    <row r="192" spans="8:24" ht="18" x14ac:dyDescent="0.2">
      <c r="H192" t="s">
        <v>1125</v>
      </c>
      <c r="I192" s="58">
        <f>L190+5%</f>
        <v>2.4300000000000002</v>
      </c>
      <c r="J192" s="111">
        <f>I192/I191</f>
        <v>0.20250000000000001</v>
      </c>
      <c r="N192" t="s">
        <v>1125</v>
      </c>
      <c r="O192" s="58">
        <f>R190+5%</f>
        <v>2.4899999999999998</v>
      </c>
      <c r="P192" s="111">
        <f>O192/O191</f>
        <v>0.20749999999999999</v>
      </c>
      <c r="T192" t="s">
        <v>1125</v>
      </c>
      <c r="U192" s="58">
        <f>X190+5%</f>
        <v>2.5499999999999998</v>
      </c>
      <c r="V192" s="111">
        <f>U192/U191</f>
        <v>0.19615384615384615</v>
      </c>
    </row>
    <row r="193" spans="8:24" x14ac:dyDescent="0.15">
      <c r="H193" t="s">
        <v>1133</v>
      </c>
      <c r="I193" s="58">
        <f>I191-I192</f>
        <v>9.57</v>
      </c>
      <c r="J193" s="112"/>
      <c r="N193" t="s">
        <v>1133</v>
      </c>
      <c r="O193" s="58">
        <f>O191-O192</f>
        <v>9.51</v>
      </c>
      <c r="P193" s="112"/>
      <c r="T193" t="s">
        <v>1133</v>
      </c>
      <c r="U193" s="58">
        <f>U191-U192</f>
        <v>10.45</v>
      </c>
      <c r="V193" s="112"/>
    </row>
    <row r="194" spans="8:24" x14ac:dyDescent="0.15">
      <c r="H194" s="190"/>
      <c r="I194" s="190"/>
      <c r="J194" s="190"/>
      <c r="K194" s="190"/>
      <c r="L194" s="190"/>
      <c r="N194" s="190"/>
      <c r="O194" s="190"/>
      <c r="P194" s="190"/>
      <c r="Q194" s="190"/>
      <c r="R194" s="190"/>
      <c r="T194" s="190"/>
      <c r="U194" s="190"/>
      <c r="V194" s="190"/>
      <c r="W194" s="190"/>
      <c r="X194" s="190"/>
    </row>
    <row r="195" spans="8:24" x14ac:dyDescent="0.15">
      <c r="H195" s="190"/>
      <c r="I195" s="190"/>
      <c r="J195" s="190"/>
      <c r="K195" s="190"/>
      <c r="L195" s="190"/>
      <c r="N195" s="190"/>
      <c r="O195" s="190"/>
      <c r="P195" s="190"/>
      <c r="Q195" s="190"/>
      <c r="R195" s="190"/>
      <c r="T195" s="190"/>
      <c r="U195" s="190"/>
      <c r="V195" s="190"/>
      <c r="W195" s="190"/>
      <c r="X195" s="190"/>
    </row>
    <row r="196" spans="8:24" x14ac:dyDescent="0.15">
      <c r="H196" s="167" t="s">
        <v>1507</v>
      </c>
      <c r="I196" s="167"/>
      <c r="J196" s="167"/>
      <c r="K196" s="167"/>
      <c r="L196" s="167"/>
      <c r="N196" s="167" t="s">
        <v>1508</v>
      </c>
      <c r="O196" s="167"/>
      <c r="P196" s="167"/>
      <c r="Q196" s="167"/>
      <c r="R196" s="167"/>
      <c r="T196" s="167" t="s">
        <v>1509</v>
      </c>
      <c r="U196" s="167"/>
      <c r="V196" s="167"/>
      <c r="W196" s="167"/>
      <c r="X196" s="167"/>
    </row>
    <row r="197" spans="8:24" x14ac:dyDescent="0.15">
      <c r="H197" s="167"/>
      <c r="I197" s="167"/>
      <c r="J197" s="167"/>
      <c r="K197" s="167"/>
      <c r="L197" s="167"/>
      <c r="N197" s="167"/>
      <c r="O197" s="167"/>
      <c r="P197" s="167"/>
      <c r="Q197" s="167"/>
      <c r="R197" s="167"/>
      <c r="T197" s="167"/>
      <c r="U197" s="167"/>
      <c r="V197" s="167"/>
      <c r="W197" s="167"/>
      <c r="X197" s="167"/>
    </row>
    <row r="198" spans="8:24" ht="16" x14ac:dyDescent="0.2">
      <c r="H198" s="119" t="s">
        <v>1122</v>
      </c>
      <c r="I198" s="119" t="s">
        <v>1123</v>
      </c>
      <c r="J198" s="119" t="s">
        <v>1124</v>
      </c>
      <c r="K198" s="119" t="s">
        <v>1125</v>
      </c>
      <c r="L198" s="119" t="s">
        <v>1126</v>
      </c>
      <c r="N198" s="119" t="s">
        <v>1122</v>
      </c>
      <c r="O198" s="119" t="s">
        <v>1123</v>
      </c>
      <c r="P198" s="119" t="s">
        <v>1124</v>
      </c>
      <c r="Q198" s="119" t="s">
        <v>1125</v>
      </c>
      <c r="R198" s="119" t="s">
        <v>1126</v>
      </c>
      <c r="T198" s="119" t="s">
        <v>1122</v>
      </c>
      <c r="U198" s="119" t="s">
        <v>1123</v>
      </c>
      <c r="V198" s="119" t="s">
        <v>1124</v>
      </c>
      <c r="W198" s="119" t="s">
        <v>1125</v>
      </c>
      <c r="X198" s="119" t="s">
        <v>1126</v>
      </c>
    </row>
    <row r="199" spans="8:24" x14ac:dyDescent="0.15">
      <c r="H199" s="108" t="s">
        <v>1117</v>
      </c>
      <c r="I199" s="106">
        <v>10</v>
      </c>
      <c r="J199" s="108" t="s">
        <v>1176</v>
      </c>
      <c r="K199" s="107">
        <f>INGREDIENTS!F170</f>
        <v>0.125</v>
      </c>
      <c r="L199" s="107">
        <f>K199*I199</f>
        <v>1.25</v>
      </c>
      <c r="N199" s="108" t="s">
        <v>1117</v>
      </c>
      <c r="O199" s="106">
        <v>12</v>
      </c>
      <c r="P199" s="108" t="s">
        <v>1176</v>
      </c>
      <c r="Q199" s="107">
        <f>INGREDIENTS!F170</f>
        <v>0.125</v>
      </c>
      <c r="R199" s="107">
        <f>Q199*O199</f>
        <v>1.5</v>
      </c>
      <c r="T199" s="108" t="s">
        <v>1117</v>
      </c>
      <c r="U199" s="106">
        <v>15</v>
      </c>
      <c r="V199" s="108" t="s">
        <v>1176</v>
      </c>
      <c r="W199" s="107">
        <f>INGREDIENTS!F170</f>
        <v>0.125</v>
      </c>
      <c r="X199" s="107">
        <f>W199*U199</f>
        <v>1.875</v>
      </c>
    </row>
    <row r="200" spans="8:24" x14ac:dyDescent="0.15">
      <c r="H200" s="108" t="s">
        <v>1382</v>
      </c>
      <c r="I200" s="106">
        <v>205</v>
      </c>
      <c r="J200" s="108" t="s">
        <v>1001</v>
      </c>
      <c r="K200" s="107">
        <f>INGREDIENTS!F38</f>
        <v>1.426E-2</v>
      </c>
      <c r="L200" s="107">
        <f t="shared" ref="L200:L202" si="34">K200*I200</f>
        <v>2.9233000000000002</v>
      </c>
      <c r="N200" s="108" t="s">
        <v>1382</v>
      </c>
      <c r="O200" s="106">
        <v>215</v>
      </c>
      <c r="P200" s="108" t="s">
        <v>1001</v>
      </c>
      <c r="Q200" s="107">
        <f>INGREDIENTS!F38</f>
        <v>1.426E-2</v>
      </c>
      <c r="R200" s="107">
        <f t="shared" ref="R200:R202" si="35">Q200*O200</f>
        <v>3.0659000000000001</v>
      </c>
      <c r="T200" s="108" t="s">
        <v>1382</v>
      </c>
      <c r="U200" s="106">
        <v>225</v>
      </c>
      <c r="V200" s="108" t="s">
        <v>1001</v>
      </c>
      <c r="W200" s="107">
        <f>INGREDIENTS!F38</f>
        <v>1.426E-2</v>
      </c>
      <c r="X200" s="107">
        <f t="shared" ref="X200:X202" si="36">W200*U200</f>
        <v>3.2084999999999999</v>
      </c>
    </row>
    <row r="201" spans="8:24" x14ac:dyDescent="0.15">
      <c r="H201" s="108" t="s">
        <v>1345</v>
      </c>
      <c r="I201" s="106">
        <v>1</v>
      </c>
      <c r="J201" s="106" t="s">
        <v>1036</v>
      </c>
      <c r="K201" s="107">
        <f>INGREDIENTS!F23</f>
        <v>0.25</v>
      </c>
      <c r="L201" s="107">
        <f t="shared" si="34"/>
        <v>0.25</v>
      </c>
      <c r="N201" s="108" t="s">
        <v>1166</v>
      </c>
      <c r="O201" s="106">
        <v>1</v>
      </c>
      <c r="P201" s="106" t="s">
        <v>1036</v>
      </c>
      <c r="Q201" s="107">
        <f>INGREDIENTS!F19</f>
        <v>0.32</v>
      </c>
      <c r="R201" s="107">
        <f t="shared" si="35"/>
        <v>0.32</v>
      </c>
      <c r="T201" s="108" t="s">
        <v>1347</v>
      </c>
      <c r="U201" s="106">
        <v>1</v>
      </c>
      <c r="V201" s="106" t="s">
        <v>1036</v>
      </c>
      <c r="W201" s="107">
        <f>INGREDIENTS!F32</f>
        <v>0.38</v>
      </c>
      <c r="X201" s="107">
        <f t="shared" si="36"/>
        <v>0.38</v>
      </c>
    </row>
    <row r="202" spans="8:24" x14ac:dyDescent="0.15">
      <c r="H202" s="108" t="s">
        <v>1386</v>
      </c>
      <c r="I202" s="106">
        <v>1</v>
      </c>
      <c r="J202" s="106" t="s">
        <v>1103</v>
      </c>
      <c r="K202" s="107">
        <f>INGREDIENTS!F24</f>
        <v>0.22</v>
      </c>
      <c r="L202" s="107">
        <f t="shared" si="34"/>
        <v>0.22</v>
      </c>
      <c r="N202" s="108" t="s">
        <v>1387</v>
      </c>
      <c r="O202" s="106">
        <v>1</v>
      </c>
      <c r="P202" s="106" t="s">
        <v>1103</v>
      </c>
      <c r="Q202" s="107">
        <f>INGREDIENTS!F20</f>
        <v>0.22</v>
      </c>
      <c r="R202" s="107">
        <f t="shared" si="35"/>
        <v>0.22</v>
      </c>
      <c r="T202" s="108" t="s">
        <v>1388</v>
      </c>
      <c r="U202" s="106">
        <v>1</v>
      </c>
      <c r="V202" s="106" t="s">
        <v>1103</v>
      </c>
      <c r="W202" s="107">
        <f>INGREDIENTS!F20</f>
        <v>0.22</v>
      </c>
      <c r="X202" s="107">
        <f t="shared" si="36"/>
        <v>0.22</v>
      </c>
    </row>
    <row r="203" spans="8:24" x14ac:dyDescent="0.15">
      <c r="H203" s="108"/>
      <c r="I203" s="106"/>
      <c r="J203" s="108"/>
      <c r="K203" s="107"/>
      <c r="L203" s="107"/>
      <c r="N203" s="108"/>
      <c r="O203" s="106"/>
      <c r="P203" s="108"/>
      <c r="Q203" s="107"/>
      <c r="R203" s="107"/>
      <c r="T203" s="108"/>
      <c r="U203" s="106"/>
      <c r="V203" s="108"/>
      <c r="W203" s="107"/>
      <c r="X203" s="107"/>
    </row>
    <row r="204" spans="8:24" x14ac:dyDescent="0.15">
      <c r="H204" s="106"/>
      <c r="I204" s="106"/>
      <c r="J204" s="106"/>
      <c r="K204" s="107"/>
      <c r="L204" s="107"/>
      <c r="N204" s="106"/>
      <c r="O204" s="106"/>
      <c r="P204" s="106"/>
      <c r="Q204" s="107"/>
      <c r="R204" s="107"/>
      <c r="T204" s="106"/>
      <c r="U204" s="106"/>
      <c r="V204" s="106"/>
      <c r="W204" s="107"/>
      <c r="X204" s="107"/>
    </row>
    <row r="205" spans="8:24" ht="18" x14ac:dyDescent="0.2">
      <c r="L205" s="110">
        <f>SUM(L199:L204)</f>
        <v>4.6433</v>
      </c>
      <c r="R205" s="110">
        <f>SUM(R199:R204)</f>
        <v>5.1059000000000001</v>
      </c>
      <c r="X205" s="110">
        <f>SUM(X199:X204)</f>
        <v>5.6834999999999996</v>
      </c>
    </row>
    <row r="206" spans="8:24" x14ac:dyDescent="0.15">
      <c r="H206" t="s">
        <v>1132</v>
      </c>
      <c r="I206" s="58">
        <v>12</v>
      </c>
      <c r="N206" t="s">
        <v>1132</v>
      </c>
      <c r="O206" s="58">
        <v>14</v>
      </c>
      <c r="T206" t="s">
        <v>1132</v>
      </c>
      <c r="U206" s="58">
        <v>16</v>
      </c>
    </row>
    <row r="207" spans="8:24" ht="18" x14ac:dyDescent="0.2">
      <c r="H207" t="s">
        <v>1125</v>
      </c>
      <c r="I207" s="58">
        <f>L205+5%</f>
        <v>4.6932999999999998</v>
      </c>
      <c r="J207" s="111">
        <f>I207/I206</f>
        <v>0.39110833333333334</v>
      </c>
      <c r="N207" t="s">
        <v>1125</v>
      </c>
      <c r="O207" s="58">
        <f>R205+5%</f>
        <v>5.1558999999999999</v>
      </c>
      <c r="P207" s="111">
        <f>O207/O206</f>
        <v>0.3682785714285714</v>
      </c>
      <c r="T207" t="s">
        <v>1125</v>
      </c>
      <c r="U207" s="58">
        <f>X205+5%</f>
        <v>5.7334999999999994</v>
      </c>
      <c r="V207" s="111">
        <f>U207/U206</f>
        <v>0.35834374999999996</v>
      </c>
    </row>
    <row r="208" spans="8:24" x14ac:dyDescent="0.15">
      <c r="H208" t="s">
        <v>1133</v>
      </c>
      <c r="I208" s="58">
        <f>I206-I207</f>
        <v>7.3067000000000002</v>
      </c>
      <c r="J208" s="112"/>
      <c r="N208" t="s">
        <v>1133</v>
      </c>
      <c r="O208" s="58">
        <f>O206-O207</f>
        <v>8.844100000000001</v>
      </c>
      <c r="P208" s="112"/>
      <c r="T208" t="s">
        <v>1133</v>
      </c>
      <c r="U208" s="58">
        <f>U206-U207</f>
        <v>10.266500000000001</v>
      </c>
      <c r="V208" s="112"/>
    </row>
    <row r="209" spans="8:24" x14ac:dyDescent="0.15">
      <c r="H209" s="190"/>
      <c r="I209" s="190"/>
      <c r="J209" s="190"/>
      <c r="K209" s="190"/>
      <c r="L209" s="190"/>
      <c r="N209" s="190"/>
      <c r="O209" s="190"/>
      <c r="P209" s="190"/>
      <c r="Q209" s="190"/>
      <c r="R209" s="190"/>
      <c r="T209" s="190"/>
      <c r="U209" s="190"/>
      <c r="V209" s="190"/>
      <c r="W209" s="190"/>
      <c r="X209" s="190"/>
    </row>
    <row r="210" spans="8:24" x14ac:dyDescent="0.15">
      <c r="H210" s="190"/>
      <c r="I210" s="190"/>
      <c r="J210" s="190"/>
      <c r="K210" s="190"/>
      <c r="L210" s="190"/>
      <c r="N210" s="190"/>
      <c r="O210" s="190"/>
      <c r="P210" s="190"/>
      <c r="Q210" s="190"/>
      <c r="R210" s="190"/>
      <c r="T210" s="190"/>
      <c r="U210" s="190"/>
      <c r="V210" s="190"/>
      <c r="W210" s="190"/>
      <c r="X210" s="190"/>
    </row>
    <row r="211" spans="8:24" x14ac:dyDescent="0.15">
      <c r="H211" s="167" t="s">
        <v>1515</v>
      </c>
      <c r="I211" s="167"/>
      <c r="J211" s="167"/>
      <c r="K211" s="167"/>
      <c r="L211" s="167"/>
      <c r="N211" s="167" t="s">
        <v>1515</v>
      </c>
      <c r="O211" s="167"/>
      <c r="P211" s="167"/>
      <c r="Q211" s="167"/>
      <c r="R211" s="167"/>
      <c r="T211" s="167" t="s">
        <v>1515</v>
      </c>
      <c r="U211" s="167"/>
      <c r="V211" s="167"/>
      <c r="W211" s="167"/>
      <c r="X211" s="167"/>
    </row>
    <row r="212" spans="8:24" x14ac:dyDescent="0.15">
      <c r="H212" s="167"/>
      <c r="I212" s="167"/>
      <c r="J212" s="167"/>
      <c r="K212" s="167"/>
      <c r="L212" s="167"/>
      <c r="N212" s="167"/>
      <c r="O212" s="167"/>
      <c r="P212" s="167"/>
      <c r="Q212" s="167"/>
      <c r="R212" s="167"/>
      <c r="T212" s="167"/>
      <c r="U212" s="167"/>
      <c r="V212" s="167"/>
      <c r="W212" s="167"/>
      <c r="X212" s="167"/>
    </row>
    <row r="213" spans="8:24" ht="16" x14ac:dyDescent="0.2">
      <c r="H213" s="119" t="s">
        <v>1122</v>
      </c>
      <c r="I213" s="119" t="s">
        <v>1123</v>
      </c>
      <c r="J213" s="119" t="s">
        <v>1124</v>
      </c>
      <c r="K213" s="119" t="s">
        <v>1125</v>
      </c>
      <c r="L213" s="119" t="s">
        <v>1126</v>
      </c>
      <c r="N213" s="119" t="s">
        <v>1122</v>
      </c>
      <c r="O213" s="119" t="s">
        <v>1123</v>
      </c>
      <c r="P213" s="119" t="s">
        <v>1124</v>
      </c>
      <c r="Q213" s="119" t="s">
        <v>1125</v>
      </c>
      <c r="R213" s="119" t="s">
        <v>1126</v>
      </c>
      <c r="T213" s="119" t="s">
        <v>1122</v>
      </c>
      <c r="U213" s="119" t="s">
        <v>1123</v>
      </c>
      <c r="V213" s="119" t="s">
        <v>1124</v>
      </c>
      <c r="W213" s="119" t="s">
        <v>1125</v>
      </c>
      <c r="X213" s="119" t="s">
        <v>1126</v>
      </c>
    </row>
    <row r="214" spans="8:24" x14ac:dyDescent="0.15">
      <c r="H214" s="106" t="s">
        <v>1516</v>
      </c>
      <c r="I214" s="106">
        <v>10</v>
      </c>
      <c r="J214" s="106" t="s">
        <v>1176</v>
      </c>
      <c r="K214" s="107">
        <f>INGREDIENTS!F58</f>
        <v>6.9500000000000006E-2</v>
      </c>
      <c r="L214" s="107">
        <f>K214*I214</f>
        <v>0.69500000000000006</v>
      </c>
      <c r="N214" s="106" t="s">
        <v>1516</v>
      </c>
      <c r="O214" s="106">
        <v>15</v>
      </c>
      <c r="P214" s="106" t="s">
        <v>1176</v>
      </c>
      <c r="Q214" s="107">
        <f>INGREDIENTS!F58</f>
        <v>6.9500000000000006E-2</v>
      </c>
      <c r="R214" s="107">
        <f>Q214*O214</f>
        <v>1.0425</v>
      </c>
      <c r="T214" s="106" t="s">
        <v>1516</v>
      </c>
      <c r="U214" s="106">
        <v>20</v>
      </c>
      <c r="V214" s="106" t="s">
        <v>1176</v>
      </c>
      <c r="W214" s="107">
        <f>INGREDIENTS!F58</f>
        <v>6.9500000000000006E-2</v>
      </c>
      <c r="X214" s="107">
        <f>W214*U214</f>
        <v>1.3900000000000001</v>
      </c>
    </row>
    <row r="215" spans="8:24" x14ac:dyDescent="0.15">
      <c r="H215" s="106" t="s">
        <v>1382</v>
      </c>
      <c r="I215" s="106">
        <v>180</v>
      </c>
      <c r="J215" s="106" t="s">
        <v>1001</v>
      </c>
      <c r="K215" s="107">
        <f>INGREDIENTS!F38</f>
        <v>1.426E-2</v>
      </c>
      <c r="L215" s="107">
        <f>K215*I215</f>
        <v>2.5668000000000002</v>
      </c>
      <c r="N215" s="106" t="s">
        <v>1382</v>
      </c>
      <c r="O215" s="106">
        <v>230</v>
      </c>
      <c r="P215" s="106" t="s">
        <v>1001</v>
      </c>
      <c r="Q215" s="107">
        <f>INGREDIENTS!F38</f>
        <v>1.426E-2</v>
      </c>
      <c r="R215" s="107">
        <f>Q215*O215</f>
        <v>3.2797999999999998</v>
      </c>
      <c r="T215" s="106" t="s">
        <v>1382</v>
      </c>
      <c r="U215" s="106">
        <v>320</v>
      </c>
      <c r="V215" s="106" t="s">
        <v>1001</v>
      </c>
      <c r="W215" s="107">
        <f>INGREDIENTS!F38</f>
        <v>1.426E-2</v>
      </c>
      <c r="X215" s="107">
        <f>W215*U215</f>
        <v>4.5632000000000001</v>
      </c>
    </row>
    <row r="216" spans="8:24" x14ac:dyDescent="0.15">
      <c r="H216" s="106" t="s">
        <v>1345</v>
      </c>
      <c r="I216" s="106">
        <v>1</v>
      </c>
      <c r="J216" s="106" t="s">
        <v>1036</v>
      </c>
      <c r="K216" s="107">
        <f>INGREDIENTS!F38</f>
        <v>1.426E-2</v>
      </c>
      <c r="L216" s="107">
        <f>K216*I216</f>
        <v>1.426E-2</v>
      </c>
      <c r="N216" s="106" t="s">
        <v>1166</v>
      </c>
      <c r="O216" s="106">
        <v>1</v>
      </c>
      <c r="P216" s="106" t="s">
        <v>1036</v>
      </c>
      <c r="Q216" s="107">
        <f>INGREDIENTS!F19</f>
        <v>0.32</v>
      </c>
      <c r="R216" s="107">
        <f>Q216*O216</f>
        <v>0.32</v>
      </c>
      <c r="T216" s="106" t="s">
        <v>1347</v>
      </c>
      <c r="U216" s="106">
        <v>1</v>
      </c>
      <c r="V216" s="106" t="s">
        <v>1036</v>
      </c>
      <c r="W216" s="107">
        <f>INGREDIENTS!F32</f>
        <v>0.38</v>
      </c>
      <c r="X216" s="107">
        <f>W216*U216</f>
        <v>0.38</v>
      </c>
    </row>
    <row r="217" spans="8:24" x14ac:dyDescent="0.15">
      <c r="H217" s="106" t="s">
        <v>1386</v>
      </c>
      <c r="I217" s="106">
        <v>1</v>
      </c>
      <c r="J217" s="106" t="s">
        <v>1103</v>
      </c>
      <c r="K217" s="107">
        <f>INGREDIENTS!F39</f>
        <v>0</v>
      </c>
      <c r="L217" s="107">
        <f>K217*I217</f>
        <v>0</v>
      </c>
      <c r="N217" s="106" t="s">
        <v>1387</v>
      </c>
      <c r="O217" s="106">
        <v>1</v>
      </c>
      <c r="P217" s="106" t="s">
        <v>1103</v>
      </c>
      <c r="Q217" s="107">
        <f>INGREDIENTS!F20</f>
        <v>0.22</v>
      </c>
      <c r="R217" s="107">
        <f>Q217*O217</f>
        <v>0.22</v>
      </c>
      <c r="T217" s="106" t="s">
        <v>1388</v>
      </c>
      <c r="U217" s="106">
        <v>1</v>
      </c>
      <c r="V217" s="106" t="s">
        <v>1103</v>
      </c>
      <c r="W217" s="107">
        <f>INGREDIENTS!F20</f>
        <v>0.22</v>
      </c>
      <c r="X217" s="107">
        <f>W217*U217</f>
        <v>0.22</v>
      </c>
    </row>
    <row r="218" spans="8:24" x14ac:dyDescent="0.15">
      <c r="H218" s="106"/>
      <c r="I218" s="106"/>
      <c r="J218" s="106"/>
      <c r="K218" s="107"/>
      <c r="L218" s="107"/>
      <c r="N218" s="106"/>
      <c r="O218" s="106"/>
      <c r="P218" s="106"/>
      <c r="Q218" s="107"/>
      <c r="R218" s="107"/>
      <c r="T218" s="106"/>
      <c r="U218" s="106"/>
      <c r="V218" s="106"/>
      <c r="W218" s="107"/>
      <c r="X218" s="107"/>
    </row>
    <row r="219" spans="8:24" x14ac:dyDescent="0.15">
      <c r="H219" s="106"/>
      <c r="I219" s="106"/>
      <c r="J219" s="106"/>
      <c r="K219" s="107"/>
      <c r="L219" s="107"/>
      <c r="N219" s="106"/>
      <c r="O219" s="106"/>
      <c r="P219" s="106"/>
      <c r="Q219" s="107"/>
      <c r="R219" s="107"/>
      <c r="T219" s="106"/>
      <c r="U219" s="106"/>
      <c r="V219" s="106"/>
      <c r="W219" s="107"/>
      <c r="X219" s="107"/>
    </row>
    <row r="220" spans="8:24" ht="18" x14ac:dyDescent="0.2">
      <c r="L220" s="110">
        <f>SUM(L214:L219)</f>
        <v>3.2760600000000002</v>
      </c>
      <c r="R220" s="110">
        <f>SUM(R214:R219)</f>
        <v>4.8623000000000003</v>
      </c>
      <c r="X220" s="110">
        <f>SUM(X214:X219)</f>
        <v>6.5532000000000004</v>
      </c>
    </row>
    <row r="221" spans="8:24" x14ac:dyDescent="0.15">
      <c r="H221" t="s">
        <v>1132</v>
      </c>
      <c r="I221" s="58">
        <v>12</v>
      </c>
      <c r="N221" t="s">
        <v>1132</v>
      </c>
      <c r="O221" s="58">
        <v>12</v>
      </c>
      <c r="T221" t="s">
        <v>1132</v>
      </c>
      <c r="U221" s="58">
        <v>12</v>
      </c>
    </row>
    <row r="222" spans="8:24" ht="18" x14ac:dyDescent="0.2">
      <c r="H222" t="s">
        <v>1125</v>
      </c>
      <c r="I222" s="58">
        <f>L220+5%</f>
        <v>3.32606</v>
      </c>
      <c r="J222" s="111">
        <f>I222/I221</f>
        <v>0.27717166666666665</v>
      </c>
      <c r="N222" t="s">
        <v>1125</v>
      </c>
      <c r="O222" s="58">
        <f>R220+5%</f>
        <v>4.9123000000000001</v>
      </c>
      <c r="P222" s="111">
        <f>O222/O221</f>
        <v>0.40935833333333332</v>
      </c>
      <c r="T222" t="s">
        <v>1125</v>
      </c>
      <c r="U222" s="58">
        <f>X220+5%</f>
        <v>6.6032000000000002</v>
      </c>
      <c r="V222" s="111">
        <f>U222/U221</f>
        <v>0.55026666666666668</v>
      </c>
    </row>
    <row r="223" spans="8:24" x14ac:dyDescent="0.15">
      <c r="H223" t="s">
        <v>1133</v>
      </c>
      <c r="I223" s="58">
        <f>I221-I222</f>
        <v>8.67394</v>
      </c>
      <c r="J223" s="112"/>
      <c r="N223" t="s">
        <v>1133</v>
      </c>
      <c r="O223" s="58">
        <f>O221-O222</f>
        <v>7.0876999999999999</v>
      </c>
      <c r="P223" s="112"/>
      <c r="T223" t="s">
        <v>1133</v>
      </c>
      <c r="U223" s="58">
        <f>U221-U222</f>
        <v>5.3967999999999998</v>
      </c>
      <c r="V223" s="112"/>
    </row>
  </sheetData>
  <mergeCells count="100">
    <mergeCell ref="B18:F20"/>
    <mergeCell ref="B21:F22"/>
    <mergeCell ref="H194:L195"/>
    <mergeCell ref="N194:R195"/>
    <mergeCell ref="T194:X195"/>
    <mergeCell ref="T120:X121"/>
    <mergeCell ref="H164:L165"/>
    <mergeCell ref="H166:L167"/>
    <mergeCell ref="N164:R165"/>
    <mergeCell ref="N166:R167"/>
    <mergeCell ref="T164:X165"/>
    <mergeCell ref="T166:X167"/>
    <mergeCell ref="N136:R137"/>
    <mergeCell ref="N138:R138"/>
    <mergeCell ref="T136:X137"/>
    <mergeCell ref="T138:X138"/>
    <mergeCell ref="H196:L197"/>
    <mergeCell ref="N196:R197"/>
    <mergeCell ref="T196:X197"/>
    <mergeCell ref="H180:L181"/>
    <mergeCell ref="N180:R181"/>
    <mergeCell ref="T180:X181"/>
    <mergeCell ref="H182:L183"/>
    <mergeCell ref="N182:R183"/>
    <mergeCell ref="T182:X183"/>
    <mergeCell ref="N122:R122"/>
    <mergeCell ref="N123:R123"/>
    <mergeCell ref="T122:X122"/>
    <mergeCell ref="T123:X123"/>
    <mergeCell ref="H85:L86"/>
    <mergeCell ref="H53:L55"/>
    <mergeCell ref="H56:L57"/>
    <mergeCell ref="H68:L68"/>
    <mergeCell ref="N120:R121"/>
    <mergeCell ref="N40:R41"/>
    <mergeCell ref="T40:X41"/>
    <mergeCell ref="H37:L39"/>
    <mergeCell ref="N37:R39"/>
    <mergeCell ref="T37:X39"/>
    <mergeCell ref="H40:L41"/>
    <mergeCell ref="T69:X70"/>
    <mergeCell ref="N87:R88"/>
    <mergeCell ref="N52:R52"/>
    <mergeCell ref="T52:X52"/>
    <mergeCell ref="N85:R86"/>
    <mergeCell ref="T85:X86"/>
    <mergeCell ref="T87:X88"/>
    <mergeCell ref="N53:R55"/>
    <mergeCell ref="T53:X55"/>
    <mergeCell ref="N56:R57"/>
    <mergeCell ref="T56:X57"/>
    <mergeCell ref="N68:R68"/>
    <mergeCell ref="T68:X68"/>
    <mergeCell ref="N2:R4"/>
    <mergeCell ref="T2:X4"/>
    <mergeCell ref="N5:R6"/>
    <mergeCell ref="T5:X6"/>
    <mergeCell ref="H152:L153"/>
    <mergeCell ref="H150:L151"/>
    <mergeCell ref="N150:R151"/>
    <mergeCell ref="N152:R153"/>
    <mergeCell ref="T150:X151"/>
    <mergeCell ref="T152:X153"/>
    <mergeCell ref="N105:R106"/>
    <mergeCell ref="T105:X106"/>
    <mergeCell ref="H103:L104"/>
    <mergeCell ref="N103:R104"/>
    <mergeCell ref="T103:X104"/>
    <mergeCell ref="N69:R70"/>
    <mergeCell ref="N17:R17"/>
    <mergeCell ref="T17:X17"/>
    <mergeCell ref="H18:L20"/>
    <mergeCell ref="N18:R20"/>
    <mergeCell ref="T18:X20"/>
    <mergeCell ref="N21:R22"/>
    <mergeCell ref="T21:X22"/>
    <mergeCell ref="H36:L36"/>
    <mergeCell ref="N36:R36"/>
    <mergeCell ref="T36:X36"/>
    <mergeCell ref="N209:R210"/>
    <mergeCell ref="T209:X210"/>
    <mergeCell ref="H211:L212"/>
    <mergeCell ref="N211:R212"/>
    <mergeCell ref="T211:X212"/>
    <mergeCell ref="B36:F36"/>
    <mergeCell ref="B2:F4"/>
    <mergeCell ref="B5:F6"/>
    <mergeCell ref="B17:F17"/>
    <mergeCell ref="H209:L210"/>
    <mergeCell ref="H21:L22"/>
    <mergeCell ref="H17:L17"/>
    <mergeCell ref="H138:L138"/>
    <mergeCell ref="H122:L122"/>
    <mergeCell ref="H105:L106"/>
    <mergeCell ref="H120:L121"/>
    <mergeCell ref="H136:L137"/>
    <mergeCell ref="H123:L123"/>
    <mergeCell ref="H87:L88"/>
    <mergeCell ref="H69:L70"/>
    <mergeCell ref="H52:L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B04A-B2F5-0C4C-BBDC-66958B625E3C}">
  <dimension ref="A1:N450"/>
  <sheetViews>
    <sheetView zoomScale="57" zoomScaleNormal="90" workbookViewId="0">
      <selection activeCell="F13" sqref="F13"/>
    </sheetView>
  </sheetViews>
  <sheetFormatPr baseColWidth="10" defaultColWidth="8.83203125" defaultRowHeight="13" x14ac:dyDescent="0.15"/>
  <cols>
    <col min="1" max="1" width="5.5" customWidth="1"/>
    <col min="2" max="2" width="38.33203125" customWidth="1"/>
    <col min="3" max="3" width="11.1640625" bestFit="1" customWidth="1"/>
    <col min="4" max="4" width="9.83203125" bestFit="1" customWidth="1"/>
    <col min="5" max="5" width="12.33203125" bestFit="1" customWidth="1"/>
    <col min="6" max="6" width="14.83203125" bestFit="1" customWidth="1"/>
    <col min="7" max="7" width="6.1640625" style="122" customWidth="1"/>
    <col min="8" max="8" width="35.6640625" customWidth="1"/>
    <col min="9" max="9" width="11.1640625" bestFit="1" customWidth="1"/>
    <col min="10" max="10" width="10.5" bestFit="1" customWidth="1"/>
    <col min="11" max="11" width="12.33203125" bestFit="1" customWidth="1"/>
    <col min="12" max="12" width="14.83203125" bestFit="1" customWidth="1"/>
  </cols>
  <sheetData>
    <row r="1" spans="2:12" ht="16" customHeight="1" x14ac:dyDescent="0.15">
      <c r="G1" s="187"/>
    </row>
    <row r="2" spans="2:12" x14ac:dyDescent="0.15">
      <c r="B2" s="186" t="s">
        <v>1343</v>
      </c>
      <c r="C2" s="186"/>
      <c r="D2" s="186"/>
      <c r="E2" s="186"/>
      <c r="F2" s="186"/>
      <c r="G2" s="187"/>
      <c r="H2" s="186" t="s">
        <v>1344</v>
      </c>
      <c r="I2" s="186"/>
      <c r="J2" s="186"/>
      <c r="K2" s="186"/>
      <c r="L2" s="186"/>
    </row>
    <row r="3" spans="2:12" x14ac:dyDescent="0.15">
      <c r="B3" s="186"/>
      <c r="C3" s="186"/>
      <c r="D3" s="186"/>
      <c r="E3" s="186"/>
      <c r="F3" s="186"/>
      <c r="G3" s="187"/>
      <c r="H3" s="186"/>
      <c r="I3" s="186"/>
      <c r="J3" s="186"/>
      <c r="K3" s="186"/>
      <c r="L3" s="186"/>
    </row>
    <row r="4" spans="2:12" x14ac:dyDescent="0.15">
      <c r="B4" s="186"/>
      <c r="C4" s="186"/>
      <c r="D4" s="186"/>
      <c r="E4" s="186"/>
      <c r="F4" s="186"/>
      <c r="G4" s="187"/>
      <c r="H4" s="186"/>
      <c r="I4" s="186"/>
      <c r="J4" s="186"/>
      <c r="K4" s="186"/>
      <c r="L4" s="186"/>
    </row>
    <row r="5" spans="2:12" ht="23" customHeight="1" x14ac:dyDescent="0.15">
      <c r="B5" s="167" t="s">
        <v>1341</v>
      </c>
      <c r="C5" s="167"/>
      <c r="D5" s="167"/>
      <c r="E5" s="167"/>
      <c r="F5" s="167"/>
      <c r="G5" s="187"/>
      <c r="H5" s="167" t="s">
        <v>1342</v>
      </c>
      <c r="I5" s="167"/>
      <c r="J5" s="167"/>
      <c r="K5" s="167"/>
      <c r="L5" s="167"/>
    </row>
    <row r="6" spans="2:12" x14ac:dyDescent="0.15">
      <c r="B6" s="167"/>
      <c r="C6" s="167"/>
      <c r="D6" s="167"/>
      <c r="E6" s="167"/>
      <c r="F6" s="167"/>
      <c r="G6" s="187"/>
      <c r="H6" s="167"/>
      <c r="I6" s="167"/>
      <c r="J6" s="167"/>
      <c r="K6" s="167"/>
      <c r="L6" s="167"/>
    </row>
    <row r="7" spans="2:12" ht="16" x14ac:dyDescent="0.2">
      <c r="B7" s="119" t="s">
        <v>1122</v>
      </c>
      <c r="C7" s="119" t="s">
        <v>1123</v>
      </c>
      <c r="D7" s="119" t="s">
        <v>1124</v>
      </c>
      <c r="E7" s="119" t="s">
        <v>1125</v>
      </c>
      <c r="F7" s="119" t="s">
        <v>1126</v>
      </c>
      <c r="G7" s="187"/>
      <c r="H7" s="119" t="s">
        <v>1122</v>
      </c>
      <c r="I7" s="119" t="s">
        <v>1123</v>
      </c>
      <c r="J7" s="119" t="s">
        <v>1124</v>
      </c>
      <c r="K7" s="119" t="s">
        <v>1125</v>
      </c>
      <c r="L7" s="119" t="s">
        <v>1126</v>
      </c>
    </row>
    <row r="8" spans="2:12" x14ac:dyDescent="0.15">
      <c r="B8" s="106" t="s">
        <v>1163</v>
      </c>
      <c r="C8" s="106">
        <f>16+(18*0.025)</f>
        <v>16.45</v>
      </c>
      <c r="D8" s="106" t="s">
        <v>1129</v>
      </c>
      <c r="E8" s="107">
        <f>INGREDIENTS!F11</f>
        <v>7.0000000000000007E-2</v>
      </c>
      <c r="F8" s="107">
        <f>E8*C8</f>
        <v>1.1515</v>
      </c>
      <c r="G8" s="187"/>
      <c r="H8" s="106" t="s">
        <v>1163</v>
      </c>
      <c r="I8" s="106">
        <f>16+(18*0.025)</f>
        <v>16.45</v>
      </c>
      <c r="J8" s="106" t="s">
        <v>1129</v>
      </c>
      <c r="K8" s="107">
        <f>INGREDIENTS!F11</f>
        <v>7.0000000000000007E-2</v>
      </c>
      <c r="L8" s="107">
        <f>K8*I8</f>
        <v>1.1515</v>
      </c>
    </row>
    <row r="9" spans="2:12" x14ac:dyDescent="0.15">
      <c r="B9" s="106" t="s">
        <v>1164</v>
      </c>
      <c r="C9" s="106">
        <v>215</v>
      </c>
      <c r="D9" s="106" t="s">
        <v>1165</v>
      </c>
      <c r="E9" s="107">
        <f>INGREDIENTS!F38</f>
        <v>1.426E-2</v>
      </c>
      <c r="F9" s="107">
        <f>E9*C9</f>
        <v>3.0659000000000001</v>
      </c>
      <c r="G9" s="187"/>
      <c r="H9" s="106" t="s">
        <v>1164</v>
      </c>
      <c r="I9" s="106">
        <v>225</v>
      </c>
      <c r="J9" s="106" t="s">
        <v>1165</v>
      </c>
      <c r="K9" s="107">
        <f>INGREDIENTS!F38</f>
        <v>1.426E-2</v>
      </c>
      <c r="L9" s="107">
        <f>K9*I9</f>
        <v>3.2084999999999999</v>
      </c>
    </row>
    <row r="10" spans="2:12" x14ac:dyDescent="0.15">
      <c r="B10" s="108" t="s">
        <v>1356</v>
      </c>
      <c r="C10" s="106">
        <v>1</v>
      </c>
      <c r="D10" s="106" t="s">
        <v>1036</v>
      </c>
      <c r="E10" s="107">
        <f>INGREDIENTS!F21</f>
        <v>0.27</v>
      </c>
      <c r="F10" s="107">
        <f t="shared" ref="F10:F12" si="0">E10*C10</f>
        <v>0.27</v>
      </c>
      <c r="G10" s="187"/>
      <c r="H10" s="108" t="s">
        <v>1358</v>
      </c>
      <c r="I10" s="106">
        <v>1</v>
      </c>
      <c r="J10" s="106" t="s">
        <v>1036</v>
      </c>
      <c r="K10" s="107">
        <f>INGREDIENTS!F26</f>
        <v>0.28999999999999998</v>
      </c>
      <c r="L10" s="107">
        <f t="shared" ref="L10:L12" si="1">K10*I10</f>
        <v>0.28999999999999998</v>
      </c>
    </row>
    <row r="11" spans="2:12" x14ac:dyDescent="0.15">
      <c r="B11" s="108" t="s">
        <v>1357</v>
      </c>
      <c r="C11" s="106">
        <v>1</v>
      </c>
      <c r="D11" s="106" t="s">
        <v>1103</v>
      </c>
      <c r="E11" s="107">
        <f>INGREDIENTS!F22</f>
        <v>0.115</v>
      </c>
      <c r="F11" s="107">
        <f t="shared" si="0"/>
        <v>0.115</v>
      </c>
      <c r="G11" s="187"/>
      <c r="H11" s="108" t="s">
        <v>1359</v>
      </c>
      <c r="I11" s="106">
        <v>1</v>
      </c>
      <c r="J11" s="106" t="s">
        <v>1103</v>
      </c>
      <c r="K11" s="107">
        <f>INGREDIENTS!F27</f>
        <v>0.15</v>
      </c>
      <c r="L11" s="107">
        <f t="shared" si="1"/>
        <v>0.15</v>
      </c>
    </row>
    <row r="12" spans="2:12" x14ac:dyDescent="0.15">
      <c r="B12" s="108" t="s">
        <v>1171</v>
      </c>
      <c r="C12" s="106">
        <v>1</v>
      </c>
      <c r="D12" s="108" t="s">
        <v>1036</v>
      </c>
      <c r="E12" s="107">
        <f>INGREDIENTS!F28</f>
        <v>5.8000000000000003E-2</v>
      </c>
      <c r="F12" s="107">
        <f t="shared" si="0"/>
        <v>5.8000000000000003E-2</v>
      </c>
      <c r="G12" s="187"/>
      <c r="H12" s="108" t="s">
        <v>1171</v>
      </c>
      <c r="I12" s="106">
        <v>1</v>
      </c>
      <c r="J12" s="108" t="s">
        <v>1036</v>
      </c>
      <c r="K12" s="107">
        <f>INGREDIENTS!F28</f>
        <v>5.8000000000000003E-2</v>
      </c>
      <c r="L12" s="107">
        <f t="shared" si="1"/>
        <v>5.8000000000000003E-2</v>
      </c>
    </row>
    <row r="13" spans="2:12" ht="18" x14ac:dyDescent="0.2">
      <c r="F13" s="110">
        <f>SUM(F8:F12)</f>
        <v>4.6603999999999992</v>
      </c>
      <c r="G13" s="187"/>
      <c r="L13" s="110">
        <f>SUM(L8:L12)</f>
        <v>4.8579999999999997</v>
      </c>
    </row>
    <row r="14" spans="2:12" x14ac:dyDescent="0.15">
      <c r="B14" t="s">
        <v>1132</v>
      </c>
      <c r="C14" s="58">
        <v>8.5</v>
      </c>
      <c r="G14" s="187"/>
      <c r="H14" t="s">
        <v>1132</v>
      </c>
      <c r="I14" s="58">
        <v>11</v>
      </c>
    </row>
    <row r="15" spans="2:12" ht="18" x14ac:dyDescent="0.2">
      <c r="B15" t="s">
        <v>1125</v>
      </c>
      <c r="C15" s="58">
        <f>F13+5%</f>
        <v>4.710399999999999</v>
      </c>
      <c r="D15" s="111">
        <f>C15/C14</f>
        <v>0.55416470588235278</v>
      </c>
      <c r="G15" s="187"/>
      <c r="H15" t="s">
        <v>1125</v>
      </c>
      <c r="I15" s="58">
        <f>L13+5%</f>
        <v>4.9079999999999995</v>
      </c>
      <c r="J15" s="111">
        <f>I15/I14</f>
        <v>0.44618181818181812</v>
      </c>
    </row>
    <row r="16" spans="2:12" x14ac:dyDescent="0.15">
      <c r="B16" t="s">
        <v>1133</v>
      </c>
      <c r="C16" s="58">
        <f>C14-C15</f>
        <v>3.789600000000001</v>
      </c>
      <c r="D16" s="112"/>
      <c r="G16" s="187"/>
      <c r="H16" t="s">
        <v>1133</v>
      </c>
      <c r="I16" s="58">
        <f>I14-I15</f>
        <v>6.0920000000000005</v>
      </c>
      <c r="J16" s="112"/>
    </row>
    <row r="17" spans="1:12" ht="29" customHeight="1" x14ac:dyDescent="0.15">
      <c r="A17" s="113"/>
      <c r="B17" s="193"/>
      <c r="C17" s="193"/>
      <c r="D17" s="193"/>
      <c r="E17" s="193"/>
      <c r="F17" s="193"/>
      <c r="G17" s="187"/>
      <c r="H17" s="193"/>
      <c r="I17" s="193"/>
      <c r="J17" s="193"/>
      <c r="K17" s="193"/>
      <c r="L17" s="193"/>
    </row>
    <row r="18" spans="1:12" ht="23" customHeight="1" x14ac:dyDescent="0.15">
      <c r="B18" s="167" t="s">
        <v>1349</v>
      </c>
      <c r="C18" s="167"/>
      <c r="D18" s="167"/>
      <c r="E18" s="167"/>
      <c r="F18" s="167"/>
      <c r="G18" s="187"/>
      <c r="H18" s="167" t="s">
        <v>1349</v>
      </c>
      <c r="I18" s="167"/>
      <c r="J18" s="167"/>
      <c r="K18" s="167"/>
      <c r="L18" s="167"/>
    </row>
    <row r="19" spans="1:12" x14ac:dyDescent="0.15">
      <c r="B19" s="167"/>
      <c r="C19" s="167"/>
      <c r="D19" s="167"/>
      <c r="E19" s="167"/>
      <c r="F19" s="167"/>
      <c r="G19" s="187"/>
      <c r="H19" s="167"/>
      <c r="I19" s="167"/>
      <c r="J19" s="167"/>
      <c r="K19" s="167"/>
      <c r="L19" s="167"/>
    </row>
    <row r="20" spans="1:12" ht="16" x14ac:dyDescent="0.2">
      <c r="B20" s="119" t="s">
        <v>1122</v>
      </c>
      <c r="C20" s="119" t="s">
        <v>1123</v>
      </c>
      <c r="D20" s="119" t="s">
        <v>1124</v>
      </c>
      <c r="E20" s="119" t="s">
        <v>1125</v>
      </c>
      <c r="F20" s="119" t="s">
        <v>1126</v>
      </c>
      <c r="G20" s="187"/>
      <c r="H20" s="119" t="s">
        <v>1122</v>
      </c>
      <c r="I20" s="119" t="s">
        <v>1123</v>
      </c>
      <c r="J20" s="119" t="s">
        <v>1124</v>
      </c>
      <c r="K20" s="119" t="s">
        <v>1125</v>
      </c>
      <c r="L20" s="119" t="s">
        <v>1126</v>
      </c>
    </row>
    <row r="21" spans="1:12" x14ac:dyDescent="0.15">
      <c r="B21" s="106" t="s">
        <v>1163</v>
      </c>
      <c r="C21" s="106">
        <f>16+(18*0.025)</f>
        <v>16.45</v>
      </c>
      <c r="D21" s="106" t="s">
        <v>1129</v>
      </c>
      <c r="E21" s="107">
        <f>INGREDIENTS!F11</f>
        <v>7.0000000000000007E-2</v>
      </c>
      <c r="F21" s="107">
        <f>E21*C21</f>
        <v>1.1515</v>
      </c>
      <c r="G21" s="187"/>
      <c r="H21" s="106" t="s">
        <v>1163</v>
      </c>
      <c r="I21" s="106">
        <f>16+(18*0.025)</f>
        <v>16.45</v>
      </c>
      <c r="J21" s="106" t="s">
        <v>1129</v>
      </c>
      <c r="K21" s="107">
        <f>INGREDIENTS!$F$49</f>
        <v>9.300000000000001E-3</v>
      </c>
      <c r="L21" s="107">
        <f>K21*I21</f>
        <v>0.15298500000000001</v>
      </c>
    </row>
    <row r="22" spans="1:12" x14ac:dyDescent="0.15">
      <c r="B22" s="106" t="s">
        <v>1164</v>
      </c>
      <c r="C22" s="106">
        <v>215</v>
      </c>
      <c r="D22" s="106" t="s">
        <v>1165</v>
      </c>
      <c r="E22" s="107">
        <f>INGREDIENTS!$F$38</f>
        <v>1.426E-2</v>
      </c>
      <c r="F22" s="107">
        <f>E22*C22</f>
        <v>3.0659000000000001</v>
      </c>
      <c r="G22" s="187"/>
      <c r="H22" s="106" t="s">
        <v>1164</v>
      </c>
      <c r="I22" s="106">
        <v>225</v>
      </c>
      <c r="J22" s="106" t="s">
        <v>1165</v>
      </c>
      <c r="K22" s="107">
        <f>INGREDIENTS!$F$38</f>
        <v>1.426E-2</v>
      </c>
      <c r="L22" s="107">
        <f>K22*I22</f>
        <v>3.2084999999999999</v>
      </c>
    </row>
    <row r="23" spans="1:12" x14ac:dyDescent="0.15">
      <c r="B23" s="108" t="s">
        <v>1360</v>
      </c>
      <c r="C23" s="106">
        <v>1</v>
      </c>
      <c r="D23" s="106" t="s">
        <v>1036</v>
      </c>
      <c r="E23" s="107">
        <f>INGREDIENTS!F21</f>
        <v>0.27</v>
      </c>
      <c r="F23" s="107">
        <f t="shared" ref="F23:F26" si="2">E23*C23</f>
        <v>0.27</v>
      </c>
      <c r="G23" s="187"/>
      <c r="H23" s="108" t="s">
        <v>1361</v>
      </c>
      <c r="I23" s="106">
        <v>1</v>
      </c>
      <c r="J23" s="106" t="s">
        <v>1036</v>
      </c>
      <c r="K23" s="107">
        <f>INGREDIENTS!F26</f>
        <v>0.28999999999999998</v>
      </c>
      <c r="L23" s="107">
        <f t="shared" ref="L23:L26" si="3">K23*I23</f>
        <v>0.28999999999999998</v>
      </c>
    </row>
    <row r="24" spans="1:12" x14ac:dyDescent="0.15">
      <c r="B24" s="108" t="s">
        <v>1357</v>
      </c>
      <c r="C24" s="106">
        <v>1</v>
      </c>
      <c r="D24" s="106" t="s">
        <v>1103</v>
      </c>
      <c r="E24" s="107">
        <f>INGREDIENTS!F22</f>
        <v>0.115</v>
      </c>
      <c r="F24" s="107">
        <f t="shared" si="2"/>
        <v>0.115</v>
      </c>
      <c r="G24" s="187"/>
      <c r="H24" s="108" t="s">
        <v>1359</v>
      </c>
      <c r="I24" s="106">
        <v>1</v>
      </c>
      <c r="J24" s="106" t="s">
        <v>1103</v>
      </c>
      <c r="K24" s="107">
        <f>INGREDIENTS!F21</f>
        <v>0.27</v>
      </c>
      <c r="L24" s="107">
        <f t="shared" si="3"/>
        <v>0.27</v>
      </c>
    </row>
    <row r="25" spans="1:12" x14ac:dyDescent="0.15">
      <c r="B25" s="106" t="s">
        <v>1168</v>
      </c>
      <c r="C25" s="106">
        <v>10</v>
      </c>
      <c r="D25" s="106" t="s">
        <v>1001</v>
      </c>
      <c r="E25" s="107">
        <f>INGREDIENTS!$F$58</f>
        <v>6.9500000000000006E-2</v>
      </c>
      <c r="F25" s="107">
        <f t="shared" si="2"/>
        <v>0.69500000000000006</v>
      </c>
      <c r="G25" s="187"/>
      <c r="H25" s="106" t="s">
        <v>1168</v>
      </c>
      <c r="I25" s="106">
        <v>10</v>
      </c>
      <c r="J25" s="106" t="s">
        <v>1001</v>
      </c>
      <c r="K25" s="107">
        <f>INGREDIENTS!$F$58</f>
        <v>6.9500000000000006E-2</v>
      </c>
      <c r="L25" s="107">
        <f t="shared" si="3"/>
        <v>0.69500000000000006</v>
      </c>
    </row>
    <row r="26" spans="1:12" x14ac:dyDescent="0.15">
      <c r="B26" s="108" t="s">
        <v>1171</v>
      </c>
      <c r="C26" s="106">
        <v>1</v>
      </c>
      <c r="D26" s="108" t="s">
        <v>1036</v>
      </c>
      <c r="E26" s="107">
        <f>INGREDIENTS!F28</f>
        <v>5.8000000000000003E-2</v>
      </c>
      <c r="F26" s="107">
        <f t="shared" si="2"/>
        <v>5.8000000000000003E-2</v>
      </c>
      <c r="G26" s="187"/>
      <c r="H26" s="108" t="s">
        <v>1171</v>
      </c>
      <c r="I26" s="106">
        <v>1</v>
      </c>
      <c r="J26" s="108" t="s">
        <v>1036</v>
      </c>
      <c r="K26" s="107">
        <f>INGREDIENTS!F28</f>
        <v>5.8000000000000003E-2</v>
      </c>
      <c r="L26" s="107">
        <f t="shared" si="3"/>
        <v>5.8000000000000003E-2</v>
      </c>
    </row>
    <row r="27" spans="1:12" x14ac:dyDescent="0.15">
      <c r="B27" s="106"/>
      <c r="C27" s="106"/>
      <c r="D27" s="106"/>
      <c r="E27" s="107"/>
      <c r="F27" s="107"/>
      <c r="G27" s="187"/>
      <c r="H27" s="106"/>
      <c r="I27" s="106"/>
      <c r="J27" s="106"/>
      <c r="K27" s="107"/>
      <c r="L27" s="107"/>
    </row>
    <row r="28" spans="1:12" x14ac:dyDescent="0.15">
      <c r="B28" s="106"/>
      <c r="C28" s="106"/>
      <c r="D28" s="106"/>
      <c r="E28" s="107"/>
      <c r="F28" s="107"/>
      <c r="G28" s="187"/>
      <c r="H28" s="106"/>
      <c r="I28" s="106"/>
      <c r="J28" s="106"/>
      <c r="K28" s="107"/>
      <c r="L28" s="107"/>
    </row>
    <row r="29" spans="1:12" x14ac:dyDescent="0.15">
      <c r="B29" s="106"/>
      <c r="C29" s="106"/>
      <c r="D29" s="106"/>
      <c r="E29" s="107"/>
      <c r="F29" s="107"/>
      <c r="G29" s="187"/>
      <c r="H29" s="106"/>
      <c r="I29" s="106"/>
      <c r="J29" s="106"/>
      <c r="K29" s="107"/>
      <c r="L29" s="107"/>
    </row>
    <row r="30" spans="1:12" ht="18" x14ac:dyDescent="0.2">
      <c r="F30" s="110">
        <f>SUM(F21:F29)</f>
        <v>5.3553999999999995</v>
      </c>
      <c r="G30" s="187"/>
      <c r="L30" s="110">
        <f>SUM(L21:L29)</f>
        <v>4.6744849999999998</v>
      </c>
    </row>
    <row r="31" spans="1:12" x14ac:dyDescent="0.15">
      <c r="B31" t="s">
        <v>1132</v>
      </c>
      <c r="C31" s="58">
        <v>9.5</v>
      </c>
      <c r="G31" s="187"/>
      <c r="H31" t="s">
        <v>1132</v>
      </c>
      <c r="I31" s="58">
        <v>12</v>
      </c>
    </row>
    <row r="32" spans="1:12" ht="18" x14ac:dyDescent="0.2">
      <c r="B32" t="s">
        <v>1125</v>
      </c>
      <c r="C32" s="58">
        <f>F30+5%</f>
        <v>5.4053999999999993</v>
      </c>
      <c r="D32" s="111">
        <f>C32/C31</f>
        <v>0.56898947368421049</v>
      </c>
      <c r="G32" s="187"/>
      <c r="H32" t="s">
        <v>1125</v>
      </c>
      <c r="I32" s="58">
        <f>L30+5%</f>
        <v>4.7244849999999996</v>
      </c>
      <c r="J32" s="111">
        <f>I32/I31</f>
        <v>0.39370708333333332</v>
      </c>
    </row>
    <row r="33" spans="2:12" x14ac:dyDescent="0.15">
      <c r="B33" t="s">
        <v>1133</v>
      </c>
      <c r="C33" s="58">
        <f>C31-C32</f>
        <v>4.0946000000000007</v>
      </c>
      <c r="D33" s="112"/>
      <c r="G33" s="187"/>
      <c r="H33" t="s">
        <v>1133</v>
      </c>
      <c r="I33" s="58">
        <f>I31-I32</f>
        <v>7.2755150000000004</v>
      </c>
      <c r="J33" s="112"/>
    </row>
    <row r="34" spans="2:12" x14ac:dyDescent="0.15">
      <c r="B34" s="193"/>
      <c r="C34" s="193"/>
      <c r="D34" s="193"/>
      <c r="E34" s="193"/>
      <c r="F34" s="193"/>
      <c r="G34" s="187"/>
      <c r="H34" s="193"/>
      <c r="I34" s="193"/>
      <c r="J34" s="193"/>
      <c r="K34" s="193"/>
      <c r="L34" s="193"/>
    </row>
    <row r="35" spans="2:12" x14ac:dyDescent="0.15">
      <c r="B35" s="193"/>
      <c r="C35" s="193"/>
      <c r="D35" s="193"/>
      <c r="E35" s="193"/>
      <c r="F35" s="193"/>
      <c r="G35" s="187"/>
      <c r="H35" s="193"/>
      <c r="I35" s="193"/>
      <c r="J35" s="193"/>
      <c r="K35" s="193"/>
      <c r="L35" s="193"/>
    </row>
    <row r="36" spans="2:12" ht="23" customHeight="1" x14ac:dyDescent="0.15">
      <c r="B36" s="167" t="s">
        <v>1362</v>
      </c>
      <c r="C36" s="167"/>
      <c r="D36" s="167"/>
      <c r="E36" s="167"/>
      <c r="F36" s="167"/>
      <c r="G36" s="187"/>
      <c r="H36" s="167" t="s">
        <v>1362</v>
      </c>
      <c r="I36" s="167"/>
      <c r="J36" s="167"/>
      <c r="K36" s="167"/>
      <c r="L36" s="167"/>
    </row>
    <row r="37" spans="2:12" x14ac:dyDescent="0.15">
      <c r="B37" s="167"/>
      <c r="C37" s="167"/>
      <c r="D37" s="167"/>
      <c r="E37" s="167"/>
      <c r="F37" s="167"/>
      <c r="G37" s="187"/>
      <c r="H37" s="167"/>
      <c r="I37" s="167"/>
      <c r="J37" s="167"/>
      <c r="K37" s="167"/>
      <c r="L37" s="167"/>
    </row>
    <row r="38" spans="2:12" ht="16" x14ac:dyDescent="0.2">
      <c r="B38" s="119" t="s">
        <v>1122</v>
      </c>
      <c r="C38" s="119" t="s">
        <v>1123</v>
      </c>
      <c r="D38" s="119" t="s">
        <v>1124</v>
      </c>
      <c r="E38" s="119" t="s">
        <v>1125</v>
      </c>
      <c r="F38" s="119" t="s">
        <v>1126</v>
      </c>
      <c r="G38" s="187"/>
      <c r="H38" s="119" t="s">
        <v>1122</v>
      </c>
      <c r="I38" s="119" t="s">
        <v>1123</v>
      </c>
      <c r="J38" s="119" t="s">
        <v>1124</v>
      </c>
      <c r="K38" s="119" t="s">
        <v>1125</v>
      </c>
      <c r="L38" s="119" t="s">
        <v>1126</v>
      </c>
    </row>
    <row r="39" spans="2:12" x14ac:dyDescent="0.15">
      <c r="B39" s="106" t="s">
        <v>1163</v>
      </c>
      <c r="C39" s="106">
        <f>8+(18*0.025)</f>
        <v>8.4499999999999993</v>
      </c>
      <c r="D39" s="106" t="s">
        <v>1129</v>
      </c>
      <c r="E39" s="107">
        <f>INGREDIENTS!F11</f>
        <v>7.0000000000000007E-2</v>
      </c>
      <c r="F39" s="107">
        <f>E39*C39</f>
        <v>0.59150000000000003</v>
      </c>
      <c r="G39" s="187"/>
      <c r="H39" s="106" t="s">
        <v>1163</v>
      </c>
      <c r="I39" s="106">
        <f>8+(18*0.025)</f>
        <v>8.4499999999999993</v>
      </c>
      <c r="J39" s="106" t="s">
        <v>1129</v>
      </c>
      <c r="K39" s="107">
        <f>INGREDIENTS!F11</f>
        <v>7.0000000000000007E-2</v>
      </c>
      <c r="L39" s="107">
        <f>K39*I39</f>
        <v>0.59150000000000003</v>
      </c>
    </row>
    <row r="40" spans="2:12" x14ac:dyDescent="0.15">
      <c r="B40" s="106" t="s">
        <v>1164</v>
      </c>
      <c r="C40" s="106">
        <v>215</v>
      </c>
      <c r="D40" s="106" t="s">
        <v>1165</v>
      </c>
      <c r="E40" s="107">
        <f>INGREDIENTS!F38</f>
        <v>1.426E-2</v>
      </c>
      <c r="F40" s="107">
        <f>E40*C40</f>
        <v>3.0659000000000001</v>
      </c>
      <c r="G40" s="187"/>
      <c r="H40" s="106" t="s">
        <v>1164</v>
      </c>
      <c r="I40" s="106">
        <v>225</v>
      </c>
      <c r="J40" s="106" t="s">
        <v>1165</v>
      </c>
      <c r="K40" s="107">
        <f>INGREDIENTS!$F$38</f>
        <v>1.426E-2</v>
      </c>
      <c r="L40" s="107">
        <f>K40*I40</f>
        <v>3.2084999999999999</v>
      </c>
    </row>
    <row r="41" spans="2:12" x14ac:dyDescent="0.15">
      <c r="B41" s="108" t="s">
        <v>1360</v>
      </c>
      <c r="C41" s="106">
        <v>1</v>
      </c>
      <c r="D41" s="106" t="s">
        <v>1036</v>
      </c>
      <c r="E41" s="107">
        <f>INGREDIENTS!F26</f>
        <v>0.28999999999999998</v>
      </c>
      <c r="F41" s="107">
        <f t="shared" ref="F41:F44" si="4">E41*C41</f>
        <v>0.28999999999999998</v>
      </c>
      <c r="G41" s="187"/>
      <c r="H41" s="108" t="s">
        <v>1361</v>
      </c>
      <c r="I41" s="106">
        <v>1</v>
      </c>
      <c r="J41" s="106" t="s">
        <v>1036</v>
      </c>
      <c r="K41" s="107">
        <f>INGREDIENTS!F195</f>
        <v>0.1</v>
      </c>
      <c r="L41" s="107">
        <f t="shared" ref="L41:L44" si="5">K41*I41</f>
        <v>0.1</v>
      </c>
    </row>
    <row r="42" spans="2:12" x14ac:dyDescent="0.15">
      <c r="B42" s="108" t="s">
        <v>1357</v>
      </c>
      <c r="C42" s="106">
        <v>1</v>
      </c>
      <c r="D42" s="106" t="s">
        <v>1103</v>
      </c>
      <c r="E42" s="107">
        <f>INGREDIENTS!F22</f>
        <v>0.115</v>
      </c>
      <c r="F42" s="107">
        <f t="shared" si="4"/>
        <v>0.115</v>
      </c>
      <c r="G42" s="187"/>
      <c r="H42" s="108" t="s">
        <v>1359</v>
      </c>
      <c r="I42" s="106">
        <v>1</v>
      </c>
      <c r="J42" s="106" t="s">
        <v>1103</v>
      </c>
      <c r="K42" s="107">
        <f>INGREDIENTS!F20</f>
        <v>0.22</v>
      </c>
      <c r="L42" s="107">
        <f t="shared" si="5"/>
        <v>0.22</v>
      </c>
    </row>
    <row r="43" spans="2:12" x14ac:dyDescent="0.15">
      <c r="B43" s="106" t="s">
        <v>1172</v>
      </c>
      <c r="C43" s="106">
        <v>15</v>
      </c>
      <c r="D43" s="106" t="s">
        <v>1129</v>
      </c>
      <c r="E43" s="107">
        <f>'KITCHEN Prep Cards'!C12</f>
        <v>1.9224242424242425E-2</v>
      </c>
      <c r="F43" s="107">
        <f t="shared" si="4"/>
        <v>0.28836363636363638</v>
      </c>
      <c r="G43" s="187"/>
      <c r="H43" s="106" t="s">
        <v>1172</v>
      </c>
      <c r="I43" s="106">
        <v>15</v>
      </c>
      <c r="J43" s="106" t="s">
        <v>1129</v>
      </c>
      <c r="K43" s="107">
        <f>'KITCHEN Prep Cards'!C12</f>
        <v>1.9224242424242425E-2</v>
      </c>
      <c r="L43" s="107">
        <f t="shared" si="5"/>
        <v>0.28836363636363638</v>
      </c>
    </row>
    <row r="44" spans="2:12" x14ac:dyDescent="0.15">
      <c r="B44" s="108" t="s">
        <v>1171</v>
      </c>
      <c r="C44" s="106">
        <v>1</v>
      </c>
      <c r="D44" s="108" t="s">
        <v>1036</v>
      </c>
      <c r="E44" s="107">
        <f>INGREDIENTS!F28</f>
        <v>5.8000000000000003E-2</v>
      </c>
      <c r="F44" s="107">
        <f t="shared" si="4"/>
        <v>5.8000000000000003E-2</v>
      </c>
      <c r="G44" s="187"/>
      <c r="H44" s="108" t="s">
        <v>1171</v>
      </c>
      <c r="I44" s="106">
        <v>1</v>
      </c>
      <c r="J44" s="108" t="s">
        <v>1036</v>
      </c>
      <c r="K44" s="107">
        <f>INGREDIENTS!F28</f>
        <v>5.8000000000000003E-2</v>
      </c>
      <c r="L44" s="107">
        <f t="shared" si="5"/>
        <v>5.8000000000000003E-2</v>
      </c>
    </row>
    <row r="45" spans="2:12" x14ac:dyDescent="0.15">
      <c r="B45" s="106"/>
      <c r="C45" s="106"/>
      <c r="D45" s="106"/>
      <c r="E45" s="107"/>
      <c r="F45" s="107"/>
      <c r="G45" s="187"/>
      <c r="H45" s="106"/>
      <c r="I45" s="106"/>
      <c r="J45" s="106"/>
      <c r="K45" s="107"/>
      <c r="L45" s="107"/>
    </row>
    <row r="46" spans="2:12" x14ac:dyDescent="0.15">
      <c r="B46" s="106"/>
      <c r="C46" s="106"/>
      <c r="D46" s="106"/>
      <c r="E46" s="107"/>
      <c r="F46" s="107"/>
      <c r="G46" s="187"/>
      <c r="H46" s="106"/>
      <c r="I46" s="106"/>
      <c r="J46" s="106"/>
      <c r="K46" s="107"/>
      <c r="L46" s="107"/>
    </row>
    <row r="47" spans="2:12" x14ac:dyDescent="0.15">
      <c r="B47" s="106"/>
      <c r="C47" s="106"/>
      <c r="D47" s="106"/>
      <c r="E47" s="107"/>
      <c r="F47" s="107"/>
      <c r="G47" s="187"/>
      <c r="H47" s="106"/>
      <c r="I47" s="106"/>
      <c r="J47" s="106"/>
      <c r="K47" s="107"/>
      <c r="L47" s="107"/>
    </row>
    <row r="48" spans="2:12" ht="18" x14ac:dyDescent="0.2">
      <c r="F48" s="110">
        <f>SUM(F39:F47)</f>
        <v>4.408763636363636</v>
      </c>
      <c r="G48" s="187"/>
      <c r="L48" s="110">
        <f>SUM(L39:L47)</f>
        <v>4.4663636363636368</v>
      </c>
    </row>
    <row r="49" spans="2:12" x14ac:dyDescent="0.15">
      <c r="B49" t="s">
        <v>1132</v>
      </c>
      <c r="C49" s="58">
        <v>8.5</v>
      </c>
      <c r="F49" s="54"/>
      <c r="G49" s="187"/>
      <c r="H49" t="s">
        <v>1132</v>
      </c>
      <c r="I49" s="58">
        <v>11</v>
      </c>
    </row>
    <row r="50" spans="2:12" ht="18" x14ac:dyDescent="0.2">
      <c r="B50" t="s">
        <v>1125</v>
      </c>
      <c r="C50" s="58">
        <f>F48+5%</f>
        <v>4.4587636363636358</v>
      </c>
      <c r="D50" s="111">
        <f>C50/C49</f>
        <v>0.52456042780748657</v>
      </c>
      <c r="G50" s="187"/>
      <c r="H50" t="s">
        <v>1125</v>
      </c>
      <c r="I50" s="58">
        <f>L48+5%</f>
        <v>4.5163636363636366</v>
      </c>
      <c r="J50" s="111">
        <f>I50/I49</f>
        <v>0.41057851239669424</v>
      </c>
    </row>
    <row r="51" spans="2:12" x14ac:dyDescent="0.15">
      <c r="B51" t="s">
        <v>1133</v>
      </c>
      <c r="C51" s="58">
        <f>C49-C50</f>
        <v>4.0412363636363642</v>
      </c>
      <c r="D51" s="112"/>
      <c r="G51" s="187"/>
      <c r="H51" s="54" t="s">
        <v>1133</v>
      </c>
      <c r="I51" s="58">
        <f>I49-I50</f>
        <v>6.4836363636363634</v>
      </c>
    </row>
    <row r="52" spans="2:12" x14ac:dyDescent="0.15">
      <c r="B52" s="194"/>
      <c r="C52" s="187"/>
      <c r="D52" s="187"/>
      <c r="E52" s="187"/>
      <c r="F52" s="187"/>
      <c r="G52" s="187"/>
      <c r="H52" s="194"/>
      <c r="I52" s="187"/>
      <c r="J52" s="187"/>
      <c r="K52" s="187"/>
      <c r="L52" s="187"/>
    </row>
    <row r="53" spans="2:12" x14ac:dyDescent="0.15"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</row>
    <row r="54" spans="2:12" ht="23" customHeight="1" x14ac:dyDescent="0.15">
      <c r="B54" s="167" t="s">
        <v>1363</v>
      </c>
      <c r="C54" s="167"/>
      <c r="D54" s="167"/>
      <c r="E54" s="167"/>
      <c r="F54" s="167"/>
      <c r="G54" s="187"/>
      <c r="H54" s="167" t="s">
        <v>1364</v>
      </c>
      <c r="I54" s="167"/>
      <c r="J54" s="167"/>
      <c r="K54" s="167"/>
      <c r="L54" s="167"/>
    </row>
    <row r="55" spans="2:12" x14ac:dyDescent="0.15">
      <c r="B55" s="167"/>
      <c r="C55" s="167"/>
      <c r="D55" s="167"/>
      <c r="E55" s="167"/>
      <c r="F55" s="167"/>
      <c r="G55" s="187"/>
      <c r="H55" s="167"/>
      <c r="I55" s="167"/>
      <c r="J55" s="167"/>
      <c r="K55" s="167"/>
      <c r="L55" s="167"/>
    </row>
    <row r="56" spans="2:12" ht="16" x14ac:dyDescent="0.2">
      <c r="B56" s="119" t="s">
        <v>1122</v>
      </c>
      <c r="C56" s="119" t="s">
        <v>1123</v>
      </c>
      <c r="D56" s="119" t="s">
        <v>1124</v>
      </c>
      <c r="E56" s="119" t="s">
        <v>1125</v>
      </c>
      <c r="F56" s="119" t="s">
        <v>1126</v>
      </c>
      <c r="G56" s="187"/>
      <c r="H56" s="119" t="s">
        <v>1122</v>
      </c>
      <c r="I56" s="119" t="s">
        <v>1123</v>
      </c>
      <c r="J56" s="119" t="s">
        <v>1124</v>
      </c>
      <c r="K56" s="119" t="s">
        <v>1125</v>
      </c>
      <c r="L56" s="119" t="s">
        <v>1126</v>
      </c>
    </row>
    <row r="57" spans="2:12" x14ac:dyDescent="0.15">
      <c r="B57" s="106" t="s">
        <v>1164</v>
      </c>
      <c r="C57" s="106">
        <v>215</v>
      </c>
      <c r="D57" s="106" t="s">
        <v>1165</v>
      </c>
      <c r="E57" s="107">
        <f>INGREDIENTS!F38</f>
        <v>1.426E-2</v>
      </c>
      <c r="F57" s="107">
        <f>E57*C57</f>
        <v>3.0659000000000001</v>
      </c>
      <c r="G57" s="187"/>
      <c r="H57" s="106" t="s">
        <v>1164</v>
      </c>
      <c r="I57" s="106">
        <v>225</v>
      </c>
      <c r="J57" s="106" t="s">
        <v>1165</v>
      </c>
      <c r="K57" s="107">
        <f>INGREDIENTS!F38</f>
        <v>1.426E-2</v>
      </c>
      <c r="L57" s="107">
        <f>K57*I57</f>
        <v>3.2084999999999999</v>
      </c>
    </row>
    <row r="58" spans="2:12" x14ac:dyDescent="0.15">
      <c r="B58" s="108" t="s">
        <v>1360</v>
      </c>
      <c r="C58" s="106">
        <v>1</v>
      </c>
      <c r="D58" s="106" t="s">
        <v>1036</v>
      </c>
      <c r="E58" s="107">
        <f>INGREDIENTS!F21</f>
        <v>0.27</v>
      </c>
      <c r="F58" s="107">
        <f t="shared" ref="F58:F61" si="6">E58*C58</f>
        <v>0.27</v>
      </c>
      <c r="G58" s="187"/>
      <c r="H58" s="108" t="s">
        <v>1361</v>
      </c>
      <c r="I58" s="106">
        <v>1</v>
      </c>
      <c r="J58" s="106" t="s">
        <v>1036</v>
      </c>
      <c r="K58" s="107">
        <f>INGREDIENTS!F26</f>
        <v>0.28999999999999998</v>
      </c>
      <c r="L58" s="107">
        <f t="shared" ref="L58:L61" si="7">K58*I58</f>
        <v>0.28999999999999998</v>
      </c>
    </row>
    <row r="59" spans="2:12" x14ac:dyDescent="0.15">
      <c r="B59" s="108" t="s">
        <v>1357</v>
      </c>
      <c r="C59" s="106">
        <v>1</v>
      </c>
      <c r="D59" s="106" t="s">
        <v>1103</v>
      </c>
      <c r="E59" s="107">
        <f>INGREDIENTS!F22</f>
        <v>0.115</v>
      </c>
      <c r="F59" s="107">
        <f t="shared" si="6"/>
        <v>0.115</v>
      </c>
      <c r="G59" s="187"/>
      <c r="H59" s="108" t="s">
        <v>1359</v>
      </c>
      <c r="I59" s="106">
        <v>1</v>
      </c>
      <c r="J59" s="106" t="s">
        <v>1103</v>
      </c>
      <c r="K59" s="107">
        <f>INGREDIENTS!F27</f>
        <v>0.15</v>
      </c>
      <c r="L59" s="107">
        <f t="shared" si="7"/>
        <v>0.15</v>
      </c>
    </row>
    <row r="60" spans="2:12" x14ac:dyDescent="0.15">
      <c r="B60" s="106" t="s">
        <v>1172</v>
      </c>
      <c r="C60" s="106">
        <v>25</v>
      </c>
      <c r="D60" s="106" t="s">
        <v>1129</v>
      </c>
      <c r="E60" s="107">
        <f>'KITCHEN Prep Cards'!C12</f>
        <v>1.9224242424242425E-2</v>
      </c>
      <c r="F60" s="107">
        <f t="shared" si="6"/>
        <v>0.48060606060606065</v>
      </c>
      <c r="G60" s="187"/>
      <c r="H60" s="106" t="s">
        <v>1172</v>
      </c>
      <c r="I60" s="106">
        <v>25</v>
      </c>
      <c r="J60" s="106" t="s">
        <v>1129</v>
      </c>
      <c r="K60" s="107">
        <f>'KITCHEN Prep Cards'!C12</f>
        <v>1.9224242424242425E-2</v>
      </c>
      <c r="L60" s="107">
        <f t="shared" si="7"/>
        <v>0.48060606060606065</v>
      </c>
    </row>
    <row r="61" spans="2:12" x14ac:dyDescent="0.15">
      <c r="B61" s="108" t="s">
        <v>1171</v>
      </c>
      <c r="C61" s="106">
        <v>1</v>
      </c>
      <c r="D61" s="108" t="s">
        <v>1036</v>
      </c>
      <c r="E61" s="107">
        <f>INGREDIENTS!F28</f>
        <v>5.8000000000000003E-2</v>
      </c>
      <c r="F61" s="107">
        <f t="shared" si="6"/>
        <v>5.8000000000000003E-2</v>
      </c>
      <c r="G61" s="187"/>
      <c r="H61" s="108" t="s">
        <v>1171</v>
      </c>
      <c r="I61" s="106">
        <v>1</v>
      </c>
      <c r="J61" s="108" t="s">
        <v>1036</v>
      </c>
      <c r="K61" s="107">
        <f>INGREDIENTS!F28</f>
        <v>5.8000000000000003E-2</v>
      </c>
      <c r="L61" s="107">
        <f t="shared" si="7"/>
        <v>5.8000000000000003E-2</v>
      </c>
    </row>
    <row r="62" spans="2:12" x14ac:dyDescent="0.15">
      <c r="B62" s="106"/>
      <c r="C62" s="106"/>
      <c r="D62" s="106"/>
      <c r="E62" s="107"/>
      <c r="F62" s="107"/>
      <c r="G62" s="187"/>
      <c r="H62" s="106"/>
      <c r="I62" s="106"/>
      <c r="J62" s="106"/>
      <c r="K62" s="107"/>
      <c r="L62" s="107"/>
    </row>
    <row r="63" spans="2:12" x14ac:dyDescent="0.15">
      <c r="B63" s="106"/>
      <c r="C63" s="106"/>
      <c r="D63" s="106"/>
      <c r="E63" s="107"/>
      <c r="F63" s="107"/>
      <c r="G63" s="187"/>
      <c r="H63" s="106"/>
      <c r="I63" s="106"/>
      <c r="J63" s="106"/>
      <c r="K63" s="107"/>
      <c r="L63" s="107"/>
    </row>
    <row r="64" spans="2:12" x14ac:dyDescent="0.15">
      <c r="B64" s="106"/>
      <c r="C64" s="106"/>
      <c r="D64" s="106"/>
      <c r="E64" s="107"/>
      <c r="F64" s="107"/>
      <c r="G64" s="187"/>
      <c r="H64" s="106"/>
      <c r="I64" s="106"/>
      <c r="J64" s="106"/>
      <c r="K64" s="107"/>
      <c r="L64" s="107"/>
    </row>
    <row r="65" spans="2:12" ht="18" x14ac:dyDescent="0.2">
      <c r="F65" s="110">
        <f>SUM(F57:F64)</f>
        <v>3.9895060606060606</v>
      </c>
      <c r="G65" s="187"/>
      <c r="L65" s="110">
        <f>SUM(L57:L64)</f>
        <v>4.1871060606060606</v>
      </c>
    </row>
    <row r="66" spans="2:12" x14ac:dyDescent="0.15">
      <c r="B66" t="s">
        <v>1132</v>
      </c>
      <c r="C66" s="58">
        <v>8.5</v>
      </c>
      <c r="G66" s="187"/>
      <c r="H66" t="s">
        <v>1132</v>
      </c>
      <c r="I66" s="58">
        <v>11</v>
      </c>
    </row>
    <row r="67" spans="2:12" ht="18" x14ac:dyDescent="0.2">
      <c r="B67" t="s">
        <v>1125</v>
      </c>
      <c r="C67" s="58">
        <f>F65+5%</f>
        <v>4.0395060606060609</v>
      </c>
      <c r="D67" s="111">
        <f>C67/C66</f>
        <v>0.47523600713012482</v>
      </c>
      <c r="G67" s="187"/>
      <c r="H67" t="s">
        <v>1125</v>
      </c>
      <c r="I67" s="58">
        <f>L65+5%</f>
        <v>4.2371060606060604</v>
      </c>
      <c r="J67" s="111">
        <f>I67/I66</f>
        <v>0.38519146005509641</v>
      </c>
    </row>
    <row r="68" spans="2:12" x14ac:dyDescent="0.15">
      <c r="B68" t="s">
        <v>1133</v>
      </c>
      <c r="C68" s="58">
        <f>C66-C67</f>
        <v>4.4604939393939391</v>
      </c>
      <c r="D68" s="112"/>
      <c r="G68" s="187"/>
      <c r="H68" t="s">
        <v>1133</v>
      </c>
      <c r="I68" s="58">
        <f>I66-I67</f>
        <v>6.7628939393939396</v>
      </c>
      <c r="J68" s="112"/>
    </row>
    <row r="69" spans="2:12" x14ac:dyDescent="0.15"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</row>
    <row r="70" spans="2:12" x14ac:dyDescent="0.1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23" x14ac:dyDescent="0.25">
      <c r="B71" s="185" t="s">
        <v>1174</v>
      </c>
      <c r="C71" s="185"/>
      <c r="D71" s="185"/>
      <c r="E71" s="185"/>
      <c r="F71" s="185"/>
      <c r="G71" s="187"/>
      <c r="H71" s="185" t="s">
        <v>1174</v>
      </c>
      <c r="I71" s="185"/>
      <c r="J71" s="185"/>
      <c r="K71" s="185"/>
      <c r="L71" s="185"/>
    </row>
    <row r="72" spans="2:12" ht="16" x14ac:dyDescent="0.2">
      <c r="B72" s="119" t="s">
        <v>1122</v>
      </c>
      <c r="C72" s="119" t="s">
        <v>1123</v>
      </c>
      <c r="D72" s="119" t="s">
        <v>1124</v>
      </c>
      <c r="E72" s="119" t="s">
        <v>1125</v>
      </c>
      <c r="F72" s="119" t="s">
        <v>1126</v>
      </c>
      <c r="G72" s="187"/>
      <c r="H72" s="119" t="s">
        <v>1122</v>
      </c>
      <c r="I72" s="119" t="s">
        <v>1123</v>
      </c>
      <c r="J72" s="119" t="s">
        <v>1124</v>
      </c>
      <c r="K72" s="119" t="s">
        <v>1125</v>
      </c>
      <c r="L72" s="119" t="s">
        <v>1126</v>
      </c>
    </row>
    <row r="73" spans="2:12" x14ac:dyDescent="0.15">
      <c r="B73" s="108" t="s">
        <v>1300</v>
      </c>
      <c r="C73" s="106">
        <f>16+(18*0.025)</f>
        <v>16.45</v>
      </c>
      <c r="D73" s="106" t="s">
        <v>1129</v>
      </c>
      <c r="E73" s="107">
        <f>INGREDIENTS!F11</f>
        <v>7.0000000000000007E-2</v>
      </c>
      <c r="F73" s="107">
        <f>E73*C73</f>
        <v>1.1515</v>
      </c>
      <c r="G73" s="187"/>
      <c r="H73" s="108" t="s">
        <v>1300</v>
      </c>
      <c r="I73" s="106">
        <f>16+(18*0.025)</f>
        <v>16.45</v>
      </c>
      <c r="J73" s="106" t="s">
        <v>1129</v>
      </c>
      <c r="K73" s="107">
        <f>INGREDIENTS!F11</f>
        <v>7.0000000000000007E-2</v>
      </c>
      <c r="L73" s="107">
        <f>K73*I73</f>
        <v>1.1515</v>
      </c>
    </row>
    <row r="74" spans="2:12" x14ac:dyDescent="0.15">
      <c r="B74" s="108" t="s">
        <v>1178</v>
      </c>
      <c r="C74" s="106">
        <v>20</v>
      </c>
      <c r="D74" s="108" t="s">
        <v>1001</v>
      </c>
      <c r="E74" s="107">
        <f>INGREDIENTS!F108</f>
        <v>9.4999999999999998E-3</v>
      </c>
      <c r="F74" s="107">
        <f t="shared" ref="F74:F79" si="8">E74*C74</f>
        <v>0.19</v>
      </c>
      <c r="G74" s="187"/>
      <c r="H74" s="108" t="s">
        <v>1178</v>
      </c>
      <c r="I74" s="106">
        <v>20</v>
      </c>
      <c r="J74" s="108" t="s">
        <v>1001</v>
      </c>
      <c r="K74" s="107">
        <f>INGREDIENTS!F108</f>
        <v>9.4999999999999998E-3</v>
      </c>
      <c r="L74" s="107">
        <f t="shared" ref="L74:L79" si="9">K74*I74</f>
        <v>0.19</v>
      </c>
    </row>
    <row r="75" spans="2:12" x14ac:dyDescent="0.15">
      <c r="B75" s="108" t="s">
        <v>1301</v>
      </c>
      <c r="C75" s="106">
        <v>1</v>
      </c>
      <c r="D75" s="108" t="s">
        <v>1129</v>
      </c>
      <c r="E75" s="107">
        <f>INGREDIENTS!F134</f>
        <v>8.8800000000000004E-2</v>
      </c>
      <c r="F75" s="107">
        <f t="shared" si="8"/>
        <v>8.8800000000000004E-2</v>
      </c>
      <c r="G75" s="187"/>
      <c r="H75" s="108" t="s">
        <v>1301</v>
      </c>
      <c r="I75" s="106">
        <v>1</v>
      </c>
      <c r="J75" s="108" t="s">
        <v>1129</v>
      </c>
      <c r="K75" s="107">
        <f>INGREDIENTS!F134</f>
        <v>8.8800000000000004E-2</v>
      </c>
      <c r="L75" s="107">
        <f t="shared" si="9"/>
        <v>8.8800000000000004E-2</v>
      </c>
    </row>
    <row r="76" spans="2:12" x14ac:dyDescent="0.15">
      <c r="B76" s="108" t="s">
        <v>1193</v>
      </c>
      <c r="C76" s="106">
        <v>60</v>
      </c>
      <c r="D76" s="106" t="s">
        <v>1176</v>
      </c>
      <c r="E76" s="107">
        <v>0</v>
      </c>
      <c r="F76" s="107">
        <f t="shared" si="8"/>
        <v>0</v>
      </c>
      <c r="G76" s="187"/>
      <c r="H76" s="108" t="s">
        <v>1193</v>
      </c>
      <c r="I76" s="106">
        <v>60</v>
      </c>
      <c r="J76" s="106" t="s">
        <v>1176</v>
      </c>
      <c r="K76" s="107">
        <v>0</v>
      </c>
      <c r="L76" s="107">
        <f t="shared" si="9"/>
        <v>0</v>
      </c>
    </row>
    <row r="77" spans="2:12" x14ac:dyDescent="0.15">
      <c r="B77" s="108" t="s">
        <v>1360</v>
      </c>
      <c r="C77" s="106">
        <v>1</v>
      </c>
      <c r="D77" s="106" t="s">
        <v>1036</v>
      </c>
      <c r="E77" s="107">
        <f>INGREDIENTS!F21</f>
        <v>0.27</v>
      </c>
      <c r="F77" s="107">
        <f t="shared" si="8"/>
        <v>0.27</v>
      </c>
      <c r="G77" s="187"/>
      <c r="H77" s="108" t="s">
        <v>1361</v>
      </c>
      <c r="I77" s="106">
        <v>1</v>
      </c>
      <c r="J77" s="106" t="s">
        <v>1036</v>
      </c>
      <c r="K77" s="107">
        <f>INGREDIENTS!F26</f>
        <v>0.28999999999999998</v>
      </c>
      <c r="L77" s="107">
        <f t="shared" si="9"/>
        <v>0.28999999999999998</v>
      </c>
    </row>
    <row r="78" spans="2:12" x14ac:dyDescent="0.15">
      <c r="B78" s="108" t="s">
        <v>1357</v>
      </c>
      <c r="C78" s="106">
        <v>1</v>
      </c>
      <c r="D78" s="106" t="s">
        <v>1103</v>
      </c>
      <c r="E78" s="107">
        <f>INGREDIENTS!F22</f>
        <v>0.115</v>
      </c>
      <c r="F78" s="107">
        <f t="shared" si="8"/>
        <v>0.115</v>
      </c>
      <c r="G78" s="187"/>
      <c r="H78" s="108" t="s">
        <v>1359</v>
      </c>
      <c r="I78" s="106">
        <v>1</v>
      </c>
      <c r="J78" s="106" t="s">
        <v>1103</v>
      </c>
      <c r="K78" s="107">
        <f>INGREDIENTS!F27</f>
        <v>0.15</v>
      </c>
      <c r="L78" s="107">
        <f t="shared" si="9"/>
        <v>0.15</v>
      </c>
    </row>
    <row r="79" spans="2:12" x14ac:dyDescent="0.15">
      <c r="B79" s="106" t="s">
        <v>1171</v>
      </c>
      <c r="C79" s="106">
        <v>1</v>
      </c>
      <c r="D79" s="106" t="s">
        <v>1103</v>
      </c>
      <c r="E79" s="107">
        <f>INGREDIENTS!$F$25</f>
        <v>5.3999999999999999E-2</v>
      </c>
      <c r="F79" s="107">
        <f t="shared" si="8"/>
        <v>5.3999999999999999E-2</v>
      </c>
      <c r="G79" s="187"/>
      <c r="H79" s="106" t="s">
        <v>1171</v>
      </c>
      <c r="I79" s="106">
        <v>1</v>
      </c>
      <c r="J79" s="106" t="s">
        <v>1103</v>
      </c>
      <c r="K79" s="107">
        <f>INGREDIENTS!F28</f>
        <v>5.8000000000000003E-2</v>
      </c>
      <c r="L79" s="107">
        <f t="shared" si="9"/>
        <v>5.8000000000000003E-2</v>
      </c>
    </row>
    <row r="80" spans="2:12" x14ac:dyDescent="0.15">
      <c r="B80" s="106"/>
      <c r="C80" s="106"/>
      <c r="D80" s="106"/>
      <c r="E80" s="107"/>
      <c r="F80" s="107"/>
      <c r="G80" s="187"/>
      <c r="H80" s="106"/>
      <c r="I80" s="106"/>
      <c r="J80" s="106"/>
      <c r="K80" s="107"/>
      <c r="L80" s="107"/>
    </row>
    <row r="81" spans="2:12" ht="18" x14ac:dyDescent="0.2">
      <c r="F81" s="110">
        <f>SUM(F73:F80)</f>
        <v>1.8693</v>
      </c>
      <c r="G81" s="187"/>
      <c r="L81" s="110">
        <f>SUM(L73:L80)</f>
        <v>1.9282999999999999</v>
      </c>
    </row>
    <row r="82" spans="2:12" x14ac:dyDescent="0.15">
      <c r="B82" t="s">
        <v>1132</v>
      </c>
      <c r="C82" s="58">
        <v>12</v>
      </c>
      <c r="G82" s="187"/>
      <c r="H82" t="s">
        <v>1132</v>
      </c>
      <c r="I82" s="58">
        <v>16</v>
      </c>
    </row>
    <row r="83" spans="2:12" ht="18" x14ac:dyDescent="0.2">
      <c r="B83" t="s">
        <v>1125</v>
      </c>
      <c r="C83" s="58">
        <f>F81+5%</f>
        <v>1.9193</v>
      </c>
      <c r="D83" s="111">
        <f>C83/C82</f>
        <v>0.15994166666666668</v>
      </c>
      <c r="G83" s="187"/>
      <c r="H83" t="s">
        <v>1125</v>
      </c>
      <c r="I83" s="58">
        <f>L81+5%</f>
        <v>1.9782999999999999</v>
      </c>
      <c r="J83" s="111">
        <f>I83/I82</f>
        <v>0.12364375</v>
      </c>
    </row>
    <row r="84" spans="2:12" x14ac:dyDescent="0.15">
      <c r="B84" t="s">
        <v>1133</v>
      </c>
      <c r="C84" s="58">
        <f>C82-C83</f>
        <v>10.0807</v>
      </c>
      <c r="D84" s="112"/>
      <c r="G84" s="187"/>
      <c r="H84" t="s">
        <v>1133</v>
      </c>
      <c r="I84" s="58">
        <f>I82-I83</f>
        <v>14.021699999999999</v>
      </c>
      <c r="J84" s="112"/>
    </row>
    <row r="85" spans="2:12" x14ac:dyDescent="0.15"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</row>
    <row r="86" spans="2:12" x14ac:dyDescent="0.15"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</row>
    <row r="87" spans="2:12" ht="23" x14ac:dyDescent="0.25">
      <c r="B87" s="185" t="s">
        <v>1177</v>
      </c>
      <c r="C87" s="185"/>
      <c r="D87" s="185"/>
      <c r="E87" s="185"/>
      <c r="F87" s="185"/>
      <c r="G87" s="187"/>
      <c r="H87" s="185" t="s">
        <v>1177</v>
      </c>
      <c r="I87" s="185"/>
      <c r="J87" s="185"/>
      <c r="K87" s="185"/>
      <c r="L87" s="185"/>
    </row>
    <row r="88" spans="2:12" ht="16" x14ac:dyDescent="0.2">
      <c r="B88" s="119" t="s">
        <v>1122</v>
      </c>
      <c r="C88" s="119" t="s">
        <v>1123</v>
      </c>
      <c r="D88" s="119" t="s">
        <v>1124</v>
      </c>
      <c r="E88" s="119" t="s">
        <v>1125</v>
      </c>
      <c r="F88" s="119" t="s">
        <v>1126</v>
      </c>
      <c r="G88" s="187"/>
      <c r="H88" s="119" t="s">
        <v>1122</v>
      </c>
      <c r="I88" s="119" t="s">
        <v>1123</v>
      </c>
      <c r="J88" s="119" t="s">
        <v>1124</v>
      </c>
      <c r="K88" s="119" t="s">
        <v>1125</v>
      </c>
      <c r="L88" s="119" t="s">
        <v>1126</v>
      </c>
    </row>
    <row r="89" spans="2:12" x14ac:dyDescent="0.15">
      <c r="B89" s="108" t="s">
        <v>1190</v>
      </c>
      <c r="C89" s="106">
        <v>30</v>
      </c>
      <c r="D89" s="106" t="s">
        <v>1165</v>
      </c>
      <c r="E89" s="107">
        <f>INGREDIENTS!F64</f>
        <v>5.5E-2</v>
      </c>
      <c r="F89" s="107">
        <f>E89*C89</f>
        <v>1.65</v>
      </c>
      <c r="G89" s="187"/>
      <c r="H89" s="108" t="s">
        <v>1190</v>
      </c>
      <c r="I89" s="106">
        <v>30</v>
      </c>
      <c r="J89" s="106" t="s">
        <v>1165</v>
      </c>
      <c r="K89" s="107">
        <f>INGREDIENTS!F64</f>
        <v>5.5E-2</v>
      </c>
      <c r="L89" s="107">
        <f>K89*I89</f>
        <v>1.65</v>
      </c>
    </row>
    <row r="90" spans="2:12" x14ac:dyDescent="0.15">
      <c r="B90" s="108" t="s">
        <v>1178</v>
      </c>
      <c r="C90" s="106">
        <v>20</v>
      </c>
      <c r="D90" s="108" t="s">
        <v>1001</v>
      </c>
      <c r="E90" s="107">
        <f>INGREDIENTS!F108</f>
        <v>9.4999999999999998E-3</v>
      </c>
      <c r="F90" s="107">
        <f t="shared" ref="F90:F94" si="10">E90*C90</f>
        <v>0.19</v>
      </c>
      <c r="G90" s="187"/>
      <c r="H90" s="108" t="s">
        <v>1178</v>
      </c>
      <c r="I90" s="106">
        <v>20</v>
      </c>
      <c r="J90" s="108" t="s">
        <v>1001</v>
      </c>
      <c r="K90" s="107">
        <f>INGREDIENTS!F108</f>
        <v>9.4999999999999998E-3</v>
      </c>
      <c r="L90" s="107">
        <f t="shared" ref="L90:L94" si="11">K90*I90</f>
        <v>0.19</v>
      </c>
    </row>
    <row r="91" spans="2:12" x14ac:dyDescent="0.15">
      <c r="B91" s="108" t="s">
        <v>1179</v>
      </c>
      <c r="C91" s="106">
        <v>120</v>
      </c>
      <c r="D91" s="108" t="s">
        <v>1001</v>
      </c>
      <c r="E91" s="107">
        <f>INGREDIENTS!F63</f>
        <v>3.5000000000000001E-3</v>
      </c>
      <c r="F91" s="107">
        <f t="shared" si="10"/>
        <v>0.42</v>
      </c>
      <c r="G91" s="187"/>
      <c r="H91" s="108" t="s">
        <v>1179</v>
      </c>
      <c r="I91" s="106">
        <v>120</v>
      </c>
      <c r="J91" s="108" t="s">
        <v>1001</v>
      </c>
      <c r="K91" s="107">
        <f>INGREDIENTS!F63</f>
        <v>3.5000000000000001E-3</v>
      </c>
      <c r="L91" s="107">
        <f t="shared" si="11"/>
        <v>0.42</v>
      </c>
    </row>
    <row r="92" spans="2:12" x14ac:dyDescent="0.15">
      <c r="B92" s="108" t="s">
        <v>1169</v>
      </c>
      <c r="C92" s="106">
        <v>1</v>
      </c>
      <c r="D92" s="106" t="s">
        <v>1036</v>
      </c>
      <c r="E92" s="107">
        <f>INGREDIENTS!F21</f>
        <v>0.27</v>
      </c>
      <c r="F92" s="107">
        <f t="shared" si="10"/>
        <v>0.27</v>
      </c>
      <c r="G92" s="187"/>
      <c r="H92" s="108" t="s">
        <v>1361</v>
      </c>
      <c r="I92" s="106">
        <v>1</v>
      </c>
      <c r="J92" s="106" t="s">
        <v>1036</v>
      </c>
      <c r="K92" s="107">
        <f>INGREDIENTS!F26</f>
        <v>0.28999999999999998</v>
      </c>
      <c r="L92" s="107">
        <f t="shared" si="11"/>
        <v>0.28999999999999998</v>
      </c>
    </row>
    <row r="93" spans="2:12" x14ac:dyDescent="0.15">
      <c r="B93" s="108" t="s">
        <v>1170</v>
      </c>
      <c r="C93" s="106">
        <v>1</v>
      </c>
      <c r="D93" s="106" t="s">
        <v>1103</v>
      </c>
      <c r="E93" s="107">
        <f>INGREDIENTS!F22</f>
        <v>0.115</v>
      </c>
      <c r="F93" s="107">
        <f t="shared" si="10"/>
        <v>0.115</v>
      </c>
      <c r="G93" s="187"/>
      <c r="H93" s="108" t="s">
        <v>1359</v>
      </c>
      <c r="I93" s="106">
        <v>1</v>
      </c>
      <c r="J93" s="106" t="s">
        <v>1103</v>
      </c>
      <c r="K93" s="107">
        <f>INGREDIENTS!F27</f>
        <v>0.15</v>
      </c>
      <c r="L93" s="107">
        <f t="shared" si="11"/>
        <v>0.15</v>
      </c>
    </row>
    <row r="94" spans="2:12" x14ac:dyDescent="0.15">
      <c r="B94" s="106" t="s">
        <v>1171</v>
      </c>
      <c r="C94" s="106">
        <v>1</v>
      </c>
      <c r="D94" s="106" t="s">
        <v>1103</v>
      </c>
      <c r="E94" s="107">
        <f>INGREDIENTS!F28</f>
        <v>5.8000000000000003E-2</v>
      </c>
      <c r="F94" s="107">
        <f t="shared" si="10"/>
        <v>5.8000000000000003E-2</v>
      </c>
      <c r="G94" s="187"/>
      <c r="H94" s="106" t="s">
        <v>1171</v>
      </c>
      <c r="I94" s="106">
        <v>1</v>
      </c>
      <c r="J94" s="106" t="s">
        <v>1103</v>
      </c>
      <c r="K94" s="107">
        <f>INGREDIENTS!F28</f>
        <v>5.8000000000000003E-2</v>
      </c>
      <c r="L94" s="107">
        <f t="shared" si="11"/>
        <v>5.8000000000000003E-2</v>
      </c>
    </row>
    <row r="95" spans="2:12" x14ac:dyDescent="0.15">
      <c r="B95" s="106"/>
      <c r="C95" s="106"/>
      <c r="D95" s="106"/>
      <c r="E95" s="107"/>
      <c r="F95" s="107"/>
      <c r="G95" s="187"/>
      <c r="H95" s="106"/>
      <c r="I95" s="106"/>
      <c r="J95" s="106"/>
      <c r="K95" s="107"/>
      <c r="L95" s="107"/>
    </row>
    <row r="96" spans="2:12" x14ac:dyDescent="0.15">
      <c r="B96" s="106"/>
      <c r="C96" s="106"/>
      <c r="D96" s="106"/>
      <c r="E96" s="107"/>
      <c r="F96" s="107"/>
      <c r="G96" s="187"/>
      <c r="H96" s="106"/>
      <c r="I96" s="106"/>
      <c r="J96" s="106"/>
      <c r="K96" s="107"/>
      <c r="L96" s="107"/>
    </row>
    <row r="97" spans="2:12" ht="18" x14ac:dyDescent="0.2">
      <c r="F97" s="110">
        <f>SUM(F89:F96)</f>
        <v>2.7029999999999998</v>
      </c>
      <c r="G97" s="187"/>
      <c r="L97" s="110">
        <f>SUM(L89:L96)</f>
        <v>2.7579999999999996</v>
      </c>
    </row>
    <row r="98" spans="2:12" x14ac:dyDescent="0.15">
      <c r="B98" t="s">
        <v>1132</v>
      </c>
      <c r="C98" s="58">
        <v>12</v>
      </c>
      <c r="G98" s="187"/>
      <c r="H98" t="s">
        <v>1132</v>
      </c>
      <c r="I98" s="58">
        <v>16</v>
      </c>
    </row>
    <row r="99" spans="2:12" ht="18" x14ac:dyDescent="0.2">
      <c r="B99" t="s">
        <v>1125</v>
      </c>
      <c r="C99" s="58">
        <f>F97+5%</f>
        <v>2.7529999999999997</v>
      </c>
      <c r="D99" s="111">
        <f>C99/C98</f>
        <v>0.22941666666666663</v>
      </c>
      <c r="G99" s="187"/>
      <c r="H99" t="s">
        <v>1125</v>
      </c>
      <c r="I99" s="58">
        <f>L97+5%</f>
        <v>2.8079999999999994</v>
      </c>
      <c r="J99" s="111">
        <f>I99/I98</f>
        <v>0.17549999999999996</v>
      </c>
    </row>
    <row r="100" spans="2:12" x14ac:dyDescent="0.15">
      <c r="B100" t="s">
        <v>1133</v>
      </c>
      <c r="C100" s="58">
        <f>C98-C99</f>
        <v>9.2469999999999999</v>
      </c>
      <c r="D100" s="112"/>
      <c r="G100" s="187"/>
      <c r="H100" t="s">
        <v>1133</v>
      </c>
      <c r="I100" s="58">
        <f>I98-I99</f>
        <v>13.192</v>
      </c>
      <c r="J100" s="112"/>
    </row>
    <row r="101" spans="2:12" x14ac:dyDescent="0.15"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</row>
    <row r="102" spans="2:12" x14ac:dyDescent="0.15"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</row>
    <row r="103" spans="2:12" ht="23" x14ac:dyDescent="0.25">
      <c r="B103" s="185" t="s">
        <v>1180</v>
      </c>
      <c r="C103" s="185"/>
      <c r="D103" s="185"/>
      <c r="E103" s="185"/>
      <c r="F103" s="185"/>
      <c r="G103" s="187"/>
      <c r="H103" s="185" t="s">
        <v>1180</v>
      </c>
      <c r="I103" s="185"/>
      <c r="J103" s="185"/>
      <c r="K103" s="185"/>
      <c r="L103" s="185"/>
    </row>
    <row r="104" spans="2:12" ht="16" x14ac:dyDescent="0.2">
      <c r="B104" s="119" t="s">
        <v>1122</v>
      </c>
      <c r="C104" s="119" t="s">
        <v>1123</v>
      </c>
      <c r="D104" s="119" t="s">
        <v>1124</v>
      </c>
      <c r="E104" s="119" t="s">
        <v>1125</v>
      </c>
      <c r="F104" s="119" t="s">
        <v>1126</v>
      </c>
      <c r="G104" s="187"/>
      <c r="H104" s="119" t="s">
        <v>1122</v>
      </c>
      <c r="I104" s="119" t="s">
        <v>1123</v>
      </c>
      <c r="J104" s="119" t="s">
        <v>1124</v>
      </c>
      <c r="K104" s="119" t="s">
        <v>1125</v>
      </c>
      <c r="L104" s="119" t="s">
        <v>1126</v>
      </c>
    </row>
    <row r="105" spans="2:12" x14ac:dyDescent="0.15">
      <c r="B105" s="106" t="s">
        <v>1181</v>
      </c>
      <c r="C105" s="106">
        <v>20</v>
      </c>
      <c r="D105" s="108" t="s">
        <v>1001</v>
      </c>
      <c r="E105" s="107">
        <f>INGREDIENTS!F73</f>
        <v>0.06</v>
      </c>
      <c r="F105" s="107">
        <f>E105*C105</f>
        <v>1.2</v>
      </c>
      <c r="G105" s="187"/>
      <c r="H105" s="106" t="s">
        <v>1181</v>
      </c>
      <c r="I105" s="106">
        <v>20</v>
      </c>
      <c r="J105" s="108" t="s">
        <v>1001</v>
      </c>
      <c r="K105" s="107">
        <f>INGREDIENTS!F73</f>
        <v>0.06</v>
      </c>
      <c r="L105" s="107">
        <f>K105*I105</f>
        <v>1.2</v>
      </c>
    </row>
    <row r="106" spans="2:12" x14ac:dyDescent="0.15">
      <c r="B106" s="108" t="s">
        <v>1178</v>
      </c>
      <c r="C106" s="106">
        <v>20</v>
      </c>
      <c r="D106" s="108" t="s">
        <v>1001</v>
      </c>
      <c r="E106" s="107">
        <f>INGREDIENTS!F108</f>
        <v>9.4999999999999998E-3</v>
      </c>
      <c r="F106" s="107">
        <f t="shared" ref="F106:F111" si="12">E106*C106</f>
        <v>0.19</v>
      </c>
      <c r="G106" s="187"/>
      <c r="H106" s="108" t="s">
        <v>1178</v>
      </c>
      <c r="I106" s="106">
        <v>20</v>
      </c>
      <c r="J106" s="108" t="s">
        <v>1001</v>
      </c>
      <c r="K106" s="107">
        <f>INGREDIENTS!F108</f>
        <v>9.4999999999999998E-3</v>
      </c>
      <c r="L106" s="107">
        <f t="shared" ref="L106:L111" si="13">K106*I106</f>
        <v>0.19</v>
      </c>
    </row>
    <row r="107" spans="2:12" x14ac:dyDescent="0.15">
      <c r="B107" s="108" t="s">
        <v>1302</v>
      </c>
      <c r="C107" s="106">
        <v>20</v>
      </c>
      <c r="D107" s="108" t="s">
        <v>1001</v>
      </c>
      <c r="E107" s="107">
        <f>INGREDIENTS!F179</f>
        <v>4.7999999999999996E-3</v>
      </c>
      <c r="F107" s="107">
        <f t="shared" si="12"/>
        <v>9.5999999999999988E-2</v>
      </c>
      <c r="G107" s="187"/>
      <c r="H107" s="108" t="s">
        <v>1302</v>
      </c>
      <c r="I107" s="106">
        <v>20</v>
      </c>
      <c r="J107" s="108" t="s">
        <v>1001</v>
      </c>
      <c r="K107" s="107">
        <f>INGREDIENTS!F179</f>
        <v>4.7999999999999996E-3</v>
      </c>
      <c r="L107" s="107">
        <f t="shared" si="13"/>
        <v>9.5999999999999988E-2</v>
      </c>
    </row>
    <row r="108" spans="2:12" x14ac:dyDescent="0.15">
      <c r="B108" s="108" t="s">
        <v>1303</v>
      </c>
      <c r="C108" s="106">
        <v>120</v>
      </c>
      <c r="D108" s="108" t="s">
        <v>1001</v>
      </c>
      <c r="E108" s="107">
        <f>INGREDIENTS!F63</f>
        <v>3.5000000000000001E-3</v>
      </c>
      <c r="F108" s="107">
        <f t="shared" si="12"/>
        <v>0.42</v>
      </c>
      <c r="G108" s="187"/>
      <c r="H108" s="108" t="s">
        <v>1303</v>
      </c>
      <c r="I108" s="106">
        <v>120</v>
      </c>
      <c r="J108" s="108" t="s">
        <v>1001</v>
      </c>
      <c r="K108" s="107">
        <f>INGREDIENTS!F63</f>
        <v>3.5000000000000001E-3</v>
      </c>
      <c r="L108" s="107">
        <f t="shared" si="13"/>
        <v>0.42</v>
      </c>
    </row>
    <row r="109" spans="2:12" x14ac:dyDescent="0.15">
      <c r="B109" s="108" t="s">
        <v>1169</v>
      </c>
      <c r="C109" s="106">
        <v>1</v>
      </c>
      <c r="D109" s="106" t="s">
        <v>1036</v>
      </c>
      <c r="E109" s="107">
        <f>INGREDIENTS!F21</f>
        <v>0.27</v>
      </c>
      <c r="F109" s="107">
        <f t="shared" si="12"/>
        <v>0.27</v>
      </c>
      <c r="G109" s="187"/>
      <c r="H109" s="108" t="s">
        <v>1361</v>
      </c>
      <c r="I109" s="106">
        <v>1</v>
      </c>
      <c r="J109" s="106" t="s">
        <v>1036</v>
      </c>
      <c r="K109" s="107">
        <f>INGREDIENTS!F26</f>
        <v>0.28999999999999998</v>
      </c>
      <c r="L109" s="107">
        <f t="shared" si="13"/>
        <v>0.28999999999999998</v>
      </c>
    </row>
    <row r="110" spans="2:12" x14ac:dyDescent="0.15">
      <c r="B110" s="108" t="s">
        <v>1170</v>
      </c>
      <c r="C110" s="106">
        <v>1</v>
      </c>
      <c r="D110" s="106" t="s">
        <v>1103</v>
      </c>
      <c r="E110" s="107">
        <f>INGREDIENTS!F22</f>
        <v>0.115</v>
      </c>
      <c r="F110" s="107">
        <f t="shared" si="12"/>
        <v>0.115</v>
      </c>
      <c r="G110" s="187"/>
      <c r="H110" s="108" t="s">
        <v>1359</v>
      </c>
      <c r="I110" s="106">
        <v>1</v>
      </c>
      <c r="J110" s="106" t="s">
        <v>1103</v>
      </c>
      <c r="K110" s="107">
        <f>INGREDIENTS!F27</f>
        <v>0.15</v>
      </c>
      <c r="L110" s="107">
        <f t="shared" si="13"/>
        <v>0.15</v>
      </c>
    </row>
    <row r="111" spans="2:12" x14ac:dyDescent="0.15">
      <c r="B111" s="106" t="s">
        <v>1171</v>
      </c>
      <c r="C111" s="106">
        <v>1</v>
      </c>
      <c r="D111" s="106" t="s">
        <v>1103</v>
      </c>
      <c r="E111" s="107">
        <f>INGREDIENTS!F28</f>
        <v>5.8000000000000003E-2</v>
      </c>
      <c r="F111" s="107">
        <f t="shared" si="12"/>
        <v>5.8000000000000003E-2</v>
      </c>
      <c r="G111" s="187"/>
      <c r="H111" s="106" t="s">
        <v>1171</v>
      </c>
      <c r="I111" s="106">
        <v>1</v>
      </c>
      <c r="J111" s="106" t="s">
        <v>1103</v>
      </c>
      <c r="K111" s="107">
        <f>INGREDIENTS!F28</f>
        <v>5.8000000000000003E-2</v>
      </c>
      <c r="L111" s="107">
        <f t="shared" si="13"/>
        <v>5.8000000000000003E-2</v>
      </c>
    </row>
    <row r="112" spans="2:12" x14ac:dyDescent="0.15">
      <c r="B112" s="106"/>
      <c r="C112" s="106"/>
      <c r="D112" s="106"/>
      <c r="E112" s="107"/>
      <c r="F112" s="107"/>
      <c r="G112" s="187"/>
      <c r="H112" s="106"/>
      <c r="I112" s="106"/>
      <c r="J112" s="106"/>
      <c r="K112" s="107"/>
      <c r="L112" s="107"/>
    </row>
    <row r="113" spans="2:12" ht="18" x14ac:dyDescent="0.2">
      <c r="F113" s="110">
        <f>SUM(F105:F112)</f>
        <v>2.3490000000000002</v>
      </c>
      <c r="G113" s="187"/>
      <c r="L113" s="110">
        <f>SUM(L105:L112)</f>
        <v>2.4039999999999995</v>
      </c>
    </row>
    <row r="114" spans="2:12" x14ac:dyDescent="0.15">
      <c r="B114" t="s">
        <v>1132</v>
      </c>
      <c r="C114" s="58">
        <v>12</v>
      </c>
      <c r="G114" s="187"/>
      <c r="H114" t="s">
        <v>1132</v>
      </c>
      <c r="I114" s="58">
        <v>16</v>
      </c>
    </row>
    <row r="115" spans="2:12" ht="18" x14ac:dyDescent="0.2">
      <c r="B115" t="s">
        <v>1125</v>
      </c>
      <c r="C115" s="58">
        <f>F113+5%</f>
        <v>2.399</v>
      </c>
      <c r="D115" s="111">
        <f>C115/C114</f>
        <v>0.19991666666666666</v>
      </c>
      <c r="G115" s="187"/>
      <c r="H115" t="s">
        <v>1125</v>
      </c>
      <c r="I115" s="58">
        <f>L113+5%</f>
        <v>2.4539999999999993</v>
      </c>
      <c r="J115" s="111">
        <f>I115/I114</f>
        <v>0.15337499999999996</v>
      </c>
    </row>
    <row r="116" spans="2:12" x14ac:dyDescent="0.15">
      <c r="B116" t="s">
        <v>1133</v>
      </c>
      <c r="C116" s="58">
        <f>C114-C115</f>
        <v>9.6009999999999991</v>
      </c>
      <c r="D116" s="112"/>
      <c r="G116" s="187"/>
      <c r="H116" t="s">
        <v>1133</v>
      </c>
      <c r="I116" s="58">
        <f>I114-I115</f>
        <v>13.546000000000001</v>
      </c>
      <c r="J116" s="112"/>
    </row>
    <row r="117" spans="2:12" x14ac:dyDescent="0.15"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</row>
    <row r="118" spans="2:12" x14ac:dyDescent="0.15"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</row>
    <row r="119" spans="2:12" ht="23" x14ac:dyDescent="0.25">
      <c r="B119" s="185" t="s">
        <v>1183</v>
      </c>
      <c r="C119" s="185"/>
      <c r="D119" s="185"/>
      <c r="E119" s="185"/>
      <c r="F119" s="185"/>
      <c r="G119" s="187"/>
      <c r="H119" s="185" t="s">
        <v>1183</v>
      </c>
      <c r="I119" s="185"/>
      <c r="J119" s="185"/>
      <c r="K119" s="185"/>
      <c r="L119" s="185"/>
    </row>
    <row r="120" spans="2:12" ht="16" x14ac:dyDescent="0.2">
      <c r="B120" s="119" t="s">
        <v>1122</v>
      </c>
      <c r="C120" s="119" t="s">
        <v>1123</v>
      </c>
      <c r="D120" s="119" t="s">
        <v>1124</v>
      </c>
      <c r="E120" s="119" t="s">
        <v>1125</v>
      </c>
      <c r="F120" s="119" t="s">
        <v>1126</v>
      </c>
      <c r="G120" s="187"/>
      <c r="H120" s="119" t="s">
        <v>1122</v>
      </c>
      <c r="I120" s="119" t="s">
        <v>1123</v>
      </c>
      <c r="J120" s="119" t="s">
        <v>1124</v>
      </c>
      <c r="K120" s="119" t="s">
        <v>1125</v>
      </c>
      <c r="L120" s="119" t="s">
        <v>1126</v>
      </c>
    </row>
    <row r="121" spans="2:12" x14ac:dyDescent="0.15">
      <c r="B121" s="108" t="s">
        <v>1300</v>
      </c>
      <c r="C121" s="106">
        <f>8+(18*0.025)</f>
        <v>8.4499999999999993</v>
      </c>
      <c r="D121" s="108" t="s">
        <v>1304</v>
      </c>
      <c r="E121" s="107">
        <f>INGREDIENTS!F11</f>
        <v>7.0000000000000007E-2</v>
      </c>
      <c r="F121" s="107">
        <f>E121*C121</f>
        <v>0.59150000000000003</v>
      </c>
      <c r="G121" s="187"/>
      <c r="H121" s="108" t="s">
        <v>1300</v>
      </c>
      <c r="I121" s="106">
        <f>8+(18*0.025)</f>
        <v>8.4499999999999993</v>
      </c>
      <c r="J121" s="108" t="s">
        <v>1304</v>
      </c>
      <c r="K121" s="107">
        <f>INGREDIENTS!F11</f>
        <v>7.0000000000000007E-2</v>
      </c>
      <c r="L121" s="107">
        <f>K121*I121</f>
        <v>0.59150000000000003</v>
      </c>
    </row>
    <row r="122" spans="2:12" x14ac:dyDescent="0.15">
      <c r="B122" s="108" t="s">
        <v>1184</v>
      </c>
      <c r="C122" s="106">
        <v>10</v>
      </c>
      <c r="D122" s="108" t="s">
        <v>1001</v>
      </c>
      <c r="E122" s="107">
        <f>INGREDIENTS!F120</f>
        <v>1.0999999999999999E-2</v>
      </c>
      <c r="F122" s="107">
        <f t="shared" ref="F122:F127" si="14">E122*C122</f>
        <v>0.10999999999999999</v>
      </c>
      <c r="G122" s="187"/>
      <c r="H122" s="108" t="s">
        <v>1184</v>
      </c>
      <c r="I122" s="106">
        <v>10</v>
      </c>
      <c r="J122" s="108" t="s">
        <v>1001</v>
      </c>
      <c r="K122" s="107">
        <f>INGREDIENTS!F120</f>
        <v>1.0999999999999999E-2</v>
      </c>
      <c r="L122" s="107">
        <f t="shared" ref="L122:L127" si="15">K122*I122</f>
        <v>0.10999999999999999</v>
      </c>
    </row>
    <row r="123" spans="2:12" x14ac:dyDescent="0.15">
      <c r="B123" s="108" t="s">
        <v>1305</v>
      </c>
      <c r="C123" s="106">
        <v>10</v>
      </c>
      <c r="D123" s="108" t="s">
        <v>1001</v>
      </c>
      <c r="E123" s="107">
        <f>INGREDIENTS!F119</f>
        <v>1.0999999999999999E-2</v>
      </c>
      <c r="F123" s="107">
        <f t="shared" si="14"/>
        <v>0.10999999999999999</v>
      </c>
      <c r="G123" s="187"/>
      <c r="H123" s="108" t="s">
        <v>1305</v>
      </c>
      <c r="I123" s="106">
        <v>10</v>
      </c>
      <c r="J123" s="108" t="s">
        <v>1001</v>
      </c>
      <c r="K123" s="107">
        <f>INGREDIENTS!F119</f>
        <v>1.0999999999999999E-2</v>
      </c>
      <c r="L123" s="107">
        <f t="shared" si="15"/>
        <v>0.10999999999999999</v>
      </c>
    </row>
    <row r="124" spans="2:12" x14ac:dyDescent="0.15">
      <c r="B124" s="108" t="s">
        <v>1128</v>
      </c>
      <c r="C124" s="106">
        <v>100</v>
      </c>
      <c r="D124" s="106" t="s">
        <v>1001</v>
      </c>
      <c r="E124" s="107">
        <f>INGREDIENTS!F38</f>
        <v>1.426E-2</v>
      </c>
      <c r="F124" s="107">
        <f t="shared" si="14"/>
        <v>1.4259999999999999</v>
      </c>
      <c r="G124" s="187"/>
      <c r="H124" s="108" t="s">
        <v>1128</v>
      </c>
      <c r="I124" s="106">
        <v>100</v>
      </c>
      <c r="J124" s="106" t="s">
        <v>1001</v>
      </c>
      <c r="K124" s="107">
        <f>INGREDIENTS!F38</f>
        <v>1.426E-2</v>
      </c>
      <c r="L124" s="107">
        <f t="shared" si="15"/>
        <v>1.4259999999999999</v>
      </c>
    </row>
    <row r="125" spans="2:12" x14ac:dyDescent="0.15">
      <c r="B125" s="108" t="s">
        <v>1169</v>
      </c>
      <c r="C125" s="106">
        <v>1</v>
      </c>
      <c r="D125" s="106" t="s">
        <v>1036</v>
      </c>
      <c r="E125" s="107">
        <f>INGREDIENTS!F21</f>
        <v>0.27</v>
      </c>
      <c r="F125" s="107">
        <f t="shared" si="14"/>
        <v>0.27</v>
      </c>
      <c r="G125" s="187"/>
      <c r="H125" s="108" t="s">
        <v>1361</v>
      </c>
      <c r="I125" s="106">
        <v>1</v>
      </c>
      <c r="J125" s="106" t="s">
        <v>1036</v>
      </c>
      <c r="K125" s="107">
        <f>INGREDIENTS!F26</f>
        <v>0.28999999999999998</v>
      </c>
      <c r="L125" s="107">
        <f t="shared" si="15"/>
        <v>0.28999999999999998</v>
      </c>
    </row>
    <row r="126" spans="2:12" x14ac:dyDescent="0.15">
      <c r="B126" s="108" t="s">
        <v>1170</v>
      </c>
      <c r="C126" s="106">
        <v>1</v>
      </c>
      <c r="D126" s="106" t="s">
        <v>1103</v>
      </c>
      <c r="E126" s="107">
        <f>INGREDIENTS!F22</f>
        <v>0.115</v>
      </c>
      <c r="F126" s="107">
        <f t="shared" si="14"/>
        <v>0.115</v>
      </c>
      <c r="G126" s="187"/>
      <c r="H126" s="108" t="s">
        <v>1359</v>
      </c>
      <c r="I126" s="106">
        <v>1</v>
      </c>
      <c r="J126" s="106" t="s">
        <v>1103</v>
      </c>
      <c r="K126" s="107">
        <f>INGREDIENTS!F27</f>
        <v>0.15</v>
      </c>
      <c r="L126" s="107">
        <f t="shared" si="15"/>
        <v>0.15</v>
      </c>
    </row>
    <row r="127" spans="2:12" x14ac:dyDescent="0.15">
      <c r="B127" s="106" t="s">
        <v>1171</v>
      </c>
      <c r="C127" s="106">
        <v>1</v>
      </c>
      <c r="D127" s="106" t="s">
        <v>1103</v>
      </c>
      <c r="E127" s="107">
        <f>INGREDIENTS!F28</f>
        <v>5.8000000000000003E-2</v>
      </c>
      <c r="F127" s="107">
        <f t="shared" si="14"/>
        <v>5.8000000000000003E-2</v>
      </c>
      <c r="G127" s="187"/>
      <c r="H127" s="106" t="s">
        <v>1171</v>
      </c>
      <c r="I127" s="106">
        <v>1</v>
      </c>
      <c r="J127" s="106" t="s">
        <v>1103</v>
      </c>
      <c r="K127" s="107">
        <f>INGREDIENTS!F28</f>
        <v>5.8000000000000003E-2</v>
      </c>
      <c r="L127" s="107">
        <f t="shared" si="15"/>
        <v>5.8000000000000003E-2</v>
      </c>
    </row>
    <row r="128" spans="2:12" x14ac:dyDescent="0.15">
      <c r="B128" s="106"/>
      <c r="C128" s="106"/>
      <c r="D128" s="106"/>
      <c r="E128" s="107"/>
      <c r="F128" s="107"/>
      <c r="G128" s="187"/>
      <c r="H128" s="106"/>
      <c r="I128" s="106"/>
      <c r="J128" s="106"/>
      <c r="K128" s="107"/>
      <c r="L128" s="107"/>
    </row>
    <row r="129" spans="2:12" ht="18" x14ac:dyDescent="0.2">
      <c r="F129" s="110">
        <f>SUM(F121:F128)</f>
        <v>2.6804999999999999</v>
      </c>
      <c r="G129" s="187"/>
      <c r="L129" s="110">
        <f>SUM(L121:L128)</f>
        <v>2.7354999999999996</v>
      </c>
    </row>
    <row r="130" spans="2:12" x14ac:dyDescent="0.15">
      <c r="B130" t="s">
        <v>1132</v>
      </c>
      <c r="C130" s="58">
        <v>12</v>
      </c>
      <c r="G130" s="187"/>
      <c r="H130" t="s">
        <v>1132</v>
      </c>
      <c r="I130" s="58">
        <v>16</v>
      </c>
    </row>
    <row r="131" spans="2:12" ht="18" x14ac:dyDescent="0.2">
      <c r="B131" t="s">
        <v>1125</v>
      </c>
      <c r="C131" s="58">
        <f>F129+5%</f>
        <v>2.7304999999999997</v>
      </c>
      <c r="D131" s="111">
        <f>C131/C130</f>
        <v>0.22754166666666664</v>
      </c>
      <c r="G131" s="187"/>
      <c r="H131" t="s">
        <v>1125</v>
      </c>
      <c r="I131" s="58">
        <f>L129+5%</f>
        <v>2.7854999999999994</v>
      </c>
      <c r="J131" s="111">
        <f>I131/I130</f>
        <v>0.17409374999999996</v>
      </c>
    </row>
    <row r="132" spans="2:12" x14ac:dyDescent="0.15">
      <c r="B132" t="s">
        <v>1133</v>
      </c>
      <c r="C132" s="58">
        <f>C130-C131</f>
        <v>9.2695000000000007</v>
      </c>
      <c r="D132" s="112"/>
      <c r="G132" s="187"/>
      <c r="H132" t="s">
        <v>1133</v>
      </c>
      <c r="I132" s="58">
        <f>I130-I131</f>
        <v>13.214500000000001</v>
      </c>
      <c r="J132" s="112"/>
    </row>
    <row r="133" spans="2:12" x14ac:dyDescent="0.15"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</row>
    <row r="134" spans="2:12" x14ac:dyDescent="0.15"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</row>
    <row r="135" spans="2:12" ht="23" x14ac:dyDescent="0.25">
      <c r="B135" s="185" t="s">
        <v>1185</v>
      </c>
      <c r="C135" s="185"/>
      <c r="D135" s="185"/>
      <c r="E135" s="185"/>
      <c r="F135" s="185"/>
      <c r="G135" s="187"/>
      <c r="H135" s="185" t="s">
        <v>1185</v>
      </c>
      <c r="I135" s="185"/>
      <c r="J135" s="185"/>
      <c r="K135" s="185"/>
      <c r="L135" s="185"/>
    </row>
    <row r="136" spans="2:12" ht="16" x14ac:dyDescent="0.2">
      <c r="B136" s="119" t="s">
        <v>1122</v>
      </c>
      <c r="C136" s="119" t="s">
        <v>1123</v>
      </c>
      <c r="D136" s="119" t="s">
        <v>1124</v>
      </c>
      <c r="E136" s="119" t="s">
        <v>1125</v>
      </c>
      <c r="F136" s="119" t="s">
        <v>1126</v>
      </c>
      <c r="G136" s="187"/>
      <c r="H136" s="119" t="s">
        <v>1122</v>
      </c>
      <c r="I136" s="119" t="s">
        <v>1123</v>
      </c>
      <c r="J136" s="119" t="s">
        <v>1124</v>
      </c>
      <c r="K136" s="119" t="s">
        <v>1125</v>
      </c>
      <c r="L136" s="119" t="s">
        <v>1126</v>
      </c>
    </row>
    <row r="137" spans="2:12" x14ac:dyDescent="0.15">
      <c r="B137" s="108" t="s">
        <v>1306</v>
      </c>
      <c r="C137" s="106">
        <v>60</v>
      </c>
      <c r="D137" s="108" t="s">
        <v>1176</v>
      </c>
      <c r="E137" s="107">
        <f>'KITCHEN Prep Cards'!C24</f>
        <v>4.6000000000000008E-3</v>
      </c>
      <c r="F137" s="107">
        <f t="shared" ref="F137:F143" si="16">E137*C137</f>
        <v>0.27600000000000002</v>
      </c>
      <c r="G137" s="187"/>
      <c r="H137" s="108" t="s">
        <v>1306</v>
      </c>
      <c r="I137" s="106">
        <v>60</v>
      </c>
      <c r="J137" s="108" t="s">
        <v>1176</v>
      </c>
      <c r="K137" s="107">
        <f>'KITCHEN Prep Cards'!C24</f>
        <v>4.6000000000000008E-3</v>
      </c>
      <c r="L137" s="107">
        <f t="shared" ref="L137:L143" si="17">K137*I137</f>
        <v>0.27600000000000002</v>
      </c>
    </row>
    <row r="138" spans="2:12" x14ac:dyDescent="0.15">
      <c r="B138" s="108" t="s">
        <v>1178</v>
      </c>
      <c r="C138" s="106">
        <v>20</v>
      </c>
      <c r="D138" s="108" t="s">
        <v>1176</v>
      </c>
      <c r="E138" s="107">
        <f>INGREDIENTS!F108</f>
        <v>9.4999999999999998E-3</v>
      </c>
      <c r="F138" s="107">
        <f t="shared" si="16"/>
        <v>0.19</v>
      </c>
      <c r="G138" s="187"/>
      <c r="H138" s="108" t="s">
        <v>1178</v>
      </c>
      <c r="I138" s="106">
        <v>20</v>
      </c>
      <c r="J138" s="108" t="s">
        <v>1176</v>
      </c>
      <c r="K138" s="107">
        <f>INGREDIENTS!F108</f>
        <v>9.4999999999999998E-3</v>
      </c>
      <c r="L138" s="107">
        <f t="shared" si="17"/>
        <v>0.19</v>
      </c>
    </row>
    <row r="139" spans="2:12" x14ac:dyDescent="0.15">
      <c r="B139" s="108" t="s">
        <v>1119</v>
      </c>
      <c r="C139" s="106">
        <v>20</v>
      </c>
      <c r="D139" s="108" t="s">
        <v>1001</v>
      </c>
      <c r="E139" s="107">
        <f>INGREDIENTS!F179</f>
        <v>4.7999999999999996E-3</v>
      </c>
      <c r="F139" s="107">
        <f t="shared" si="16"/>
        <v>9.5999999999999988E-2</v>
      </c>
      <c r="G139" s="187"/>
      <c r="H139" s="108" t="s">
        <v>1119</v>
      </c>
      <c r="I139" s="106">
        <v>20</v>
      </c>
      <c r="J139" s="108" t="s">
        <v>1001</v>
      </c>
      <c r="K139" s="107">
        <f>INGREDIENTS!F179</f>
        <v>4.7999999999999996E-3</v>
      </c>
      <c r="L139" s="107">
        <f t="shared" si="17"/>
        <v>9.5999999999999988E-2</v>
      </c>
    </row>
    <row r="140" spans="2:12" x14ac:dyDescent="0.15">
      <c r="B140" s="108" t="s">
        <v>1301</v>
      </c>
      <c r="C140" s="106">
        <v>5</v>
      </c>
      <c r="D140" s="108" t="s">
        <v>1129</v>
      </c>
      <c r="E140" s="107">
        <f>INGREDIENTS!F134</f>
        <v>8.8800000000000004E-2</v>
      </c>
      <c r="F140" s="107">
        <f t="shared" si="16"/>
        <v>0.44400000000000001</v>
      </c>
      <c r="G140" s="187"/>
      <c r="H140" s="108" t="s">
        <v>1301</v>
      </c>
      <c r="I140" s="106">
        <v>5</v>
      </c>
      <c r="J140" s="108" t="s">
        <v>1129</v>
      </c>
      <c r="K140" s="107">
        <f>INGREDIENTS!F134</f>
        <v>8.8800000000000004E-2</v>
      </c>
      <c r="L140" s="107">
        <f t="shared" si="17"/>
        <v>0.44400000000000001</v>
      </c>
    </row>
    <row r="141" spans="2:12" x14ac:dyDescent="0.15">
      <c r="B141" s="108" t="s">
        <v>1169</v>
      </c>
      <c r="C141" s="106">
        <v>1</v>
      </c>
      <c r="D141" s="106" t="s">
        <v>1036</v>
      </c>
      <c r="E141" s="107">
        <f>INGREDIENTS!F21</f>
        <v>0.27</v>
      </c>
      <c r="F141" s="107">
        <f t="shared" si="16"/>
        <v>0.27</v>
      </c>
      <c r="G141" s="187"/>
      <c r="H141" s="108" t="s">
        <v>1361</v>
      </c>
      <c r="I141" s="106">
        <v>1</v>
      </c>
      <c r="J141" s="106" t="s">
        <v>1036</v>
      </c>
      <c r="K141" s="107">
        <f>INGREDIENTS!F26</f>
        <v>0.28999999999999998</v>
      </c>
      <c r="L141" s="107">
        <f t="shared" si="17"/>
        <v>0.28999999999999998</v>
      </c>
    </row>
    <row r="142" spans="2:12" x14ac:dyDescent="0.15">
      <c r="B142" s="108" t="s">
        <v>1170</v>
      </c>
      <c r="C142" s="106">
        <v>1</v>
      </c>
      <c r="D142" s="106" t="s">
        <v>1103</v>
      </c>
      <c r="E142" s="107">
        <f>INGREDIENTS!F22</f>
        <v>0.115</v>
      </c>
      <c r="F142" s="107">
        <f t="shared" si="16"/>
        <v>0.115</v>
      </c>
      <c r="G142" s="187"/>
      <c r="H142" s="108" t="s">
        <v>1359</v>
      </c>
      <c r="I142" s="106">
        <v>1</v>
      </c>
      <c r="J142" s="106" t="s">
        <v>1103</v>
      </c>
      <c r="K142" s="107">
        <f>INGREDIENTS!F27</f>
        <v>0.15</v>
      </c>
      <c r="L142" s="107">
        <f t="shared" si="17"/>
        <v>0.15</v>
      </c>
    </row>
    <row r="143" spans="2:12" x14ac:dyDescent="0.15">
      <c r="B143" s="106" t="s">
        <v>1171</v>
      </c>
      <c r="C143" s="106">
        <v>1</v>
      </c>
      <c r="D143" s="106" t="s">
        <v>1103</v>
      </c>
      <c r="E143" s="107">
        <f>INGREDIENTS!F28</f>
        <v>5.8000000000000003E-2</v>
      </c>
      <c r="F143" s="107">
        <f t="shared" si="16"/>
        <v>5.8000000000000003E-2</v>
      </c>
      <c r="G143" s="187"/>
      <c r="H143" s="106" t="s">
        <v>1171</v>
      </c>
      <c r="I143" s="106">
        <v>1</v>
      </c>
      <c r="J143" s="106" t="s">
        <v>1103</v>
      </c>
      <c r="K143" s="107">
        <f>INGREDIENTS!F28</f>
        <v>5.8000000000000003E-2</v>
      </c>
      <c r="L143" s="107">
        <f t="shared" si="17"/>
        <v>5.8000000000000003E-2</v>
      </c>
    </row>
    <row r="144" spans="2:12" ht="18" x14ac:dyDescent="0.2">
      <c r="F144" s="110">
        <f>SUM(F137:F143)</f>
        <v>1.4490000000000001</v>
      </c>
      <c r="G144" s="187"/>
      <c r="L144" s="110">
        <f>SUM(L137:L143)</f>
        <v>1.504</v>
      </c>
    </row>
    <row r="145" spans="2:12" x14ac:dyDescent="0.15">
      <c r="B145" t="s">
        <v>1132</v>
      </c>
      <c r="C145" s="58">
        <v>12</v>
      </c>
      <c r="G145" s="187"/>
      <c r="H145" t="s">
        <v>1132</v>
      </c>
      <c r="I145" s="58">
        <v>16</v>
      </c>
    </row>
    <row r="146" spans="2:12" ht="18" x14ac:dyDescent="0.2">
      <c r="B146" t="s">
        <v>1125</v>
      </c>
      <c r="C146" s="58">
        <f>F144+5%</f>
        <v>1.4990000000000001</v>
      </c>
      <c r="D146" s="111">
        <f>C146/C145</f>
        <v>0.12491666666666668</v>
      </c>
      <c r="G146" s="187"/>
      <c r="H146" t="s">
        <v>1125</v>
      </c>
      <c r="I146" s="58">
        <f>L144+5%</f>
        <v>1.554</v>
      </c>
      <c r="J146" s="111">
        <f>I146/I145</f>
        <v>9.7125000000000003E-2</v>
      </c>
    </row>
    <row r="147" spans="2:12" x14ac:dyDescent="0.15">
      <c r="B147" t="s">
        <v>1133</v>
      </c>
      <c r="C147" s="58">
        <f>C145-C146</f>
        <v>10.500999999999999</v>
      </c>
      <c r="D147" s="112"/>
      <c r="G147" s="187"/>
      <c r="H147" t="s">
        <v>1133</v>
      </c>
      <c r="I147" s="58">
        <f>I145-I146</f>
        <v>14.446</v>
      </c>
      <c r="J147" s="112"/>
    </row>
    <row r="148" spans="2:12" x14ac:dyDescent="0.15"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</row>
    <row r="149" spans="2:12" x14ac:dyDescent="0.15"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</row>
    <row r="150" spans="2:12" ht="23" x14ac:dyDescent="0.25">
      <c r="B150" s="185" t="s">
        <v>1330</v>
      </c>
      <c r="C150" s="185"/>
      <c r="D150" s="185"/>
      <c r="E150" s="185"/>
      <c r="F150" s="185"/>
      <c r="G150" s="187"/>
      <c r="H150" s="185" t="s">
        <v>1330</v>
      </c>
      <c r="I150" s="185"/>
      <c r="J150" s="185"/>
      <c r="K150" s="185"/>
      <c r="L150" s="185"/>
    </row>
    <row r="151" spans="2:12" ht="16" x14ac:dyDescent="0.2">
      <c r="B151" s="119" t="s">
        <v>1122</v>
      </c>
      <c r="C151" s="119" t="s">
        <v>1123</v>
      </c>
      <c r="D151" s="119" t="s">
        <v>1124</v>
      </c>
      <c r="E151" s="119" t="s">
        <v>1125</v>
      </c>
      <c r="F151" s="119" t="s">
        <v>1126</v>
      </c>
      <c r="G151" s="187"/>
      <c r="H151" s="119" t="s">
        <v>1122</v>
      </c>
      <c r="I151" s="119" t="s">
        <v>1123</v>
      </c>
      <c r="J151" s="119" t="s">
        <v>1124</v>
      </c>
      <c r="K151" s="119" t="s">
        <v>1125</v>
      </c>
      <c r="L151" s="119" t="s">
        <v>1126</v>
      </c>
    </row>
    <row r="152" spans="2:12" x14ac:dyDescent="0.15">
      <c r="B152" s="108" t="s">
        <v>1307</v>
      </c>
      <c r="C152" s="106">
        <v>30</v>
      </c>
      <c r="D152" s="108" t="s">
        <v>1129</v>
      </c>
      <c r="E152" s="107">
        <f>INGREDIENTS!F195</f>
        <v>0.1</v>
      </c>
      <c r="F152" s="107">
        <f t="shared" ref="F152:F157" si="18">E152*C152</f>
        <v>3</v>
      </c>
      <c r="G152" s="187"/>
      <c r="H152" s="108" t="s">
        <v>1307</v>
      </c>
      <c r="I152" s="106">
        <v>30</v>
      </c>
      <c r="J152" s="108" t="s">
        <v>1129</v>
      </c>
      <c r="K152" s="107">
        <f>INGREDIENTS!F195</f>
        <v>0.1</v>
      </c>
      <c r="L152" s="107">
        <f t="shared" ref="L152:L157" si="19">K152*I152</f>
        <v>3</v>
      </c>
    </row>
    <row r="153" spans="2:12" x14ac:dyDescent="0.15">
      <c r="B153" s="108" t="s">
        <v>1184</v>
      </c>
      <c r="C153" s="106">
        <v>10</v>
      </c>
      <c r="D153" s="108" t="s">
        <v>1176</v>
      </c>
      <c r="E153" s="107">
        <f>INGREDIENTS!F120</f>
        <v>1.0999999999999999E-2</v>
      </c>
      <c r="F153" s="107">
        <f t="shared" si="18"/>
        <v>0.10999999999999999</v>
      </c>
      <c r="G153" s="187"/>
      <c r="H153" s="108" t="s">
        <v>1184</v>
      </c>
      <c r="I153" s="106">
        <v>10</v>
      </c>
      <c r="J153" s="108" t="s">
        <v>1176</v>
      </c>
      <c r="K153" s="107">
        <f>INGREDIENTS!F120</f>
        <v>1.0999999999999999E-2</v>
      </c>
      <c r="L153" s="107">
        <f t="shared" si="19"/>
        <v>0.10999999999999999</v>
      </c>
    </row>
    <row r="154" spans="2:12" x14ac:dyDescent="0.15">
      <c r="B154" s="108" t="s">
        <v>1128</v>
      </c>
      <c r="C154" s="106">
        <v>90</v>
      </c>
      <c r="D154" s="108" t="s">
        <v>1001</v>
      </c>
      <c r="E154" s="107">
        <f>INGREDIENTS!F38</f>
        <v>1.426E-2</v>
      </c>
      <c r="F154" s="107">
        <f t="shared" si="18"/>
        <v>1.2834000000000001</v>
      </c>
      <c r="G154" s="187"/>
      <c r="H154" s="108" t="s">
        <v>1128</v>
      </c>
      <c r="I154" s="106">
        <v>90</v>
      </c>
      <c r="J154" s="108" t="s">
        <v>1001</v>
      </c>
      <c r="K154" s="107">
        <f>INGREDIENTS!F38</f>
        <v>1.426E-2</v>
      </c>
      <c r="L154" s="107">
        <f t="shared" si="19"/>
        <v>1.2834000000000001</v>
      </c>
    </row>
    <row r="155" spans="2:12" x14ac:dyDescent="0.15">
      <c r="B155" s="108" t="s">
        <v>1169</v>
      </c>
      <c r="C155" s="106">
        <v>1</v>
      </c>
      <c r="D155" s="106" t="s">
        <v>1036</v>
      </c>
      <c r="E155" s="107">
        <f>INGREDIENTS!F21</f>
        <v>0.27</v>
      </c>
      <c r="F155" s="107">
        <f t="shared" si="18"/>
        <v>0.27</v>
      </c>
      <c r="G155" s="187"/>
      <c r="H155" s="108" t="s">
        <v>1361</v>
      </c>
      <c r="I155" s="106">
        <v>1</v>
      </c>
      <c r="J155" s="106" t="s">
        <v>1036</v>
      </c>
      <c r="K155" s="107">
        <f>INGREDIENTS!F26</f>
        <v>0.28999999999999998</v>
      </c>
      <c r="L155" s="107">
        <f t="shared" si="19"/>
        <v>0.28999999999999998</v>
      </c>
    </row>
    <row r="156" spans="2:12" x14ac:dyDescent="0.15">
      <c r="B156" s="108" t="s">
        <v>1170</v>
      </c>
      <c r="C156" s="106">
        <v>1</v>
      </c>
      <c r="D156" s="106" t="s">
        <v>1103</v>
      </c>
      <c r="E156" s="107">
        <f>INGREDIENTS!F22</f>
        <v>0.115</v>
      </c>
      <c r="F156" s="107">
        <f t="shared" si="18"/>
        <v>0.115</v>
      </c>
      <c r="G156" s="187"/>
      <c r="H156" s="108" t="s">
        <v>1359</v>
      </c>
      <c r="I156" s="106">
        <v>1</v>
      </c>
      <c r="J156" s="106" t="s">
        <v>1103</v>
      </c>
      <c r="K156" s="107">
        <f>INGREDIENTS!F27</f>
        <v>0.15</v>
      </c>
      <c r="L156" s="107">
        <f t="shared" si="19"/>
        <v>0.15</v>
      </c>
    </row>
    <row r="157" spans="2:12" x14ac:dyDescent="0.15">
      <c r="B157" s="106" t="s">
        <v>1171</v>
      </c>
      <c r="C157" s="106">
        <v>1</v>
      </c>
      <c r="D157" s="106" t="s">
        <v>1103</v>
      </c>
      <c r="E157" s="107">
        <f>INGREDIENTS!F28</f>
        <v>5.8000000000000003E-2</v>
      </c>
      <c r="F157" s="107">
        <f t="shared" si="18"/>
        <v>5.8000000000000003E-2</v>
      </c>
      <c r="G157" s="187"/>
      <c r="H157" s="106" t="s">
        <v>1171</v>
      </c>
      <c r="I157" s="106">
        <v>1</v>
      </c>
      <c r="J157" s="106" t="s">
        <v>1103</v>
      </c>
      <c r="K157" s="107">
        <f>INGREDIENTS!F28</f>
        <v>5.8000000000000003E-2</v>
      </c>
      <c r="L157" s="107">
        <f t="shared" si="19"/>
        <v>5.8000000000000003E-2</v>
      </c>
    </row>
    <row r="158" spans="2:12" x14ac:dyDescent="0.15">
      <c r="B158" s="106"/>
      <c r="C158" s="106"/>
      <c r="D158" s="106"/>
      <c r="E158" s="107"/>
      <c r="F158" s="107"/>
      <c r="G158" s="187"/>
      <c r="H158" s="106"/>
      <c r="I158" s="106"/>
      <c r="J158" s="106"/>
      <c r="K158" s="107"/>
      <c r="L158" s="107"/>
    </row>
    <row r="159" spans="2:12" ht="18" x14ac:dyDescent="0.2">
      <c r="F159" s="110">
        <f>SUM(F152:F158)</f>
        <v>4.8363999999999994</v>
      </c>
      <c r="G159" s="187"/>
      <c r="L159" s="110">
        <f>SUM(L152:L157)</f>
        <v>4.8914</v>
      </c>
    </row>
    <row r="160" spans="2:12" x14ac:dyDescent="0.15">
      <c r="B160" t="s">
        <v>1132</v>
      </c>
      <c r="C160" s="58">
        <v>12</v>
      </c>
      <c r="G160" s="187"/>
      <c r="H160" t="s">
        <v>1132</v>
      </c>
      <c r="I160" s="58">
        <v>16</v>
      </c>
    </row>
    <row r="161" spans="2:12" ht="18" x14ac:dyDescent="0.2">
      <c r="B161" t="s">
        <v>1125</v>
      </c>
      <c r="C161" s="58">
        <f>F159+5%</f>
        <v>4.8863999999999992</v>
      </c>
      <c r="D161" s="111">
        <f>C161/C160</f>
        <v>0.40719999999999995</v>
      </c>
      <c r="G161" s="187"/>
      <c r="H161" t="s">
        <v>1125</v>
      </c>
      <c r="I161" s="58">
        <f>L159+5%</f>
        <v>4.9413999999999998</v>
      </c>
      <c r="J161" s="111">
        <f>I161/I160</f>
        <v>0.30883749999999999</v>
      </c>
    </row>
    <row r="162" spans="2:12" x14ac:dyDescent="0.15">
      <c r="B162" t="s">
        <v>1133</v>
      </c>
      <c r="C162" s="58">
        <f>C160-C161</f>
        <v>7.1136000000000008</v>
      </c>
      <c r="D162" s="112"/>
      <c r="G162" s="187"/>
      <c r="H162" t="s">
        <v>1133</v>
      </c>
      <c r="I162" s="58">
        <f>I160-I161</f>
        <v>11.0586</v>
      </c>
      <c r="J162" s="112"/>
    </row>
    <row r="163" spans="2:12" x14ac:dyDescent="0.15"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</row>
    <row r="164" spans="2:12" x14ac:dyDescent="0.15"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</row>
    <row r="165" spans="2:12" ht="23" x14ac:dyDescent="0.25">
      <c r="B165" s="185" t="s">
        <v>1186</v>
      </c>
      <c r="C165" s="185"/>
      <c r="D165" s="185"/>
      <c r="E165" s="185"/>
      <c r="F165" s="185"/>
      <c r="G165" s="187"/>
      <c r="H165" s="185" t="s">
        <v>1186</v>
      </c>
      <c r="I165" s="185"/>
      <c r="J165" s="185"/>
      <c r="K165" s="185"/>
      <c r="L165" s="185"/>
    </row>
    <row r="166" spans="2:12" ht="16" x14ac:dyDescent="0.2">
      <c r="B166" s="119" t="s">
        <v>1122</v>
      </c>
      <c r="C166" s="119" t="s">
        <v>1123</v>
      </c>
      <c r="D166" s="119" t="s">
        <v>1124</v>
      </c>
      <c r="E166" s="119" t="s">
        <v>1125</v>
      </c>
      <c r="F166" s="119" t="s">
        <v>1126</v>
      </c>
      <c r="G166" s="187"/>
      <c r="H166" s="119" t="s">
        <v>1122</v>
      </c>
      <c r="I166" s="119" t="s">
        <v>1123</v>
      </c>
      <c r="J166" s="119" t="s">
        <v>1124</v>
      </c>
      <c r="K166" s="119" t="s">
        <v>1125</v>
      </c>
      <c r="L166" s="119" t="s">
        <v>1126</v>
      </c>
    </row>
    <row r="167" spans="2:12" x14ac:dyDescent="0.15">
      <c r="B167" s="108" t="s">
        <v>1187</v>
      </c>
      <c r="C167" s="106">
        <v>20</v>
      </c>
      <c r="D167" s="108" t="s">
        <v>1001</v>
      </c>
      <c r="E167" s="107">
        <f>INGREDIENTS!F69</f>
        <v>6.9500000000000006E-2</v>
      </c>
      <c r="F167" s="107">
        <f>E167*C167</f>
        <v>1.3900000000000001</v>
      </c>
      <c r="G167" s="187"/>
      <c r="H167" s="108" t="s">
        <v>1187</v>
      </c>
      <c r="I167" s="106">
        <v>20</v>
      </c>
      <c r="J167" s="108" t="s">
        <v>1001</v>
      </c>
      <c r="K167" s="107">
        <f>INGREDIENTS!F69</f>
        <v>6.9500000000000006E-2</v>
      </c>
      <c r="L167" s="107">
        <f>K167*I167</f>
        <v>1.3900000000000001</v>
      </c>
    </row>
    <row r="168" spans="2:12" x14ac:dyDescent="0.15">
      <c r="B168" s="108" t="s">
        <v>1308</v>
      </c>
      <c r="C168" s="106">
        <v>20</v>
      </c>
      <c r="D168" s="108" t="s">
        <v>1001</v>
      </c>
      <c r="E168" s="107">
        <f>INGREDIENTS!F196</f>
        <v>0.03</v>
      </c>
      <c r="F168" s="107">
        <f t="shared" ref="F168:F173" si="20">E168*C168</f>
        <v>0.6</v>
      </c>
      <c r="G168" s="187"/>
      <c r="H168" s="108" t="s">
        <v>1308</v>
      </c>
      <c r="I168" s="106">
        <v>20</v>
      </c>
      <c r="J168" s="108" t="s">
        <v>1001</v>
      </c>
      <c r="K168" s="107">
        <f>INGREDIENTS!F196</f>
        <v>0.03</v>
      </c>
      <c r="L168" s="107">
        <f t="shared" ref="L168:L173" si="21">K168*I168</f>
        <v>0.6</v>
      </c>
    </row>
    <row r="169" spans="2:12" x14ac:dyDescent="0.15">
      <c r="B169" s="108" t="s">
        <v>1175</v>
      </c>
      <c r="C169" s="106">
        <v>10</v>
      </c>
      <c r="D169" s="108" t="s">
        <v>1176</v>
      </c>
      <c r="E169" s="107">
        <f>INGREDIENTS!F108</f>
        <v>9.4999999999999998E-3</v>
      </c>
      <c r="F169" s="107">
        <f t="shared" si="20"/>
        <v>9.5000000000000001E-2</v>
      </c>
      <c r="G169" s="187"/>
      <c r="H169" s="108" t="s">
        <v>1175</v>
      </c>
      <c r="I169" s="106">
        <v>10</v>
      </c>
      <c r="J169" s="108" t="s">
        <v>1176</v>
      </c>
      <c r="K169" s="107">
        <f>INGREDIENTS!F108</f>
        <v>9.4999999999999998E-3</v>
      </c>
      <c r="L169" s="107">
        <f t="shared" si="21"/>
        <v>9.5000000000000001E-2</v>
      </c>
    </row>
    <row r="170" spans="2:12" x14ac:dyDescent="0.15">
      <c r="B170" s="108" t="s">
        <v>1179</v>
      </c>
      <c r="C170" s="106">
        <v>120</v>
      </c>
      <c r="D170" s="108" t="s">
        <v>1176</v>
      </c>
      <c r="E170" s="107">
        <f>INGREDIENTS!F63</f>
        <v>3.5000000000000001E-3</v>
      </c>
      <c r="F170" s="107">
        <f t="shared" si="20"/>
        <v>0.42</v>
      </c>
      <c r="G170" s="187"/>
      <c r="H170" s="108" t="s">
        <v>1179</v>
      </c>
      <c r="I170" s="106">
        <v>120</v>
      </c>
      <c r="J170" s="108" t="s">
        <v>1176</v>
      </c>
      <c r="K170" s="107">
        <f>INGREDIENTS!F63</f>
        <v>3.5000000000000001E-3</v>
      </c>
      <c r="L170" s="107">
        <f t="shared" si="21"/>
        <v>0.42</v>
      </c>
    </row>
    <row r="171" spans="2:12" x14ac:dyDescent="0.15">
      <c r="B171" s="108" t="s">
        <v>1169</v>
      </c>
      <c r="C171" s="106">
        <v>1</v>
      </c>
      <c r="D171" s="106" t="s">
        <v>1036</v>
      </c>
      <c r="E171" s="107">
        <f>INGREDIENTS!F21</f>
        <v>0.27</v>
      </c>
      <c r="F171" s="107">
        <f t="shared" si="20"/>
        <v>0.27</v>
      </c>
      <c r="G171" s="187"/>
      <c r="H171" s="108" t="s">
        <v>1361</v>
      </c>
      <c r="I171" s="106">
        <v>1</v>
      </c>
      <c r="J171" s="106" t="s">
        <v>1036</v>
      </c>
      <c r="K171" s="107">
        <f>INGREDIENTS!F26</f>
        <v>0.28999999999999998</v>
      </c>
      <c r="L171" s="107">
        <f t="shared" si="21"/>
        <v>0.28999999999999998</v>
      </c>
    </row>
    <row r="172" spans="2:12" x14ac:dyDescent="0.15">
      <c r="B172" s="108" t="s">
        <v>1170</v>
      </c>
      <c r="C172" s="106">
        <v>1</v>
      </c>
      <c r="D172" s="106" t="s">
        <v>1103</v>
      </c>
      <c r="E172" s="107">
        <f>INGREDIENTS!F22</f>
        <v>0.115</v>
      </c>
      <c r="F172" s="107">
        <f t="shared" si="20"/>
        <v>0.115</v>
      </c>
      <c r="G172" s="187"/>
      <c r="H172" s="108" t="s">
        <v>1359</v>
      </c>
      <c r="I172" s="106">
        <v>1</v>
      </c>
      <c r="J172" s="106" t="s">
        <v>1103</v>
      </c>
      <c r="K172" s="107">
        <f>INGREDIENTS!F27</f>
        <v>0.15</v>
      </c>
      <c r="L172" s="107">
        <f t="shared" si="21"/>
        <v>0.15</v>
      </c>
    </row>
    <row r="173" spans="2:12" x14ac:dyDescent="0.15">
      <c r="B173" s="106" t="s">
        <v>1171</v>
      </c>
      <c r="C173" s="106">
        <v>1</v>
      </c>
      <c r="D173" s="106" t="s">
        <v>1103</v>
      </c>
      <c r="E173" s="107">
        <f>INGREDIENTS!F28</f>
        <v>5.8000000000000003E-2</v>
      </c>
      <c r="F173" s="107">
        <f t="shared" si="20"/>
        <v>5.8000000000000003E-2</v>
      </c>
      <c r="G173" s="187"/>
      <c r="H173" s="106" t="s">
        <v>1171</v>
      </c>
      <c r="I173" s="106">
        <v>1</v>
      </c>
      <c r="J173" s="106" t="s">
        <v>1103</v>
      </c>
      <c r="K173" s="107">
        <f>INGREDIENTS!F28</f>
        <v>5.8000000000000003E-2</v>
      </c>
      <c r="L173" s="107">
        <f t="shared" si="21"/>
        <v>5.8000000000000003E-2</v>
      </c>
    </row>
    <row r="174" spans="2:12" ht="18" x14ac:dyDescent="0.2">
      <c r="F174" s="110">
        <f>SUM(F167:F173)</f>
        <v>2.9480000000000004</v>
      </c>
      <c r="G174" s="187"/>
      <c r="L174" s="110">
        <f>SUM(L167:L173)</f>
        <v>3.0030000000000001</v>
      </c>
    </row>
    <row r="175" spans="2:12" x14ac:dyDescent="0.15">
      <c r="B175" t="s">
        <v>1132</v>
      </c>
      <c r="C175" s="58">
        <v>12</v>
      </c>
      <c r="G175" s="187"/>
      <c r="H175" t="s">
        <v>1132</v>
      </c>
      <c r="I175" s="58">
        <v>16</v>
      </c>
    </row>
    <row r="176" spans="2:12" ht="18" x14ac:dyDescent="0.2">
      <c r="B176" t="s">
        <v>1125</v>
      </c>
      <c r="C176" s="58">
        <f>F174+5%</f>
        <v>2.9980000000000002</v>
      </c>
      <c r="D176" s="111">
        <f>C176/C175</f>
        <v>0.24983333333333335</v>
      </c>
      <c r="G176" s="187"/>
      <c r="H176" t="s">
        <v>1125</v>
      </c>
      <c r="I176" s="58">
        <f>L174+5%</f>
        <v>3.0529999999999999</v>
      </c>
      <c r="J176" s="111">
        <f>I176/I175</f>
        <v>0.1908125</v>
      </c>
    </row>
    <row r="177" spans="2:12" x14ac:dyDescent="0.15">
      <c r="B177" t="s">
        <v>1133</v>
      </c>
      <c r="C177" s="58">
        <f>C175-C176</f>
        <v>9.0019999999999989</v>
      </c>
      <c r="D177" s="112"/>
      <c r="G177" s="187"/>
      <c r="H177" t="s">
        <v>1133</v>
      </c>
      <c r="I177" s="58">
        <f>I175-I176</f>
        <v>12.946999999999999</v>
      </c>
      <c r="J177" s="112"/>
    </row>
    <row r="178" spans="2:12" x14ac:dyDescent="0.15"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</row>
    <row r="179" spans="2:12" x14ac:dyDescent="0.15"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</row>
    <row r="180" spans="2:12" ht="23" x14ac:dyDescent="0.25">
      <c r="B180" s="185" t="s">
        <v>1188</v>
      </c>
      <c r="C180" s="185"/>
      <c r="D180" s="185"/>
      <c r="E180" s="185"/>
      <c r="F180" s="185"/>
      <c r="G180" s="187"/>
      <c r="H180" s="185" t="s">
        <v>1188</v>
      </c>
      <c r="I180" s="185"/>
      <c r="J180" s="185"/>
      <c r="K180" s="185"/>
      <c r="L180" s="185"/>
    </row>
    <row r="181" spans="2:12" x14ac:dyDescent="0.15">
      <c r="B181" s="191"/>
      <c r="C181" s="191"/>
      <c r="D181" s="191"/>
      <c r="E181" s="191"/>
      <c r="F181" s="191"/>
      <c r="G181" s="187"/>
      <c r="H181" s="191"/>
      <c r="I181" s="191"/>
      <c r="J181" s="191"/>
      <c r="K181" s="191"/>
      <c r="L181" s="191"/>
    </row>
    <row r="182" spans="2:12" ht="16" x14ac:dyDescent="0.2">
      <c r="B182" s="119" t="s">
        <v>1122</v>
      </c>
      <c r="C182" s="119" t="s">
        <v>1123</v>
      </c>
      <c r="D182" s="119" t="s">
        <v>1124</v>
      </c>
      <c r="E182" s="119" t="s">
        <v>1125</v>
      </c>
      <c r="F182" s="119" t="s">
        <v>1126</v>
      </c>
      <c r="G182" s="187"/>
      <c r="H182" s="119" t="s">
        <v>1122</v>
      </c>
      <c r="I182" s="119" t="s">
        <v>1123</v>
      </c>
      <c r="J182" s="119" t="s">
        <v>1124</v>
      </c>
      <c r="K182" s="119" t="s">
        <v>1125</v>
      </c>
      <c r="L182" s="119" t="s">
        <v>1126</v>
      </c>
    </row>
    <row r="183" spans="2:12" x14ac:dyDescent="0.15">
      <c r="B183" s="108" t="s">
        <v>1120</v>
      </c>
      <c r="C183" s="106">
        <v>4</v>
      </c>
      <c r="D183" s="108" t="s">
        <v>1129</v>
      </c>
      <c r="E183" s="107">
        <f>INGREDIENTS!F159</f>
        <v>0.12</v>
      </c>
      <c r="F183" s="107">
        <f>E183*C183</f>
        <v>0.48</v>
      </c>
      <c r="G183" s="187"/>
      <c r="H183" s="108" t="s">
        <v>1120</v>
      </c>
      <c r="I183" s="106">
        <v>4</v>
      </c>
      <c r="J183" s="108" t="s">
        <v>1129</v>
      </c>
      <c r="K183" s="107">
        <f>INGREDIENTS!F159</f>
        <v>0.12</v>
      </c>
      <c r="L183" s="107">
        <f>K183*I183</f>
        <v>0.48</v>
      </c>
    </row>
    <row r="184" spans="2:12" x14ac:dyDescent="0.15">
      <c r="B184" s="108" t="s">
        <v>1128</v>
      </c>
      <c r="C184" s="106">
        <v>205</v>
      </c>
      <c r="D184" s="108" t="s">
        <v>1176</v>
      </c>
      <c r="E184" s="107">
        <f>INGREDIENTS!F38</f>
        <v>1.426E-2</v>
      </c>
      <c r="F184" s="107">
        <f>E184*C184</f>
        <v>2.9233000000000002</v>
      </c>
      <c r="G184" s="187"/>
      <c r="H184" s="108" t="s">
        <v>1128</v>
      </c>
      <c r="I184" s="106">
        <v>205</v>
      </c>
      <c r="J184" s="108" t="s">
        <v>1176</v>
      </c>
      <c r="K184" s="107">
        <f>INGREDIENTS!F38</f>
        <v>1.426E-2</v>
      </c>
      <c r="L184" s="107">
        <f>K184*I184</f>
        <v>2.9233000000000002</v>
      </c>
    </row>
    <row r="185" spans="2:12" x14ac:dyDescent="0.15">
      <c r="B185" s="108" t="s">
        <v>1368</v>
      </c>
      <c r="C185" s="106">
        <f>8+(18*0.025)</f>
        <v>8.4499999999999993</v>
      </c>
      <c r="D185" s="108" t="s">
        <v>1304</v>
      </c>
      <c r="E185" s="107">
        <f>INGREDIENTS!F11</f>
        <v>7.0000000000000007E-2</v>
      </c>
      <c r="F185" s="107">
        <f>E185*C185</f>
        <v>0.59150000000000003</v>
      </c>
      <c r="G185" s="187"/>
      <c r="H185" s="108" t="s">
        <v>1369</v>
      </c>
      <c r="I185" s="106">
        <f>8+(18*0.025)</f>
        <v>8.4499999999999993</v>
      </c>
      <c r="J185" s="108" t="s">
        <v>1304</v>
      </c>
      <c r="K185" s="107">
        <f>INGREDIENTS!F11</f>
        <v>7.0000000000000007E-2</v>
      </c>
      <c r="L185" s="107">
        <f>K185*I185</f>
        <v>0.59150000000000003</v>
      </c>
    </row>
    <row r="186" spans="2:12" x14ac:dyDescent="0.15">
      <c r="B186" s="108" t="s">
        <v>1169</v>
      </c>
      <c r="C186" s="106">
        <v>1</v>
      </c>
      <c r="D186" s="106" t="s">
        <v>1036</v>
      </c>
      <c r="E186" s="107">
        <f>INGREDIENTS!F21</f>
        <v>0.27</v>
      </c>
      <c r="F186" s="107">
        <f t="shared" ref="F186:F188" si="22">E186*C186</f>
        <v>0.27</v>
      </c>
      <c r="G186" s="187"/>
      <c r="H186" s="108" t="s">
        <v>1361</v>
      </c>
      <c r="I186" s="106">
        <v>1</v>
      </c>
      <c r="J186" s="106" t="s">
        <v>1036</v>
      </c>
      <c r="K186" s="107">
        <f>INGREDIENTS!F26</f>
        <v>0.28999999999999998</v>
      </c>
      <c r="L186" s="107">
        <f t="shared" ref="L186:L188" si="23">K186*I186</f>
        <v>0.28999999999999998</v>
      </c>
    </row>
    <row r="187" spans="2:12" x14ac:dyDescent="0.15">
      <c r="B187" s="108" t="s">
        <v>1170</v>
      </c>
      <c r="C187" s="106">
        <v>1</v>
      </c>
      <c r="D187" s="106" t="s">
        <v>1103</v>
      </c>
      <c r="E187" s="107">
        <f>INGREDIENTS!F22</f>
        <v>0.115</v>
      </c>
      <c r="F187" s="107">
        <f t="shared" si="22"/>
        <v>0.115</v>
      </c>
      <c r="G187" s="187"/>
      <c r="H187" s="108" t="s">
        <v>1359</v>
      </c>
      <c r="I187" s="106">
        <v>1</v>
      </c>
      <c r="J187" s="106" t="s">
        <v>1103</v>
      </c>
      <c r="K187" s="107">
        <f>INGREDIENTS!F27</f>
        <v>0.15</v>
      </c>
      <c r="L187" s="107">
        <f t="shared" si="23"/>
        <v>0.15</v>
      </c>
    </row>
    <row r="188" spans="2:12" x14ac:dyDescent="0.15">
      <c r="B188" s="106" t="s">
        <v>1171</v>
      </c>
      <c r="C188" s="106">
        <v>1</v>
      </c>
      <c r="D188" s="106" t="s">
        <v>1103</v>
      </c>
      <c r="E188" s="107">
        <f>INGREDIENTS!F28</f>
        <v>5.8000000000000003E-2</v>
      </c>
      <c r="F188" s="107">
        <f t="shared" si="22"/>
        <v>5.8000000000000003E-2</v>
      </c>
      <c r="G188" s="187"/>
      <c r="H188" s="106" t="s">
        <v>1171</v>
      </c>
      <c r="I188" s="106">
        <v>1</v>
      </c>
      <c r="J188" s="106" t="s">
        <v>1103</v>
      </c>
      <c r="K188" s="107">
        <f>INGREDIENTS!F28</f>
        <v>5.8000000000000003E-2</v>
      </c>
      <c r="L188" s="107">
        <f t="shared" si="23"/>
        <v>5.8000000000000003E-2</v>
      </c>
    </row>
    <row r="189" spans="2:12" x14ac:dyDescent="0.15">
      <c r="B189" s="106"/>
      <c r="C189" s="106"/>
      <c r="D189" s="106"/>
      <c r="E189" s="107"/>
      <c r="F189" s="107"/>
      <c r="G189" s="187"/>
      <c r="H189" s="106"/>
      <c r="I189" s="106"/>
      <c r="J189" s="106"/>
      <c r="K189" s="107"/>
      <c r="L189" s="107"/>
    </row>
    <row r="190" spans="2:12" x14ac:dyDescent="0.15">
      <c r="B190" s="106"/>
      <c r="C190" s="106"/>
      <c r="D190" s="106"/>
      <c r="E190" s="107"/>
      <c r="F190" s="107"/>
      <c r="G190" s="187"/>
      <c r="H190" s="106"/>
      <c r="I190" s="106"/>
      <c r="J190" s="106"/>
      <c r="K190" s="107"/>
      <c r="L190" s="107"/>
    </row>
    <row r="191" spans="2:12" x14ac:dyDescent="0.15">
      <c r="B191" s="106"/>
      <c r="C191" s="106"/>
      <c r="D191" s="106"/>
      <c r="E191" s="107"/>
      <c r="F191" s="107"/>
      <c r="G191" s="187"/>
      <c r="H191" s="106"/>
      <c r="I191" s="106"/>
      <c r="J191" s="106"/>
      <c r="K191" s="107"/>
      <c r="L191" s="107"/>
    </row>
    <row r="192" spans="2:12" ht="18" x14ac:dyDescent="0.2">
      <c r="F192" s="110">
        <f>SUM(F183:F191)</f>
        <v>4.4378000000000002</v>
      </c>
      <c r="G192" s="187"/>
      <c r="L192" s="110">
        <f>SUM(L183:L191)</f>
        <v>4.4927999999999999</v>
      </c>
    </row>
    <row r="193" spans="2:12" x14ac:dyDescent="0.15">
      <c r="B193" t="s">
        <v>1132</v>
      </c>
      <c r="C193" s="58">
        <v>14</v>
      </c>
      <c r="G193" s="187"/>
      <c r="H193" t="s">
        <v>1132</v>
      </c>
      <c r="I193" s="58">
        <v>16</v>
      </c>
    </row>
    <row r="194" spans="2:12" ht="18" x14ac:dyDescent="0.2">
      <c r="B194" t="s">
        <v>1125</v>
      </c>
      <c r="C194" s="58">
        <f>F192+5%</f>
        <v>4.4878</v>
      </c>
      <c r="D194" s="111">
        <f>C194/C193</f>
        <v>0.32055714285714287</v>
      </c>
      <c r="G194" s="187"/>
      <c r="H194" t="s">
        <v>1125</v>
      </c>
      <c r="I194" s="58">
        <f>L192+5%</f>
        <v>4.5427999999999997</v>
      </c>
      <c r="J194" s="111">
        <f>I194/I193</f>
        <v>0.28392499999999998</v>
      </c>
    </row>
    <row r="195" spans="2:12" x14ac:dyDescent="0.15">
      <c r="B195" t="s">
        <v>1133</v>
      </c>
      <c r="C195" s="58">
        <f>C193-C194</f>
        <v>9.5122</v>
      </c>
      <c r="D195" s="112"/>
      <c r="G195" s="187"/>
      <c r="H195" t="s">
        <v>1133</v>
      </c>
      <c r="I195" s="58">
        <f>I193-I194</f>
        <v>11.4572</v>
      </c>
      <c r="J195" s="112"/>
    </row>
    <row r="196" spans="2:12" x14ac:dyDescent="0.15"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</row>
    <row r="197" spans="2:12" x14ac:dyDescent="0.15"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</row>
    <row r="198" spans="2:12" ht="23" customHeight="1" x14ac:dyDescent="0.15">
      <c r="B198" s="185" t="s">
        <v>1189</v>
      </c>
      <c r="C198" s="185"/>
      <c r="D198" s="185"/>
      <c r="E198" s="185"/>
      <c r="F198" s="185"/>
      <c r="G198" s="187"/>
      <c r="H198" s="185" t="s">
        <v>1189</v>
      </c>
      <c r="I198" s="185"/>
      <c r="J198" s="185"/>
      <c r="K198" s="185"/>
      <c r="L198" s="185"/>
    </row>
    <row r="199" spans="2:12" x14ac:dyDescent="0.15">
      <c r="B199" s="185"/>
      <c r="C199" s="185"/>
      <c r="D199" s="185"/>
      <c r="E199" s="185"/>
      <c r="F199" s="185"/>
      <c r="G199" s="187"/>
      <c r="H199" s="185"/>
      <c r="I199" s="185"/>
      <c r="J199" s="185"/>
      <c r="K199" s="185"/>
      <c r="L199" s="185"/>
    </row>
    <row r="200" spans="2:12" ht="16" x14ac:dyDescent="0.2">
      <c r="B200" s="119" t="s">
        <v>1122</v>
      </c>
      <c r="C200" s="119" t="s">
        <v>1123</v>
      </c>
      <c r="D200" s="119" t="s">
        <v>1124</v>
      </c>
      <c r="E200" s="119" t="s">
        <v>1125</v>
      </c>
      <c r="F200" s="119" t="s">
        <v>1126</v>
      </c>
      <c r="G200" s="187"/>
      <c r="H200" s="119" t="s">
        <v>1122</v>
      </c>
      <c r="I200" s="119" t="s">
        <v>1123</v>
      </c>
      <c r="J200" s="119" t="s">
        <v>1124</v>
      </c>
      <c r="K200" s="119" t="s">
        <v>1125</v>
      </c>
      <c r="L200" s="119" t="s">
        <v>1126</v>
      </c>
    </row>
    <row r="201" spans="2:12" x14ac:dyDescent="0.15">
      <c r="B201" s="108" t="s">
        <v>1120</v>
      </c>
      <c r="C201" s="106">
        <v>4</v>
      </c>
      <c r="D201" s="108" t="s">
        <v>1129</v>
      </c>
      <c r="E201" s="107">
        <f>INGREDIENTS!F159</f>
        <v>0.12</v>
      </c>
      <c r="F201" s="107">
        <f>E201*C201</f>
        <v>0.48</v>
      </c>
      <c r="G201" s="187"/>
      <c r="H201" s="108" t="s">
        <v>1120</v>
      </c>
      <c r="I201" s="106">
        <v>4</v>
      </c>
      <c r="J201" s="108" t="s">
        <v>1129</v>
      </c>
      <c r="K201" s="107">
        <f>INGREDIENTS!F159</f>
        <v>0.12</v>
      </c>
      <c r="L201" s="107">
        <f>K201*I201</f>
        <v>0.48</v>
      </c>
    </row>
    <row r="202" spans="2:12" x14ac:dyDescent="0.15">
      <c r="B202" s="108" t="s">
        <v>1190</v>
      </c>
      <c r="C202" s="106">
        <v>30</v>
      </c>
      <c r="D202" s="108" t="s">
        <v>1001</v>
      </c>
      <c r="E202" s="107">
        <f>INGREDIENTS!F64</f>
        <v>5.5E-2</v>
      </c>
      <c r="F202" s="107">
        <f>E202*C202</f>
        <v>1.65</v>
      </c>
      <c r="G202" s="187"/>
      <c r="H202" s="108" t="s">
        <v>1190</v>
      </c>
      <c r="I202" s="106">
        <v>30</v>
      </c>
      <c r="J202" s="108" t="s">
        <v>1001</v>
      </c>
      <c r="K202" s="107">
        <f>INGREDIENTS!F64</f>
        <v>5.5E-2</v>
      </c>
      <c r="L202" s="107">
        <f>K202*I202</f>
        <v>1.65</v>
      </c>
    </row>
    <row r="203" spans="2:12" x14ac:dyDescent="0.15">
      <c r="B203" s="108" t="s">
        <v>1128</v>
      </c>
      <c r="C203" s="106">
        <v>205</v>
      </c>
      <c r="D203" s="108" t="s">
        <v>1001</v>
      </c>
      <c r="E203" s="107">
        <f>INGREDIENTS!F38</f>
        <v>1.426E-2</v>
      </c>
      <c r="F203" s="107">
        <f t="shared" ref="F203:F206" si="24">E203*C203</f>
        <v>2.9233000000000002</v>
      </c>
      <c r="G203" s="187"/>
      <c r="H203" s="108" t="s">
        <v>1128</v>
      </c>
      <c r="I203" s="106">
        <v>205</v>
      </c>
      <c r="J203" s="108" t="s">
        <v>1001</v>
      </c>
      <c r="K203" s="107">
        <f>INGREDIENTS!F38</f>
        <v>1.426E-2</v>
      </c>
      <c r="L203" s="107">
        <f t="shared" ref="L203:L206" si="25">K203*I203</f>
        <v>2.9233000000000002</v>
      </c>
    </row>
    <row r="204" spans="2:12" x14ac:dyDescent="0.15">
      <c r="B204" s="108" t="s">
        <v>1169</v>
      </c>
      <c r="C204" s="106">
        <v>1</v>
      </c>
      <c r="D204" s="106" t="s">
        <v>1036</v>
      </c>
      <c r="E204" s="107">
        <f>INGREDIENTS!F21</f>
        <v>0.27</v>
      </c>
      <c r="F204" s="107">
        <f t="shared" si="24"/>
        <v>0.27</v>
      </c>
      <c r="G204" s="187"/>
      <c r="H204" s="108" t="s">
        <v>1361</v>
      </c>
      <c r="I204" s="106">
        <v>1</v>
      </c>
      <c r="J204" s="106" t="s">
        <v>1036</v>
      </c>
      <c r="K204" s="107">
        <f>INGREDIENTS!F26</f>
        <v>0.28999999999999998</v>
      </c>
      <c r="L204" s="107">
        <f t="shared" si="25"/>
        <v>0.28999999999999998</v>
      </c>
    </row>
    <row r="205" spans="2:12" x14ac:dyDescent="0.15">
      <c r="B205" s="108" t="s">
        <v>1170</v>
      </c>
      <c r="C205" s="106">
        <v>1</v>
      </c>
      <c r="D205" s="106" t="s">
        <v>1103</v>
      </c>
      <c r="E205" s="107">
        <f>INGREDIENTS!F22</f>
        <v>0.115</v>
      </c>
      <c r="F205" s="107">
        <f t="shared" si="24"/>
        <v>0.115</v>
      </c>
      <c r="G205" s="187"/>
      <c r="H205" s="108" t="s">
        <v>1359</v>
      </c>
      <c r="I205" s="106">
        <v>1</v>
      </c>
      <c r="J205" s="106" t="s">
        <v>1103</v>
      </c>
      <c r="K205" s="107">
        <f>INGREDIENTS!F27</f>
        <v>0.15</v>
      </c>
      <c r="L205" s="107">
        <f t="shared" si="25"/>
        <v>0.15</v>
      </c>
    </row>
    <row r="206" spans="2:12" x14ac:dyDescent="0.15">
      <c r="B206" s="106" t="s">
        <v>1171</v>
      </c>
      <c r="C206" s="106">
        <v>1</v>
      </c>
      <c r="D206" s="106" t="s">
        <v>1103</v>
      </c>
      <c r="E206" s="107">
        <f>INGREDIENTS!F28</f>
        <v>5.8000000000000003E-2</v>
      </c>
      <c r="F206" s="107">
        <f t="shared" si="24"/>
        <v>5.8000000000000003E-2</v>
      </c>
      <c r="G206" s="187"/>
      <c r="H206" s="106" t="s">
        <v>1171</v>
      </c>
      <c r="I206" s="106">
        <v>1</v>
      </c>
      <c r="J206" s="106" t="s">
        <v>1103</v>
      </c>
      <c r="K206" s="107">
        <f>INGREDIENTS!F28</f>
        <v>5.8000000000000003E-2</v>
      </c>
      <c r="L206" s="107">
        <f t="shared" si="25"/>
        <v>5.8000000000000003E-2</v>
      </c>
    </row>
    <row r="207" spans="2:12" x14ac:dyDescent="0.15">
      <c r="B207" s="106"/>
      <c r="C207" s="106"/>
      <c r="D207" s="106"/>
      <c r="E207" s="107"/>
      <c r="F207" s="107"/>
      <c r="G207" s="187"/>
      <c r="H207" s="106"/>
      <c r="I207" s="106"/>
      <c r="J207" s="106"/>
      <c r="K207" s="107"/>
      <c r="L207" s="107"/>
    </row>
    <row r="208" spans="2:12" x14ac:dyDescent="0.15">
      <c r="B208" s="106"/>
      <c r="C208" s="106"/>
      <c r="D208" s="106"/>
      <c r="E208" s="107"/>
      <c r="F208" s="107"/>
      <c r="G208" s="187"/>
      <c r="H208" s="106"/>
      <c r="I208" s="106"/>
      <c r="J208" s="106"/>
      <c r="K208" s="107"/>
      <c r="L208" s="107"/>
    </row>
    <row r="209" spans="2:12" x14ac:dyDescent="0.15">
      <c r="B209" s="106"/>
      <c r="C209" s="106"/>
      <c r="D209" s="106"/>
      <c r="E209" s="107"/>
      <c r="F209" s="107"/>
      <c r="G209" s="187"/>
      <c r="H209" s="106"/>
      <c r="I209" s="106"/>
      <c r="J209" s="106"/>
      <c r="K209" s="107"/>
      <c r="L209" s="107"/>
    </row>
    <row r="210" spans="2:12" ht="18" x14ac:dyDescent="0.2">
      <c r="F210" s="110">
        <f>SUM(F201:F209)</f>
        <v>5.4962999999999997</v>
      </c>
      <c r="G210" s="187"/>
      <c r="L210" s="110">
        <f>SUM(L201:L209)</f>
        <v>5.5513000000000003</v>
      </c>
    </row>
    <row r="211" spans="2:12" x14ac:dyDescent="0.15">
      <c r="B211" t="s">
        <v>1132</v>
      </c>
      <c r="C211" s="58">
        <v>14</v>
      </c>
      <c r="G211" s="187"/>
      <c r="H211" t="s">
        <v>1132</v>
      </c>
      <c r="I211" s="58">
        <v>16</v>
      </c>
    </row>
    <row r="212" spans="2:12" ht="18" x14ac:dyDescent="0.2">
      <c r="B212" t="s">
        <v>1125</v>
      </c>
      <c r="C212" s="58">
        <f>F210+5%</f>
        <v>5.5462999999999996</v>
      </c>
      <c r="D212" s="111">
        <f>C212/C211</f>
        <v>0.39616428571428569</v>
      </c>
      <c r="G212" s="187"/>
      <c r="H212" t="s">
        <v>1125</v>
      </c>
      <c r="I212" s="58">
        <f>L210+5%</f>
        <v>5.6013000000000002</v>
      </c>
      <c r="J212" s="111">
        <f>I212/I211</f>
        <v>0.35008125000000001</v>
      </c>
    </row>
    <row r="213" spans="2:12" x14ac:dyDescent="0.15">
      <c r="B213" t="s">
        <v>1133</v>
      </c>
      <c r="C213" s="58">
        <f>C211-C212</f>
        <v>8.4537000000000013</v>
      </c>
      <c r="D213" s="112"/>
      <c r="G213" s="187"/>
      <c r="H213" t="s">
        <v>1133</v>
      </c>
      <c r="I213" s="58">
        <f>I211-I212</f>
        <v>10.3987</v>
      </c>
      <c r="J213" s="112"/>
    </row>
    <row r="214" spans="2:12" x14ac:dyDescent="0.15"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</row>
    <row r="215" spans="2:12" x14ac:dyDescent="0.15"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</row>
    <row r="216" spans="2:12" ht="23" customHeight="1" x14ac:dyDescent="0.15">
      <c r="B216" s="185" t="s">
        <v>1191</v>
      </c>
      <c r="C216" s="185"/>
      <c r="D216" s="185"/>
      <c r="E216" s="185"/>
      <c r="F216" s="185"/>
      <c r="G216" s="187"/>
      <c r="H216" s="185" t="s">
        <v>1191</v>
      </c>
      <c r="I216" s="185"/>
      <c r="J216" s="185"/>
      <c r="K216" s="185"/>
      <c r="L216" s="185"/>
    </row>
    <row r="217" spans="2:12" x14ac:dyDescent="0.15">
      <c r="B217" s="185"/>
      <c r="C217" s="185"/>
      <c r="D217" s="185"/>
      <c r="E217" s="185"/>
      <c r="F217" s="185"/>
      <c r="G217" s="187"/>
      <c r="H217" s="185"/>
      <c r="I217" s="185"/>
      <c r="J217" s="185"/>
      <c r="K217" s="185"/>
      <c r="L217" s="185"/>
    </row>
    <row r="218" spans="2:12" ht="16" x14ac:dyDescent="0.2">
      <c r="B218" s="119" t="s">
        <v>1122</v>
      </c>
      <c r="C218" s="119" t="s">
        <v>1123</v>
      </c>
      <c r="D218" s="119" t="s">
        <v>1124</v>
      </c>
      <c r="E218" s="119" t="s">
        <v>1125</v>
      </c>
      <c r="F218" s="119" t="s">
        <v>1126</v>
      </c>
      <c r="G218" s="187"/>
      <c r="H218" s="119" t="s">
        <v>1122</v>
      </c>
      <c r="I218" s="119" t="s">
        <v>1123</v>
      </c>
      <c r="J218" s="119" t="s">
        <v>1124</v>
      </c>
      <c r="K218" s="119" t="s">
        <v>1125</v>
      </c>
      <c r="L218" s="119" t="s">
        <v>1126</v>
      </c>
    </row>
    <row r="219" spans="2:12" x14ac:dyDescent="0.15">
      <c r="B219" s="108" t="s">
        <v>1309</v>
      </c>
      <c r="C219" s="106">
        <v>4</v>
      </c>
      <c r="D219" s="108" t="s">
        <v>1129</v>
      </c>
      <c r="E219" s="107">
        <f>INGREDIENTS!F159</f>
        <v>0.12</v>
      </c>
      <c r="F219" s="107">
        <f>E219*C219</f>
        <v>0.48</v>
      </c>
      <c r="G219" s="187"/>
      <c r="H219" s="108" t="s">
        <v>1309</v>
      </c>
      <c r="I219" s="106">
        <v>4</v>
      </c>
      <c r="J219" s="108" t="s">
        <v>1129</v>
      </c>
      <c r="K219" s="107">
        <f>INGREDIENTS!F159</f>
        <v>0.12</v>
      </c>
      <c r="L219" s="107">
        <f>K219*I219</f>
        <v>0.48</v>
      </c>
    </row>
    <row r="220" spans="2:12" x14ac:dyDescent="0.15">
      <c r="B220" s="108" t="s">
        <v>1310</v>
      </c>
      <c r="C220" s="106">
        <v>30</v>
      </c>
      <c r="D220" s="108" t="s">
        <v>1176</v>
      </c>
      <c r="E220" s="107">
        <f>INGREDIENTS!F66</f>
        <v>6.9500000000000006E-2</v>
      </c>
      <c r="F220" s="107">
        <f>E220*C220</f>
        <v>2.085</v>
      </c>
      <c r="G220" s="187"/>
      <c r="H220" s="108" t="s">
        <v>1310</v>
      </c>
      <c r="I220" s="106">
        <v>30</v>
      </c>
      <c r="J220" s="108" t="s">
        <v>1176</v>
      </c>
      <c r="K220" s="107">
        <f>INGREDIENTS!F66</f>
        <v>6.9500000000000006E-2</v>
      </c>
      <c r="L220" s="107">
        <f>K220*I220</f>
        <v>2.085</v>
      </c>
    </row>
    <row r="221" spans="2:12" x14ac:dyDescent="0.15">
      <c r="B221" s="108" t="s">
        <v>1128</v>
      </c>
      <c r="C221" s="106">
        <v>205</v>
      </c>
      <c r="D221" s="108" t="s">
        <v>1001</v>
      </c>
      <c r="E221" s="107">
        <f>INGREDIENTS!F38</f>
        <v>1.426E-2</v>
      </c>
      <c r="F221" s="107">
        <f t="shared" ref="F221:F224" si="26">E221*C221</f>
        <v>2.9233000000000002</v>
      </c>
      <c r="G221" s="187"/>
      <c r="H221" s="108" t="s">
        <v>1128</v>
      </c>
      <c r="I221" s="106">
        <v>205</v>
      </c>
      <c r="J221" s="108" t="s">
        <v>1001</v>
      </c>
      <c r="K221" s="107">
        <f>INGREDIENTS!F38</f>
        <v>1.426E-2</v>
      </c>
      <c r="L221" s="107">
        <f t="shared" ref="L221:L224" si="27">K221*I221</f>
        <v>2.9233000000000002</v>
      </c>
    </row>
    <row r="222" spans="2:12" x14ac:dyDescent="0.15">
      <c r="B222" s="108" t="s">
        <v>1169</v>
      </c>
      <c r="C222" s="106">
        <v>1</v>
      </c>
      <c r="D222" s="106" t="s">
        <v>1036</v>
      </c>
      <c r="E222" s="107">
        <f>INGREDIENTS!F21</f>
        <v>0.27</v>
      </c>
      <c r="F222" s="107">
        <f t="shared" si="26"/>
        <v>0.27</v>
      </c>
      <c r="G222" s="187"/>
      <c r="H222" s="108" t="s">
        <v>1361</v>
      </c>
      <c r="I222" s="106">
        <v>1</v>
      </c>
      <c r="J222" s="106" t="s">
        <v>1036</v>
      </c>
      <c r="K222" s="107">
        <f>INGREDIENTS!F26</f>
        <v>0.28999999999999998</v>
      </c>
      <c r="L222" s="107">
        <f t="shared" si="27"/>
        <v>0.28999999999999998</v>
      </c>
    </row>
    <row r="223" spans="2:12" x14ac:dyDescent="0.15">
      <c r="B223" s="108" t="s">
        <v>1170</v>
      </c>
      <c r="C223" s="106">
        <v>1</v>
      </c>
      <c r="D223" s="106" t="s">
        <v>1103</v>
      </c>
      <c r="E223" s="107">
        <f>INGREDIENTS!F22</f>
        <v>0.115</v>
      </c>
      <c r="F223" s="107">
        <f t="shared" si="26"/>
        <v>0.115</v>
      </c>
      <c r="G223" s="187"/>
      <c r="H223" s="108" t="s">
        <v>1359</v>
      </c>
      <c r="I223" s="106">
        <v>1</v>
      </c>
      <c r="J223" s="106" t="s">
        <v>1103</v>
      </c>
      <c r="K223" s="107">
        <f>INGREDIENTS!F27</f>
        <v>0.15</v>
      </c>
      <c r="L223" s="107">
        <f t="shared" si="27"/>
        <v>0.15</v>
      </c>
    </row>
    <row r="224" spans="2:12" x14ac:dyDescent="0.15">
      <c r="B224" s="106" t="s">
        <v>1171</v>
      </c>
      <c r="C224" s="106">
        <v>1</v>
      </c>
      <c r="D224" s="106" t="s">
        <v>1103</v>
      </c>
      <c r="E224" s="107">
        <f>INGREDIENTS!F28</f>
        <v>5.8000000000000003E-2</v>
      </c>
      <c r="F224" s="107">
        <f t="shared" si="26"/>
        <v>5.8000000000000003E-2</v>
      </c>
      <c r="G224" s="187"/>
      <c r="H224" s="106" t="s">
        <v>1171</v>
      </c>
      <c r="I224" s="106">
        <v>1</v>
      </c>
      <c r="J224" s="106" t="s">
        <v>1103</v>
      </c>
      <c r="K224" s="107">
        <f>INGREDIENTS!F28</f>
        <v>5.8000000000000003E-2</v>
      </c>
      <c r="L224" s="107">
        <f t="shared" si="27"/>
        <v>5.8000000000000003E-2</v>
      </c>
    </row>
    <row r="225" spans="2:12" x14ac:dyDescent="0.15">
      <c r="B225" s="106"/>
      <c r="C225" s="106"/>
      <c r="D225" s="106"/>
      <c r="E225" s="107"/>
      <c r="F225" s="107"/>
      <c r="G225" s="187"/>
      <c r="H225" s="106"/>
      <c r="I225" s="106"/>
      <c r="J225" s="106"/>
      <c r="K225" s="107"/>
      <c r="L225" s="107"/>
    </row>
    <row r="226" spans="2:12" x14ac:dyDescent="0.15">
      <c r="B226" s="106"/>
      <c r="C226" s="106"/>
      <c r="D226" s="106"/>
      <c r="E226" s="107"/>
      <c r="F226" s="107"/>
      <c r="G226" s="187"/>
      <c r="H226" s="106"/>
      <c r="I226" s="106"/>
      <c r="J226" s="106"/>
      <c r="K226" s="107"/>
      <c r="L226" s="107"/>
    </row>
    <row r="227" spans="2:12" x14ac:dyDescent="0.15">
      <c r="B227" s="106"/>
      <c r="C227" s="106"/>
      <c r="D227" s="106"/>
      <c r="E227" s="107"/>
      <c r="F227" s="107"/>
      <c r="G227" s="187"/>
      <c r="H227" s="106"/>
      <c r="I227" s="106"/>
      <c r="J227" s="106"/>
      <c r="K227" s="107"/>
      <c r="L227" s="107"/>
    </row>
    <row r="228" spans="2:12" ht="18" x14ac:dyDescent="0.2">
      <c r="F228" s="110">
        <f>SUM(F219:F227)</f>
        <v>5.9313000000000002</v>
      </c>
      <c r="G228" s="187"/>
      <c r="L228" s="110">
        <f>SUM(L219:L227)</f>
        <v>5.9863000000000008</v>
      </c>
    </row>
    <row r="229" spans="2:12" x14ac:dyDescent="0.15">
      <c r="B229" t="s">
        <v>1132</v>
      </c>
      <c r="C229" s="58">
        <v>14</v>
      </c>
      <c r="G229" s="187"/>
      <c r="H229" t="s">
        <v>1132</v>
      </c>
      <c r="I229" s="58">
        <v>16</v>
      </c>
    </row>
    <row r="230" spans="2:12" ht="18" x14ac:dyDescent="0.2">
      <c r="B230" t="s">
        <v>1125</v>
      </c>
      <c r="C230" s="58">
        <f>F228+5%</f>
        <v>5.9813000000000001</v>
      </c>
      <c r="D230" s="111">
        <f>C230/C229</f>
        <v>0.42723571428571427</v>
      </c>
      <c r="G230" s="187"/>
      <c r="H230" t="s">
        <v>1125</v>
      </c>
      <c r="I230" s="58">
        <f>L228+5%</f>
        <v>6.0363000000000007</v>
      </c>
      <c r="J230" s="111">
        <f>I230/I229</f>
        <v>0.37726875000000004</v>
      </c>
    </row>
    <row r="231" spans="2:12" x14ac:dyDescent="0.15">
      <c r="B231" t="s">
        <v>1133</v>
      </c>
      <c r="C231" s="58">
        <f>C229-C230</f>
        <v>8.0186999999999991</v>
      </c>
      <c r="D231" s="112"/>
      <c r="G231" s="187"/>
      <c r="H231" t="s">
        <v>1133</v>
      </c>
      <c r="I231" s="58">
        <f>I229-I230</f>
        <v>9.9636999999999993</v>
      </c>
      <c r="J231" s="112"/>
    </row>
    <row r="232" spans="2:12" x14ac:dyDescent="0.15"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</row>
    <row r="233" spans="2:12" x14ac:dyDescent="0.15"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</row>
    <row r="234" spans="2:12" ht="23" customHeight="1" x14ac:dyDescent="0.15">
      <c r="B234" s="185" t="s">
        <v>1192</v>
      </c>
      <c r="C234" s="185"/>
      <c r="D234" s="185"/>
      <c r="E234" s="185"/>
      <c r="F234" s="185"/>
      <c r="G234" s="187"/>
      <c r="H234" s="185" t="s">
        <v>1192</v>
      </c>
      <c r="I234" s="185"/>
      <c r="J234" s="185"/>
      <c r="K234" s="185"/>
      <c r="L234" s="185"/>
    </row>
    <row r="235" spans="2:12" x14ac:dyDescent="0.15">
      <c r="B235" s="185"/>
      <c r="C235" s="185"/>
      <c r="D235" s="185"/>
      <c r="E235" s="185"/>
      <c r="F235" s="185"/>
      <c r="G235" s="187"/>
      <c r="H235" s="185"/>
      <c r="I235" s="185"/>
      <c r="J235" s="185"/>
      <c r="K235" s="185"/>
      <c r="L235" s="185"/>
    </row>
    <row r="236" spans="2:12" ht="16" x14ac:dyDescent="0.2">
      <c r="B236" s="119" t="s">
        <v>1122</v>
      </c>
      <c r="C236" s="119" t="s">
        <v>1123</v>
      </c>
      <c r="D236" s="119" t="s">
        <v>1124</v>
      </c>
      <c r="E236" s="119" t="s">
        <v>1125</v>
      </c>
      <c r="F236" s="119" t="s">
        <v>1126</v>
      </c>
      <c r="G236" s="187"/>
      <c r="H236" s="119" t="s">
        <v>1122</v>
      </c>
      <c r="I236" s="119" t="s">
        <v>1123</v>
      </c>
      <c r="J236" s="119" t="s">
        <v>1124</v>
      </c>
      <c r="K236" s="119" t="s">
        <v>1125</v>
      </c>
      <c r="L236" s="119" t="s">
        <v>1126</v>
      </c>
    </row>
    <row r="237" spans="2:12" x14ac:dyDescent="0.15">
      <c r="B237" s="108" t="s">
        <v>1309</v>
      </c>
      <c r="C237" s="106">
        <v>4</v>
      </c>
      <c r="D237" s="108" t="s">
        <v>1129</v>
      </c>
      <c r="E237" s="107">
        <f>INGREDIENTS!F159</f>
        <v>0.12</v>
      </c>
      <c r="F237" s="107">
        <f>E237*C237</f>
        <v>0.48</v>
      </c>
      <c r="G237" s="187"/>
      <c r="H237" s="108" t="s">
        <v>1309</v>
      </c>
      <c r="I237" s="106">
        <v>4</v>
      </c>
      <c r="J237" s="108" t="s">
        <v>1129</v>
      </c>
      <c r="K237" s="107">
        <f>INGREDIENTS!F159</f>
        <v>0.12</v>
      </c>
      <c r="L237" s="107">
        <f>K237*I237</f>
        <v>0.48</v>
      </c>
    </row>
    <row r="238" spans="2:12" x14ac:dyDescent="0.15">
      <c r="B238" s="108" t="s">
        <v>1178</v>
      </c>
      <c r="C238" s="106">
        <v>20</v>
      </c>
      <c r="D238" s="108" t="s">
        <v>1001</v>
      </c>
      <c r="E238" s="107">
        <f>INGREDIENTS!F108</f>
        <v>9.4999999999999998E-3</v>
      </c>
      <c r="F238" s="107">
        <f>E238*C238</f>
        <v>0.19</v>
      </c>
      <c r="G238" s="187"/>
      <c r="H238" s="108" t="s">
        <v>1178</v>
      </c>
      <c r="I238" s="106">
        <v>20</v>
      </c>
      <c r="J238" s="108" t="s">
        <v>1001</v>
      </c>
      <c r="K238" s="107">
        <f>INGREDIENTS!F108</f>
        <v>9.4999999999999998E-3</v>
      </c>
      <c r="L238" s="107">
        <f>K238*I238</f>
        <v>0.19</v>
      </c>
    </row>
    <row r="239" spans="2:12" x14ac:dyDescent="0.15">
      <c r="B239" s="108" t="s">
        <v>1311</v>
      </c>
      <c r="C239" s="106">
        <v>10</v>
      </c>
      <c r="D239" s="108" t="s">
        <v>1176</v>
      </c>
      <c r="E239" s="107">
        <f>INGREDIENTS!F179</f>
        <v>4.7999999999999996E-3</v>
      </c>
      <c r="F239" s="107">
        <f t="shared" ref="F239:F244" si="28">E239*C239</f>
        <v>4.7999999999999994E-2</v>
      </c>
      <c r="G239" s="187"/>
      <c r="H239" s="108" t="s">
        <v>1311</v>
      </c>
      <c r="I239" s="106">
        <v>10</v>
      </c>
      <c r="J239" s="108" t="s">
        <v>1176</v>
      </c>
      <c r="K239" s="107">
        <f>INGREDIENTS!F179</f>
        <v>4.7999999999999996E-3</v>
      </c>
      <c r="L239" s="107">
        <f t="shared" ref="L239:L244" si="29">K239*I239</f>
        <v>4.7999999999999994E-2</v>
      </c>
    </row>
    <row r="240" spans="2:12" x14ac:dyDescent="0.15">
      <c r="B240" s="108" t="s">
        <v>1162</v>
      </c>
      <c r="C240" s="106">
        <v>10</v>
      </c>
      <c r="D240" s="108" t="s">
        <v>1176</v>
      </c>
      <c r="E240" s="107">
        <f>INGREDIENTS!F132</f>
        <v>1.6E-2</v>
      </c>
      <c r="F240" s="107">
        <f t="shared" si="28"/>
        <v>0.16</v>
      </c>
      <c r="G240" s="187"/>
      <c r="H240" s="108" t="s">
        <v>1162</v>
      </c>
      <c r="I240" s="106">
        <v>10</v>
      </c>
      <c r="J240" s="108" t="s">
        <v>1176</v>
      </c>
      <c r="K240" s="107">
        <f>INGREDIENTS!F132</f>
        <v>1.6E-2</v>
      </c>
      <c r="L240" s="107">
        <f t="shared" si="29"/>
        <v>0.16</v>
      </c>
    </row>
    <row r="241" spans="2:12" x14ac:dyDescent="0.15">
      <c r="B241" s="108" t="s">
        <v>1193</v>
      </c>
      <c r="C241" s="106">
        <v>100</v>
      </c>
      <c r="D241" s="108" t="s">
        <v>1176</v>
      </c>
      <c r="E241" s="107">
        <v>0</v>
      </c>
      <c r="F241" s="107">
        <f t="shared" si="28"/>
        <v>0</v>
      </c>
      <c r="G241" s="187"/>
      <c r="H241" s="108" t="s">
        <v>1193</v>
      </c>
      <c r="I241" s="106">
        <v>100</v>
      </c>
      <c r="J241" s="108" t="s">
        <v>1176</v>
      </c>
      <c r="K241" s="107">
        <v>0</v>
      </c>
      <c r="L241" s="107">
        <f t="shared" si="29"/>
        <v>0</v>
      </c>
    </row>
    <row r="242" spans="2:12" x14ac:dyDescent="0.15">
      <c r="B242" s="108" t="s">
        <v>1169</v>
      </c>
      <c r="C242" s="106">
        <v>1</v>
      </c>
      <c r="D242" s="106" t="s">
        <v>1036</v>
      </c>
      <c r="E242" s="107">
        <f>INGREDIENTS!F21</f>
        <v>0.27</v>
      </c>
      <c r="F242" s="107">
        <f t="shared" si="28"/>
        <v>0.27</v>
      </c>
      <c r="G242" s="187"/>
      <c r="H242" s="108" t="s">
        <v>1361</v>
      </c>
      <c r="I242" s="106">
        <v>1</v>
      </c>
      <c r="J242" s="106" t="s">
        <v>1036</v>
      </c>
      <c r="K242" s="107">
        <f>INGREDIENTS!F26</f>
        <v>0.28999999999999998</v>
      </c>
      <c r="L242" s="107">
        <f t="shared" si="29"/>
        <v>0.28999999999999998</v>
      </c>
    </row>
    <row r="243" spans="2:12" x14ac:dyDescent="0.15">
      <c r="B243" s="108" t="s">
        <v>1170</v>
      </c>
      <c r="C243" s="106">
        <v>1</v>
      </c>
      <c r="D243" s="106" t="s">
        <v>1103</v>
      </c>
      <c r="E243" s="107">
        <f>INGREDIENTS!F22</f>
        <v>0.115</v>
      </c>
      <c r="F243" s="107">
        <f t="shared" si="28"/>
        <v>0.115</v>
      </c>
      <c r="G243" s="187"/>
      <c r="H243" s="108" t="s">
        <v>1359</v>
      </c>
      <c r="I243" s="106">
        <v>1</v>
      </c>
      <c r="J243" s="106" t="s">
        <v>1103</v>
      </c>
      <c r="K243" s="107">
        <f>INGREDIENTS!F27</f>
        <v>0.15</v>
      </c>
      <c r="L243" s="107">
        <f t="shared" si="29"/>
        <v>0.15</v>
      </c>
    </row>
    <row r="244" spans="2:12" x14ac:dyDescent="0.15">
      <c r="B244" s="106" t="s">
        <v>1171</v>
      </c>
      <c r="C244" s="106">
        <v>1</v>
      </c>
      <c r="D244" s="106" t="s">
        <v>1103</v>
      </c>
      <c r="E244" s="107">
        <f>INGREDIENTS!F28</f>
        <v>5.8000000000000003E-2</v>
      </c>
      <c r="F244" s="107">
        <f t="shared" si="28"/>
        <v>5.8000000000000003E-2</v>
      </c>
      <c r="G244" s="187"/>
      <c r="H244" s="106" t="s">
        <v>1171</v>
      </c>
      <c r="I244" s="106">
        <v>1</v>
      </c>
      <c r="J244" s="106" t="s">
        <v>1103</v>
      </c>
      <c r="K244" s="107">
        <f>INGREDIENTS!F28</f>
        <v>5.8000000000000003E-2</v>
      </c>
      <c r="L244" s="107">
        <f t="shared" si="29"/>
        <v>5.8000000000000003E-2</v>
      </c>
    </row>
    <row r="245" spans="2:12" x14ac:dyDescent="0.15">
      <c r="B245" s="106"/>
      <c r="C245" s="106"/>
      <c r="D245" s="106"/>
      <c r="E245" s="107"/>
      <c r="F245" s="107"/>
      <c r="G245" s="187"/>
      <c r="H245" s="106"/>
      <c r="I245" s="106"/>
      <c r="J245" s="106"/>
      <c r="K245" s="107"/>
      <c r="L245" s="107"/>
    </row>
    <row r="246" spans="2:12" ht="18" x14ac:dyDescent="0.2">
      <c r="F246" s="110">
        <f>SUM(F237:F245)</f>
        <v>1.3210000000000002</v>
      </c>
      <c r="G246" s="187"/>
      <c r="L246" s="110">
        <f>SUM(L237:L245)</f>
        <v>1.3759999999999999</v>
      </c>
    </row>
    <row r="247" spans="2:12" x14ac:dyDescent="0.15">
      <c r="B247" t="s">
        <v>1132</v>
      </c>
      <c r="C247" s="58">
        <v>12</v>
      </c>
      <c r="G247" s="187"/>
      <c r="H247" t="s">
        <v>1132</v>
      </c>
      <c r="I247" s="58">
        <v>16</v>
      </c>
    </row>
    <row r="248" spans="2:12" ht="18" x14ac:dyDescent="0.2">
      <c r="B248" t="s">
        <v>1125</v>
      </c>
      <c r="C248" s="58">
        <f>F246+5%</f>
        <v>1.3710000000000002</v>
      </c>
      <c r="D248" s="111">
        <f>C248/C247</f>
        <v>0.11425000000000002</v>
      </c>
      <c r="G248" s="187"/>
      <c r="H248" t="s">
        <v>1125</v>
      </c>
      <c r="I248" s="58">
        <f>L246+5%</f>
        <v>1.4259999999999999</v>
      </c>
      <c r="J248" s="111">
        <f>I248/I247</f>
        <v>8.9124999999999996E-2</v>
      </c>
    </row>
    <row r="249" spans="2:12" x14ac:dyDescent="0.15">
      <c r="B249" t="s">
        <v>1133</v>
      </c>
      <c r="C249" s="58">
        <f>C247-C248</f>
        <v>10.629</v>
      </c>
      <c r="D249" s="112"/>
      <c r="G249" s="187"/>
      <c r="H249" t="s">
        <v>1133</v>
      </c>
      <c r="I249" s="58">
        <f>I247-I248</f>
        <v>14.574</v>
      </c>
      <c r="J249" s="112"/>
    </row>
    <row r="250" spans="2:12" x14ac:dyDescent="0.15"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</row>
    <row r="251" spans="2:12" x14ac:dyDescent="0.15"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</row>
    <row r="252" spans="2:12" ht="23" customHeight="1" x14ac:dyDescent="0.15">
      <c r="B252" s="185" t="s">
        <v>1194</v>
      </c>
      <c r="C252" s="185"/>
      <c r="D252" s="185"/>
      <c r="E252" s="185"/>
      <c r="F252" s="185"/>
      <c r="G252" s="187"/>
      <c r="H252" s="185" t="s">
        <v>1194</v>
      </c>
      <c r="I252" s="185"/>
      <c r="J252" s="185"/>
      <c r="K252" s="185"/>
      <c r="L252" s="185"/>
    </row>
    <row r="253" spans="2:12" x14ac:dyDescent="0.15">
      <c r="B253" s="185"/>
      <c r="C253" s="185"/>
      <c r="D253" s="185"/>
      <c r="E253" s="185"/>
      <c r="F253" s="185"/>
      <c r="G253" s="187"/>
      <c r="H253" s="185"/>
      <c r="I253" s="185"/>
      <c r="J253" s="185"/>
      <c r="K253" s="185"/>
      <c r="L253" s="185"/>
    </row>
    <row r="254" spans="2:12" ht="16" x14ac:dyDescent="0.2">
      <c r="B254" s="119" t="s">
        <v>1122</v>
      </c>
      <c r="C254" s="119" t="s">
        <v>1123</v>
      </c>
      <c r="D254" s="119" t="s">
        <v>1124</v>
      </c>
      <c r="E254" s="119" t="s">
        <v>1125</v>
      </c>
      <c r="F254" s="119" t="s">
        <v>1126</v>
      </c>
      <c r="G254" s="187"/>
      <c r="H254" s="119" t="s">
        <v>1122</v>
      </c>
      <c r="I254" s="119" t="s">
        <v>1123</v>
      </c>
      <c r="J254" s="119" t="s">
        <v>1124</v>
      </c>
      <c r="K254" s="119" t="s">
        <v>1125</v>
      </c>
      <c r="L254" s="119" t="s">
        <v>1126</v>
      </c>
    </row>
    <row r="255" spans="2:12" x14ac:dyDescent="0.15">
      <c r="B255" s="108" t="s">
        <v>1309</v>
      </c>
      <c r="C255" s="106">
        <v>4</v>
      </c>
      <c r="D255" s="108" t="s">
        <v>1129</v>
      </c>
      <c r="E255" s="107">
        <f>INGREDIENTS!F159</f>
        <v>0.12</v>
      </c>
      <c r="F255" s="107">
        <f>E255*C255</f>
        <v>0.48</v>
      </c>
      <c r="G255" s="187"/>
      <c r="H255" s="108" t="s">
        <v>1309</v>
      </c>
      <c r="I255" s="106">
        <v>4</v>
      </c>
      <c r="J255" s="108" t="s">
        <v>1129</v>
      </c>
      <c r="K255" s="107">
        <f>INGREDIENTS!F159</f>
        <v>0.12</v>
      </c>
      <c r="L255" s="107">
        <f>K255*I255</f>
        <v>0.48</v>
      </c>
    </row>
    <row r="256" spans="2:12" x14ac:dyDescent="0.15">
      <c r="B256" s="108" t="s">
        <v>1102</v>
      </c>
      <c r="C256" s="106">
        <v>1</v>
      </c>
      <c r="D256" s="108" t="s">
        <v>1036</v>
      </c>
      <c r="E256" s="107">
        <f>INGREDIENTS!F140</f>
        <v>1.5</v>
      </c>
      <c r="F256" s="107">
        <f>E256*C256</f>
        <v>1.5</v>
      </c>
      <c r="G256" s="187"/>
      <c r="H256" s="108" t="s">
        <v>1102</v>
      </c>
      <c r="I256" s="106">
        <v>1</v>
      </c>
      <c r="J256" s="108" t="s">
        <v>1036</v>
      </c>
      <c r="K256" s="107">
        <f>INGREDIENTS!F140</f>
        <v>1.5</v>
      </c>
      <c r="L256" s="107">
        <f>K256*I256</f>
        <v>1.5</v>
      </c>
    </row>
    <row r="257" spans="2:12" x14ac:dyDescent="0.15">
      <c r="B257" s="108" t="s">
        <v>1162</v>
      </c>
      <c r="C257" s="106">
        <v>10</v>
      </c>
      <c r="D257" s="108" t="s">
        <v>1001</v>
      </c>
      <c r="E257" s="107">
        <f>INGREDIENTS!F132</f>
        <v>1.6E-2</v>
      </c>
      <c r="F257" s="107">
        <f t="shared" ref="F257:F262" si="30">E257*C257</f>
        <v>0.16</v>
      </c>
      <c r="G257" s="187"/>
      <c r="H257" s="108" t="s">
        <v>1162</v>
      </c>
      <c r="I257" s="106">
        <v>10</v>
      </c>
      <c r="J257" s="108" t="s">
        <v>1001</v>
      </c>
      <c r="K257" s="107">
        <f>INGREDIENTS!F132</f>
        <v>1.6E-2</v>
      </c>
      <c r="L257" s="107">
        <f t="shared" ref="L257:L262" si="31">K257*I257</f>
        <v>0.16</v>
      </c>
    </row>
    <row r="258" spans="2:12" x14ac:dyDescent="0.15">
      <c r="B258" s="108" t="s">
        <v>1178</v>
      </c>
      <c r="C258" s="106">
        <v>10</v>
      </c>
      <c r="D258" s="108" t="s">
        <v>1176</v>
      </c>
      <c r="E258" s="107">
        <f>INGREDIENTS!F108</f>
        <v>9.4999999999999998E-3</v>
      </c>
      <c r="F258" s="107">
        <f t="shared" si="30"/>
        <v>9.5000000000000001E-2</v>
      </c>
      <c r="G258" s="187"/>
      <c r="H258" s="108" t="s">
        <v>1178</v>
      </c>
      <c r="I258" s="106">
        <v>10</v>
      </c>
      <c r="J258" s="108" t="s">
        <v>1176</v>
      </c>
      <c r="K258" s="107">
        <f>INGREDIENTS!F108</f>
        <v>9.4999999999999998E-3</v>
      </c>
      <c r="L258" s="107">
        <f t="shared" si="31"/>
        <v>9.5000000000000001E-2</v>
      </c>
    </row>
    <row r="259" spans="2:12" x14ac:dyDescent="0.15">
      <c r="B259" s="108" t="s">
        <v>1193</v>
      </c>
      <c r="C259" s="106">
        <v>30</v>
      </c>
      <c r="D259" s="108" t="s">
        <v>1001</v>
      </c>
      <c r="E259" s="107">
        <v>0</v>
      </c>
      <c r="F259" s="107">
        <f t="shared" si="30"/>
        <v>0</v>
      </c>
      <c r="G259" s="187"/>
      <c r="H259" s="108" t="s">
        <v>1193</v>
      </c>
      <c r="I259" s="106">
        <v>30</v>
      </c>
      <c r="J259" s="108" t="s">
        <v>1001</v>
      </c>
      <c r="K259" s="107">
        <v>0</v>
      </c>
      <c r="L259" s="107">
        <f t="shared" si="31"/>
        <v>0</v>
      </c>
    </row>
    <row r="260" spans="2:12" x14ac:dyDescent="0.15">
      <c r="B260" s="108" t="s">
        <v>1169</v>
      </c>
      <c r="C260" s="106">
        <v>1</v>
      </c>
      <c r="D260" s="106" t="s">
        <v>1036</v>
      </c>
      <c r="E260" s="107">
        <f>INGREDIENTS!F21</f>
        <v>0.27</v>
      </c>
      <c r="F260" s="107">
        <f t="shared" si="30"/>
        <v>0.27</v>
      </c>
      <c r="G260" s="187"/>
      <c r="H260" s="108" t="s">
        <v>1361</v>
      </c>
      <c r="I260" s="106">
        <v>1</v>
      </c>
      <c r="J260" s="106" t="s">
        <v>1036</v>
      </c>
      <c r="K260" s="107">
        <f>INGREDIENTS!F26</f>
        <v>0.28999999999999998</v>
      </c>
      <c r="L260" s="107">
        <f t="shared" si="31"/>
        <v>0.28999999999999998</v>
      </c>
    </row>
    <row r="261" spans="2:12" x14ac:dyDescent="0.15">
      <c r="B261" s="108" t="s">
        <v>1170</v>
      </c>
      <c r="C261" s="106">
        <v>1</v>
      </c>
      <c r="D261" s="106" t="s">
        <v>1103</v>
      </c>
      <c r="E261" s="107">
        <f>INGREDIENTS!F22</f>
        <v>0.115</v>
      </c>
      <c r="F261" s="107">
        <f t="shared" si="30"/>
        <v>0.115</v>
      </c>
      <c r="G261" s="187"/>
      <c r="H261" s="108" t="s">
        <v>1359</v>
      </c>
      <c r="I261" s="106">
        <v>1</v>
      </c>
      <c r="J261" s="106" t="s">
        <v>1103</v>
      </c>
      <c r="K261" s="107">
        <f>INGREDIENTS!F27</f>
        <v>0.15</v>
      </c>
      <c r="L261" s="107">
        <f t="shared" si="31"/>
        <v>0.15</v>
      </c>
    </row>
    <row r="262" spans="2:12" x14ac:dyDescent="0.15">
      <c r="B262" s="106" t="s">
        <v>1171</v>
      </c>
      <c r="C262" s="106">
        <v>1</v>
      </c>
      <c r="D262" s="106" t="s">
        <v>1103</v>
      </c>
      <c r="E262" s="107">
        <f>INGREDIENTS!F28</f>
        <v>5.8000000000000003E-2</v>
      </c>
      <c r="F262" s="107">
        <f t="shared" si="30"/>
        <v>5.8000000000000003E-2</v>
      </c>
      <c r="G262" s="187"/>
      <c r="H262" s="106" t="s">
        <v>1171</v>
      </c>
      <c r="I262" s="106">
        <v>1</v>
      </c>
      <c r="J262" s="106" t="s">
        <v>1103</v>
      </c>
      <c r="K262" s="107">
        <f>INGREDIENTS!F28</f>
        <v>5.8000000000000003E-2</v>
      </c>
      <c r="L262" s="107">
        <f t="shared" si="31"/>
        <v>5.8000000000000003E-2</v>
      </c>
    </row>
    <row r="263" spans="2:12" x14ac:dyDescent="0.15">
      <c r="B263" s="106"/>
      <c r="C263" s="106"/>
      <c r="D263" s="106"/>
      <c r="E263" s="107"/>
      <c r="F263" s="107"/>
      <c r="G263" s="187"/>
      <c r="H263" s="106"/>
      <c r="I263" s="106"/>
      <c r="J263" s="106"/>
      <c r="K263" s="107"/>
      <c r="L263" s="107"/>
    </row>
    <row r="264" spans="2:12" ht="18" x14ac:dyDescent="0.2">
      <c r="F264" s="110">
        <f>SUM(F255:F263)</f>
        <v>2.6780000000000004</v>
      </c>
      <c r="G264" s="187"/>
      <c r="L264" s="110">
        <f>SUM(L255:L263)</f>
        <v>2.7330000000000001</v>
      </c>
    </row>
    <row r="265" spans="2:12" x14ac:dyDescent="0.15">
      <c r="B265" t="s">
        <v>1132</v>
      </c>
      <c r="C265" s="58">
        <v>14</v>
      </c>
      <c r="G265" s="187"/>
      <c r="H265" t="s">
        <v>1132</v>
      </c>
      <c r="I265" s="58">
        <v>16</v>
      </c>
    </row>
    <row r="266" spans="2:12" ht="18" x14ac:dyDescent="0.2">
      <c r="B266" t="s">
        <v>1125</v>
      </c>
      <c r="C266" s="58">
        <f>F264+5%</f>
        <v>2.7280000000000002</v>
      </c>
      <c r="D266" s="111">
        <f>C266/C265</f>
        <v>0.19485714285714287</v>
      </c>
      <c r="G266" s="187"/>
      <c r="H266" t="s">
        <v>1125</v>
      </c>
      <c r="I266" s="58">
        <f>L264+5%</f>
        <v>2.7829999999999999</v>
      </c>
      <c r="J266" s="111">
        <f>I266/I265</f>
        <v>0.17393749999999999</v>
      </c>
    </row>
    <row r="267" spans="2:12" x14ac:dyDescent="0.15">
      <c r="B267" t="s">
        <v>1133</v>
      </c>
      <c r="C267" s="58">
        <f>C265-C266</f>
        <v>11.272</v>
      </c>
      <c r="D267" s="112"/>
      <c r="G267" s="187"/>
      <c r="H267" t="s">
        <v>1133</v>
      </c>
      <c r="I267" s="58">
        <f>I265-I266</f>
        <v>13.217000000000001</v>
      </c>
      <c r="J267" s="112"/>
    </row>
    <row r="268" spans="2:12" x14ac:dyDescent="0.15"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</row>
    <row r="269" spans="2:12" x14ac:dyDescent="0.15"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</row>
    <row r="270" spans="2:12" ht="23" customHeight="1" x14ac:dyDescent="0.15">
      <c r="B270" s="185" t="s">
        <v>1195</v>
      </c>
      <c r="C270" s="185"/>
      <c r="D270" s="185"/>
      <c r="E270" s="185"/>
      <c r="F270" s="185"/>
      <c r="G270" s="187"/>
      <c r="H270" s="185" t="s">
        <v>1195</v>
      </c>
      <c r="I270" s="185"/>
      <c r="J270" s="185"/>
      <c r="K270" s="185"/>
      <c r="L270" s="185"/>
    </row>
    <row r="271" spans="2:12" x14ac:dyDescent="0.15">
      <c r="B271" s="185"/>
      <c r="C271" s="185"/>
      <c r="D271" s="185"/>
      <c r="E271" s="185"/>
      <c r="F271" s="185"/>
      <c r="G271" s="187"/>
      <c r="H271" s="185"/>
      <c r="I271" s="185"/>
      <c r="J271" s="185"/>
      <c r="K271" s="185"/>
      <c r="L271" s="185"/>
    </row>
    <row r="272" spans="2:12" ht="16" x14ac:dyDescent="0.2">
      <c r="B272" s="119" t="s">
        <v>1122</v>
      </c>
      <c r="C272" s="119" t="s">
        <v>1123</v>
      </c>
      <c r="D272" s="119" t="s">
        <v>1124</v>
      </c>
      <c r="E272" s="119" t="s">
        <v>1125</v>
      </c>
      <c r="F272" s="119" t="s">
        <v>1126</v>
      </c>
      <c r="G272" s="187"/>
      <c r="H272" s="119" t="s">
        <v>1122</v>
      </c>
      <c r="I272" s="119" t="s">
        <v>1123</v>
      </c>
      <c r="J272" s="119" t="s">
        <v>1124</v>
      </c>
      <c r="K272" s="119" t="s">
        <v>1125</v>
      </c>
      <c r="L272" s="119" t="s">
        <v>1126</v>
      </c>
    </row>
    <row r="273" spans="2:12" x14ac:dyDescent="0.15">
      <c r="B273" s="108" t="s">
        <v>1120</v>
      </c>
      <c r="C273" s="106">
        <v>4</v>
      </c>
      <c r="D273" s="108" t="s">
        <v>1129</v>
      </c>
      <c r="E273" s="107">
        <f>INGREDIENTS!F159</f>
        <v>0.12</v>
      </c>
      <c r="F273" s="107">
        <f>E273*C273</f>
        <v>0.48</v>
      </c>
      <c r="G273" s="187"/>
      <c r="H273" s="108" t="s">
        <v>1120</v>
      </c>
      <c r="I273" s="106">
        <v>4</v>
      </c>
      <c r="J273" s="108" t="s">
        <v>1129</v>
      </c>
      <c r="K273" s="107">
        <f>INGREDIENTS!F159</f>
        <v>0.12</v>
      </c>
      <c r="L273" s="107">
        <f>K273*I273</f>
        <v>0.48</v>
      </c>
    </row>
    <row r="274" spans="2:12" x14ac:dyDescent="0.15">
      <c r="B274" s="108" t="s">
        <v>1312</v>
      </c>
      <c r="C274" s="106">
        <v>30</v>
      </c>
      <c r="D274" s="108" t="s">
        <v>1176</v>
      </c>
      <c r="E274" s="107">
        <f>INGREDIENTS!F74</f>
        <v>6.9900000000000004E-2</v>
      </c>
      <c r="F274" s="107">
        <f>E274*C274</f>
        <v>2.097</v>
      </c>
      <c r="G274" s="187"/>
      <c r="H274" s="108" t="s">
        <v>1312</v>
      </c>
      <c r="I274" s="106">
        <v>30</v>
      </c>
      <c r="J274" s="108" t="s">
        <v>1176</v>
      </c>
      <c r="K274" s="107">
        <f>INGREDIENTS!F74</f>
        <v>6.9900000000000004E-2</v>
      </c>
      <c r="L274" s="107">
        <f>K274*I274</f>
        <v>2.097</v>
      </c>
    </row>
    <row r="275" spans="2:12" x14ac:dyDescent="0.15">
      <c r="B275" s="108" t="s">
        <v>1175</v>
      </c>
      <c r="C275" s="106">
        <v>10</v>
      </c>
      <c r="D275" s="108" t="s">
        <v>1176</v>
      </c>
      <c r="E275" s="107">
        <f>INGREDIENTS!F108</f>
        <v>9.4999999999999998E-3</v>
      </c>
      <c r="F275" s="107">
        <f t="shared" ref="F275:F279" si="32">E275*C275</f>
        <v>9.5000000000000001E-2</v>
      </c>
      <c r="G275" s="187"/>
      <c r="H275" s="108" t="s">
        <v>1175</v>
      </c>
      <c r="I275" s="106">
        <v>10</v>
      </c>
      <c r="J275" s="108" t="s">
        <v>1176</v>
      </c>
      <c r="K275" s="107">
        <f>INGREDIENTS!F108</f>
        <v>9.4999999999999998E-3</v>
      </c>
      <c r="L275" s="107">
        <f t="shared" ref="L275:L279" si="33">K275*I275</f>
        <v>9.5000000000000001E-2</v>
      </c>
    </row>
    <row r="276" spans="2:12" x14ac:dyDescent="0.15">
      <c r="B276" s="108" t="s">
        <v>1193</v>
      </c>
      <c r="C276" s="106">
        <v>100</v>
      </c>
      <c r="D276" s="108" t="s">
        <v>1001</v>
      </c>
      <c r="E276" s="107">
        <v>0</v>
      </c>
      <c r="F276" s="107">
        <f t="shared" si="32"/>
        <v>0</v>
      </c>
      <c r="G276" s="187"/>
      <c r="H276" s="108" t="s">
        <v>1193</v>
      </c>
      <c r="I276" s="106">
        <v>100</v>
      </c>
      <c r="J276" s="108" t="s">
        <v>1001</v>
      </c>
      <c r="K276" s="107">
        <v>0</v>
      </c>
      <c r="L276" s="107">
        <f t="shared" si="33"/>
        <v>0</v>
      </c>
    </row>
    <row r="277" spans="2:12" x14ac:dyDescent="0.15">
      <c r="B277" s="108" t="s">
        <v>1169</v>
      </c>
      <c r="C277" s="106">
        <v>1</v>
      </c>
      <c r="D277" s="106" t="s">
        <v>1036</v>
      </c>
      <c r="E277" s="107">
        <f>INGREDIENTS!F21</f>
        <v>0.27</v>
      </c>
      <c r="F277" s="107">
        <f t="shared" si="32"/>
        <v>0.27</v>
      </c>
      <c r="G277" s="187"/>
      <c r="H277" s="108" t="s">
        <v>1361</v>
      </c>
      <c r="I277" s="106">
        <v>1</v>
      </c>
      <c r="J277" s="106" t="s">
        <v>1036</v>
      </c>
      <c r="K277" s="107">
        <f>INGREDIENTS!F26</f>
        <v>0.28999999999999998</v>
      </c>
      <c r="L277" s="107">
        <f t="shared" si="33"/>
        <v>0.28999999999999998</v>
      </c>
    </row>
    <row r="278" spans="2:12" x14ac:dyDescent="0.15">
      <c r="B278" s="108" t="s">
        <v>1170</v>
      </c>
      <c r="C278" s="106">
        <v>1</v>
      </c>
      <c r="D278" s="106" t="s">
        <v>1103</v>
      </c>
      <c r="E278" s="107">
        <f>INGREDIENTS!F22</f>
        <v>0.115</v>
      </c>
      <c r="F278" s="107">
        <f t="shared" si="32"/>
        <v>0.115</v>
      </c>
      <c r="G278" s="187"/>
      <c r="H278" s="108" t="s">
        <v>1359</v>
      </c>
      <c r="I278" s="106">
        <v>1</v>
      </c>
      <c r="J278" s="106" t="s">
        <v>1103</v>
      </c>
      <c r="K278" s="107">
        <f>INGREDIENTS!F27</f>
        <v>0.15</v>
      </c>
      <c r="L278" s="107">
        <f t="shared" si="33"/>
        <v>0.15</v>
      </c>
    </row>
    <row r="279" spans="2:12" x14ac:dyDescent="0.15">
      <c r="B279" s="106" t="s">
        <v>1171</v>
      </c>
      <c r="C279" s="106">
        <v>1</v>
      </c>
      <c r="D279" s="106" t="s">
        <v>1103</v>
      </c>
      <c r="E279" s="107">
        <f>INGREDIENTS!F28</f>
        <v>5.8000000000000003E-2</v>
      </c>
      <c r="F279" s="107">
        <f t="shared" si="32"/>
        <v>5.8000000000000003E-2</v>
      </c>
      <c r="G279" s="187"/>
      <c r="H279" s="106" t="s">
        <v>1171</v>
      </c>
      <c r="I279" s="106">
        <v>1</v>
      </c>
      <c r="J279" s="106" t="s">
        <v>1103</v>
      </c>
      <c r="K279" s="107">
        <f>INGREDIENTS!F28</f>
        <v>5.8000000000000003E-2</v>
      </c>
      <c r="L279" s="107">
        <f t="shared" si="33"/>
        <v>5.8000000000000003E-2</v>
      </c>
    </row>
    <row r="280" spans="2:12" x14ac:dyDescent="0.15">
      <c r="B280" s="106"/>
      <c r="C280" s="106"/>
      <c r="D280" s="106"/>
      <c r="E280" s="107"/>
      <c r="F280" s="107"/>
      <c r="G280" s="187"/>
      <c r="H280" s="106"/>
      <c r="I280" s="106"/>
      <c r="J280" s="106"/>
      <c r="K280" s="107"/>
      <c r="L280" s="107"/>
    </row>
    <row r="281" spans="2:12" x14ac:dyDescent="0.15">
      <c r="B281" s="106"/>
      <c r="C281" s="106"/>
      <c r="D281" s="106"/>
      <c r="E281" s="107"/>
      <c r="F281" s="107"/>
      <c r="G281" s="187"/>
      <c r="H281" s="106"/>
      <c r="I281" s="106"/>
      <c r="J281" s="106"/>
      <c r="K281" s="107"/>
      <c r="L281" s="107"/>
    </row>
    <row r="282" spans="2:12" ht="18" x14ac:dyDescent="0.2">
      <c r="F282" s="110">
        <f>SUM(F273:F281)</f>
        <v>3.1150000000000002</v>
      </c>
      <c r="G282" s="187"/>
      <c r="L282" s="110">
        <f>SUM(L273:L281)</f>
        <v>3.17</v>
      </c>
    </row>
    <row r="283" spans="2:12" x14ac:dyDescent="0.15">
      <c r="B283" t="s">
        <v>1132</v>
      </c>
      <c r="C283" s="58">
        <v>14</v>
      </c>
      <c r="G283" s="187"/>
      <c r="H283" t="s">
        <v>1132</v>
      </c>
      <c r="I283" s="58">
        <v>16</v>
      </c>
    </row>
    <row r="284" spans="2:12" ht="18" x14ac:dyDescent="0.2">
      <c r="B284" t="s">
        <v>1125</v>
      </c>
      <c r="C284" s="58">
        <f>F282+5%</f>
        <v>3.165</v>
      </c>
      <c r="D284" s="111">
        <f>C284/C283</f>
        <v>0.22607142857142856</v>
      </c>
      <c r="G284" s="187"/>
      <c r="H284" t="s">
        <v>1125</v>
      </c>
      <c r="I284" s="58">
        <f>L282+5%</f>
        <v>3.2199999999999998</v>
      </c>
      <c r="J284" s="111">
        <f>I284/I283</f>
        <v>0.20124999999999998</v>
      </c>
    </row>
    <row r="285" spans="2:12" x14ac:dyDescent="0.15">
      <c r="B285" t="s">
        <v>1133</v>
      </c>
      <c r="C285" s="58">
        <f>C283-C284</f>
        <v>10.835000000000001</v>
      </c>
      <c r="D285" s="112"/>
      <c r="G285" s="187"/>
      <c r="H285" t="s">
        <v>1133</v>
      </c>
      <c r="I285" s="58">
        <f>I283-I284</f>
        <v>12.780000000000001</v>
      </c>
      <c r="J285" s="112"/>
    </row>
    <row r="286" spans="2:12" x14ac:dyDescent="0.15"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</row>
    <row r="287" spans="2:12" x14ac:dyDescent="0.15"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</row>
    <row r="288" spans="2:12" ht="23" customHeight="1" x14ac:dyDescent="0.15">
      <c r="B288" s="185" t="s">
        <v>1378</v>
      </c>
      <c r="C288" s="185"/>
      <c r="D288" s="185"/>
      <c r="E288" s="185"/>
      <c r="F288" s="185"/>
      <c r="G288" s="187"/>
      <c r="H288" s="185" t="s">
        <v>1322</v>
      </c>
      <c r="I288" s="185"/>
      <c r="J288" s="185"/>
      <c r="K288" s="185"/>
      <c r="L288" s="185"/>
    </row>
    <row r="289" spans="2:12" x14ac:dyDescent="0.15">
      <c r="B289" s="185"/>
      <c r="C289" s="185"/>
      <c r="D289" s="185"/>
      <c r="E289" s="185"/>
      <c r="F289" s="185"/>
      <c r="G289" s="187"/>
      <c r="H289" s="185"/>
      <c r="I289" s="185"/>
      <c r="J289" s="185"/>
      <c r="K289" s="185"/>
      <c r="L289" s="185"/>
    </row>
    <row r="290" spans="2:12" ht="16" x14ac:dyDescent="0.2">
      <c r="B290" s="119" t="s">
        <v>1122</v>
      </c>
      <c r="C290" s="119" t="s">
        <v>1123</v>
      </c>
      <c r="D290" s="119" t="s">
        <v>1124</v>
      </c>
      <c r="E290" s="119" t="s">
        <v>1125</v>
      </c>
      <c r="F290" s="119" t="s">
        <v>1126</v>
      </c>
      <c r="G290" s="187"/>
      <c r="H290" s="119" t="s">
        <v>1122</v>
      </c>
      <c r="I290" s="119" t="s">
        <v>1123</v>
      </c>
      <c r="J290" s="119" t="s">
        <v>1124</v>
      </c>
      <c r="K290" s="119" t="s">
        <v>1125</v>
      </c>
      <c r="L290" s="119" t="s">
        <v>1126</v>
      </c>
    </row>
    <row r="291" spans="2:12" x14ac:dyDescent="0.15">
      <c r="B291" s="106" t="s">
        <v>1163</v>
      </c>
      <c r="C291" s="106">
        <f>16+(18*0.025)</f>
        <v>16.45</v>
      </c>
      <c r="D291" s="106" t="s">
        <v>1129</v>
      </c>
      <c r="E291" s="107">
        <f>INGREDIENTS!F11</f>
        <v>7.0000000000000007E-2</v>
      </c>
      <c r="F291" s="107">
        <f>E291*C291</f>
        <v>1.1515</v>
      </c>
      <c r="G291" s="187"/>
      <c r="H291" s="106" t="s">
        <v>1163</v>
      </c>
      <c r="I291" s="106">
        <f>16+(18*0.025)</f>
        <v>16.45</v>
      </c>
      <c r="J291" s="106" t="s">
        <v>1129</v>
      </c>
      <c r="K291" s="107">
        <f>INGREDIENTS!F11</f>
        <v>7.0000000000000007E-2</v>
      </c>
      <c r="L291" s="107">
        <f>K291*I291</f>
        <v>1.1515</v>
      </c>
    </row>
    <row r="292" spans="2:12" x14ac:dyDescent="0.15">
      <c r="B292" s="108" t="s">
        <v>1321</v>
      </c>
      <c r="C292" s="106">
        <v>1</v>
      </c>
      <c r="D292" s="108" t="s">
        <v>1036</v>
      </c>
      <c r="E292" s="107">
        <f>INGREDIENTS!F140</f>
        <v>1.5</v>
      </c>
      <c r="F292" s="107">
        <f t="shared" ref="F292:F297" si="34">E292*C292</f>
        <v>1.5</v>
      </c>
      <c r="G292" s="187"/>
      <c r="H292" s="108" t="s">
        <v>1321</v>
      </c>
      <c r="I292" s="106">
        <v>1</v>
      </c>
      <c r="J292" s="108" t="s">
        <v>1036</v>
      </c>
      <c r="K292" s="107">
        <f>INGREDIENTS!F140</f>
        <v>1.5</v>
      </c>
      <c r="L292" s="107">
        <f t="shared" ref="L292:L297" si="35">K292*I292</f>
        <v>1.5</v>
      </c>
    </row>
    <row r="293" spans="2:12" x14ac:dyDescent="0.15">
      <c r="B293" s="108" t="s">
        <v>1178</v>
      </c>
      <c r="C293" s="106">
        <v>20</v>
      </c>
      <c r="D293" s="108" t="s">
        <v>1001</v>
      </c>
      <c r="E293" s="107">
        <f>INGREDIENTS!$F$38</f>
        <v>1.426E-2</v>
      </c>
      <c r="F293" s="107">
        <f t="shared" si="34"/>
        <v>0.28520000000000001</v>
      </c>
      <c r="G293" s="187"/>
      <c r="H293" s="108" t="s">
        <v>1178</v>
      </c>
      <c r="I293" s="106">
        <v>20</v>
      </c>
      <c r="J293" s="108" t="s">
        <v>1001</v>
      </c>
      <c r="K293" s="107">
        <f>INGREDIENTS!F108</f>
        <v>9.4999999999999998E-3</v>
      </c>
      <c r="L293" s="107">
        <f t="shared" si="35"/>
        <v>0.19</v>
      </c>
    </row>
    <row r="294" spans="2:12" x14ac:dyDescent="0.15">
      <c r="B294" s="108" t="s">
        <v>1162</v>
      </c>
      <c r="C294" s="106">
        <v>10</v>
      </c>
      <c r="D294" s="108" t="s">
        <v>1001</v>
      </c>
      <c r="E294" s="107">
        <f>INGREDIENTS!F132</f>
        <v>1.6E-2</v>
      </c>
      <c r="F294" s="107">
        <f t="shared" si="34"/>
        <v>0.16</v>
      </c>
      <c r="G294" s="187"/>
      <c r="H294" s="108" t="s">
        <v>1162</v>
      </c>
      <c r="I294" s="106">
        <v>10</v>
      </c>
      <c r="J294" s="108" t="s">
        <v>1001</v>
      </c>
      <c r="K294" s="107">
        <f>INGREDIENTS!F132</f>
        <v>1.6E-2</v>
      </c>
      <c r="L294" s="107">
        <f t="shared" si="35"/>
        <v>0.16</v>
      </c>
    </row>
    <row r="295" spans="2:12" x14ac:dyDescent="0.15">
      <c r="B295" s="108" t="s">
        <v>1169</v>
      </c>
      <c r="C295" s="106">
        <v>1</v>
      </c>
      <c r="D295" s="106" t="s">
        <v>1036</v>
      </c>
      <c r="E295" s="107">
        <f>INGREDIENTS!F22</f>
        <v>0.115</v>
      </c>
      <c r="F295" s="107">
        <f t="shared" si="34"/>
        <v>0.115</v>
      </c>
      <c r="G295" s="187"/>
      <c r="H295" s="108" t="s">
        <v>1361</v>
      </c>
      <c r="I295" s="106">
        <v>1</v>
      </c>
      <c r="J295" s="106" t="s">
        <v>1036</v>
      </c>
      <c r="K295" s="107">
        <f>INGREDIENTS!F26</f>
        <v>0.28999999999999998</v>
      </c>
      <c r="L295" s="107">
        <f t="shared" si="35"/>
        <v>0.28999999999999998</v>
      </c>
    </row>
    <row r="296" spans="2:12" x14ac:dyDescent="0.15">
      <c r="B296" s="108" t="s">
        <v>1170</v>
      </c>
      <c r="C296" s="106">
        <v>1</v>
      </c>
      <c r="D296" s="106" t="s">
        <v>1103</v>
      </c>
      <c r="E296" s="107">
        <f>INGREDIENTS!F22</f>
        <v>0.115</v>
      </c>
      <c r="F296" s="107">
        <f t="shared" si="34"/>
        <v>0.115</v>
      </c>
      <c r="G296" s="187"/>
      <c r="H296" s="108" t="s">
        <v>1359</v>
      </c>
      <c r="I296" s="106">
        <v>1</v>
      </c>
      <c r="J296" s="106" t="s">
        <v>1103</v>
      </c>
      <c r="K296" s="107">
        <f>INGREDIENTS!F27</f>
        <v>0.15</v>
      </c>
      <c r="L296" s="107">
        <f t="shared" si="35"/>
        <v>0.15</v>
      </c>
    </row>
    <row r="297" spans="2:12" x14ac:dyDescent="0.15">
      <c r="B297" s="106" t="s">
        <v>1171</v>
      </c>
      <c r="C297" s="106">
        <v>1</v>
      </c>
      <c r="D297" s="106" t="s">
        <v>1103</v>
      </c>
      <c r="E297" s="107">
        <f>INGREDIENTS!F28</f>
        <v>5.8000000000000003E-2</v>
      </c>
      <c r="F297" s="107">
        <f t="shared" si="34"/>
        <v>5.8000000000000003E-2</v>
      </c>
      <c r="G297" s="187"/>
      <c r="H297" s="106" t="s">
        <v>1171</v>
      </c>
      <c r="I297" s="106">
        <v>1</v>
      </c>
      <c r="J297" s="106" t="s">
        <v>1103</v>
      </c>
      <c r="K297" s="107">
        <f>INGREDIENTS!F28</f>
        <v>5.8000000000000003E-2</v>
      </c>
      <c r="L297" s="107">
        <f t="shared" si="35"/>
        <v>5.8000000000000003E-2</v>
      </c>
    </row>
    <row r="298" spans="2:12" x14ac:dyDescent="0.15">
      <c r="B298" s="106"/>
      <c r="C298" s="106"/>
      <c r="D298" s="106"/>
      <c r="E298" s="107"/>
      <c r="F298" s="107"/>
      <c r="G298" s="187"/>
      <c r="H298" s="106"/>
      <c r="I298" s="106"/>
      <c r="J298" s="106"/>
      <c r="K298" s="107"/>
      <c r="L298" s="107"/>
    </row>
    <row r="299" spans="2:12" x14ac:dyDescent="0.15">
      <c r="B299" s="106"/>
      <c r="C299" s="106"/>
      <c r="D299" s="106"/>
      <c r="E299" s="107"/>
      <c r="F299" s="107"/>
      <c r="G299" s="187"/>
      <c r="H299" s="106"/>
      <c r="I299" s="106"/>
      <c r="J299" s="106"/>
      <c r="K299" s="107"/>
      <c r="L299" s="107"/>
    </row>
    <row r="300" spans="2:12" x14ac:dyDescent="0.15">
      <c r="B300" s="106"/>
      <c r="C300" s="106"/>
      <c r="D300" s="106"/>
      <c r="E300" s="107"/>
      <c r="F300" s="107"/>
      <c r="G300" s="187"/>
      <c r="H300" s="106"/>
      <c r="I300" s="106"/>
      <c r="J300" s="106"/>
      <c r="K300" s="107"/>
      <c r="L300" s="107"/>
    </row>
    <row r="301" spans="2:12" x14ac:dyDescent="0.15">
      <c r="B301" s="106"/>
      <c r="C301" s="106"/>
      <c r="D301" s="106"/>
      <c r="E301" s="107"/>
      <c r="F301" s="107"/>
      <c r="G301" s="187"/>
      <c r="H301" s="106"/>
      <c r="I301" s="106"/>
      <c r="J301" s="106"/>
      <c r="K301" s="107"/>
      <c r="L301" s="107"/>
    </row>
    <row r="302" spans="2:12" ht="18" x14ac:dyDescent="0.2">
      <c r="F302" s="110">
        <f>SUM(F291:F301)</f>
        <v>3.3847000000000005</v>
      </c>
      <c r="G302" s="187"/>
      <c r="L302" s="110">
        <f>SUM(L291:L301)</f>
        <v>3.4994999999999998</v>
      </c>
    </row>
    <row r="303" spans="2:12" x14ac:dyDescent="0.15">
      <c r="B303" t="s">
        <v>1132</v>
      </c>
      <c r="C303" s="58">
        <v>12</v>
      </c>
      <c r="G303" s="187"/>
      <c r="H303" t="s">
        <v>1132</v>
      </c>
      <c r="I303" s="58">
        <v>16</v>
      </c>
    </row>
    <row r="304" spans="2:12" ht="18" x14ac:dyDescent="0.2">
      <c r="B304" t="s">
        <v>1125</v>
      </c>
      <c r="C304" s="58">
        <f>F302+5%</f>
        <v>3.4347000000000003</v>
      </c>
      <c r="D304" s="111">
        <f>C304/C303</f>
        <v>0.28622500000000001</v>
      </c>
      <c r="G304" s="187"/>
      <c r="H304" t="s">
        <v>1125</v>
      </c>
      <c r="I304" s="58">
        <f>L302+5%</f>
        <v>3.5494999999999997</v>
      </c>
      <c r="J304" s="111">
        <f>I304/I303</f>
        <v>0.22184374999999998</v>
      </c>
    </row>
    <row r="305" spans="2:12" x14ac:dyDescent="0.15">
      <c r="B305" t="s">
        <v>1133</v>
      </c>
      <c r="C305" s="58">
        <f>C303-C304</f>
        <v>8.5653000000000006</v>
      </c>
      <c r="D305" s="112"/>
      <c r="G305" s="187"/>
      <c r="H305" t="s">
        <v>1133</v>
      </c>
      <c r="I305" s="58">
        <f>I303-I304</f>
        <v>12.4505</v>
      </c>
      <c r="J305" s="112"/>
    </row>
    <row r="306" spans="2:12" x14ac:dyDescent="0.15"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</row>
    <row r="307" spans="2:12" x14ac:dyDescent="0.15"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</row>
    <row r="308" spans="2:12" ht="23" customHeight="1" x14ac:dyDescent="0.15">
      <c r="B308" s="185" t="s">
        <v>1350</v>
      </c>
      <c r="C308" s="185"/>
      <c r="D308" s="185"/>
      <c r="E308" s="185"/>
      <c r="F308" s="185"/>
      <c r="G308" s="187"/>
      <c r="H308" s="185" t="s">
        <v>1350</v>
      </c>
      <c r="I308" s="185"/>
      <c r="J308" s="185"/>
      <c r="K308" s="185"/>
      <c r="L308" s="185"/>
    </row>
    <row r="309" spans="2:12" x14ac:dyDescent="0.15">
      <c r="B309" s="185"/>
      <c r="C309" s="185"/>
      <c r="D309" s="185"/>
      <c r="E309" s="185"/>
      <c r="F309" s="185"/>
      <c r="G309" s="187"/>
      <c r="H309" s="185"/>
      <c r="I309" s="185"/>
      <c r="J309" s="185"/>
      <c r="K309" s="185"/>
      <c r="L309" s="185"/>
    </row>
    <row r="310" spans="2:12" ht="16" x14ac:dyDescent="0.2">
      <c r="B310" s="119" t="s">
        <v>1122</v>
      </c>
      <c r="C310" s="119" t="s">
        <v>1123</v>
      </c>
      <c r="D310" s="119" t="s">
        <v>1124</v>
      </c>
      <c r="E310" s="119" t="s">
        <v>1125</v>
      </c>
      <c r="F310" s="119" t="s">
        <v>1126</v>
      </c>
      <c r="G310" s="187"/>
      <c r="H310" s="119" t="s">
        <v>1122</v>
      </c>
      <c r="I310" s="119" t="s">
        <v>1123</v>
      </c>
      <c r="J310" s="119" t="s">
        <v>1124</v>
      </c>
      <c r="K310" s="119" t="s">
        <v>1125</v>
      </c>
      <c r="L310" s="119" t="s">
        <v>1126</v>
      </c>
    </row>
    <row r="311" spans="2:12" x14ac:dyDescent="0.15">
      <c r="B311" s="106" t="s">
        <v>1182</v>
      </c>
      <c r="C311" s="106">
        <v>15</v>
      </c>
      <c r="D311" s="106" t="s">
        <v>1129</v>
      </c>
      <c r="E311" s="107">
        <f>INGREDIENTS!F170</f>
        <v>0.125</v>
      </c>
      <c r="F311" s="107">
        <f>E311*C311</f>
        <v>1.875</v>
      </c>
      <c r="G311" s="187"/>
      <c r="H311" s="106" t="s">
        <v>1182</v>
      </c>
      <c r="I311" s="106">
        <v>15</v>
      </c>
      <c r="J311" s="106" t="s">
        <v>1129</v>
      </c>
      <c r="K311" s="107">
        <f>INGREDIENTS!F170</f>
        <v>0.125</v>
      </c>
      <c r="L311" s="107">
        <f>K311*I311</f>
        <v>1.875</v>
      </c>
    </row>
    <row r="312" spans="2:12" x14ac:dyDescent="0.15">
      <c r="B312" s="108" t="s">
        <v>1184</v>
      </c>
      <c r="C312" s="106">
        <v>20</v>
      </c>
      <c r="D312" s="108" t="s">
        <v>1165</v>
      </c>
      <c r="E312" s="107">
        <f>INGREDIENTS!F120</f>
        <v>1.0999999999999999E-2</v>
      </c>
      <c r="F312" s="107">
        <f>E312*C312</f>
        <v>0.21999999999999997</v>
      </c>
      <c r="G312" s="187"/>
      <c r="H312" s="108" t="s">
        <v>1184</v>
      </c>
      <c r="I312" s="106">
        <v>20</v>
      </c>
      <c r="J312" s="108" t="s">
        <v>1165</v>
      </c>
      <c r="K312" s="107">
        <f>INGREDIENTS!F120</f>
        <v>1.0999999999999999E-2</v>
      </c>
      <c r="L312" s="107">
        <f>K312*I312</f>
        <v>0.21999999999999997</v>
      </c>
    </row>
    <row r="313" spans="2:12" x14ac:dyDescent="0.15">
      <c r="B313" s="108" t="s">
        <v>1327</v>
      </c>
      <c r="C313" s="106">
        <v>2</v>
      </c>
      <c r="D313" s="108" t="s">
        <v>350</v>
      </c>
      <c r="E313" s="107">
        <f>INGREDIENTS!F185</f>
        <v>0.4</v>
      </c>
      <c r="F313" s="107">
        <f t="shared" ref="F313:F316" si="36">E313*C313</f>
        <v>0.8</v>
      </c>
      <c r="G313" s="187"/>
      <c r="H313" s="108" t="s">
        <v>1327</v>
      </c>
      <c r="I313" s="106">
        <v>2</v>
      </c>
      <c r="J313" s="108" t="s">
        <v>350</v>
      </c>
      <c r="K313" s="107">
        <f>INGREDIENTS!F185</f>
        <v>0.4</v>
      </c>
      <c r="L313" s="107">
        <f t="shared" ref="L313:L316" si="37">K313*I313</f>
        <v>0.8</v>
      </c>
    </row>
    <row r="314" spans="2:12" x14ac:dyDescent="0.15">
      <c r="B314" s="108" t="s">
        <v>1360</v>
      </c>
      <c r="C314" s="106">
        <v>1</v>
      </c>
      <c r="D314" s="106" t="s">
        <v>350</v>
      </c>
      <c r="E314" s="107">
        <f>INGREDIENTS!F21</f>
        <v>0.27</v>
      </c>
      <c r="F314" s="107">
        <f t="shared" si="36"/>
        <v>0.27</v>
      </c>
      <c r="G314" s="187"/>
      <c r="H314" s="108" t="s">
        <v>1361</v>
      </c>
      <c r="I314" s="106">
        <v>1</v>
      </c>
      <c r="J314" s="106" t="s">
        <v>350</v>
      </c>
      <c r="K314" s="107">
        <f>INGREDIENTS!F26</f>
        <v>0.28999999999999998</v>
      </c>
      <c r="L314" s="107">
        <f t="shared" si="37"/>
        <v>0.28999999999999998</v>
      </c>
    </row>
    <row r="315" spans="2:12" x14ac:dyDescent="0.15">
      <c r="B315" s="108" t="s">
        <v>1357</v>
      </c>
      <c r="C315" s="106">
        <v>1</v>
      </c>
      <c r="D315" s="106" t="s">
        <v>350</v>
      </c>
      <c r="E315" s="107">
        <f>INGREDIENTS!F22</f>
        <v>0.115</v>
      </c>
      <c r="F315" s="107">
        <f t="shared" si="36"/>
        <v>0.115</v>
      </c>
      <c r="G315" s="187"/>
      <c r="H315" s="108" t="s">
        <v>1359</v>
      </c>
      <c r="I315" s="106">
        <v>1</v>
      </c>
      <c r="J315" s="106" t="s">
        <v>350</v>
      </c>
      <c r="K315" s="107">
        <f>INGREDIENTS!F27</f>
        <v>0.15</v>
      </c>
      <c r="L315" s="107">
        <f t="shared" si="37"/>
        <v>0.15</v>
      </c>
    </row>
    <row r="316" spans="2:12" x14ac:dyDescent="0.15">
      <c r="B316" s="108" t="s">
        <v>1171</v>
      </c>
      <c r="C316" s="106">
        <v>1</v>
      </c>
      <c r="D316" s="106" t="s">
        <v>350</v>
      </c>
      <c r="E316" s="107">
        <f>INGREDIENTS!F28</f>
        <v>5.8000000000000003E-2</v>
      </c>
      <c r="F316" s="107">
        <f t="shared" si="36"/>
        <v>5.8000000000000003E-2</v>
      </c>
      <c r="G316" s="187"/>
      <c r="H316" s="108" t="s">
        <v>1171</v>
      </c>
      <c r="I316" s="106">
        <v>1</v>
      </c>
      <c r="J316" s="106" t="s">
        <v>350</v>
      </c>
      <c r="K316" s="107">
        <f>INGREDIENTS!F28</f>
        <v>5.8000000000000003E-2</v>
      </c>
      <c r="L316" s="107">
        <f t="shared" si="37"/>
        <v>5.8000000000000003E-2</v>
      </c>
    </row>
    <row r="317" spans="2:12" x14ac:dyDescent="0.15">
      <c r="B317" s="108"/>
      <c r="C317" s="106"/>
      <c r="D317" s="108"/>
      <c r="E317" s="107"/>
      <c r="F317" s="107"/>
      <c r="G317" s="187"/>
      <c r="H317" s="108"/>
      <c r="I317" s="106"/>
      <c r="J317" s="108"/>
      <c r="K317" s="107"/>
      <c r="L317" s="107"/>
    </row>
    <row r="318" spans="2:12" x14ac:dyDescent="0.15">
      <c r="B318" s="108"/>
      <c r="C318" s="106"/>
      <c r="D318" s="106"/>
      <c r="E318" s="107"/>
      <c r="F318" s="107"/>
      <c r="G318" s="187"/>
      <c r="H318" s="108"/>
      <c r="I318" s="106"/>
      <c r="J318" s="106"/>
      <c r="K318" s="107"/>
      <c r="L318" s="107"/>
    </row>
    <row r="319" spans="2:12" x14ac:dyDescent="0.15">
      <c r="B319" s="106"/>
      <c r="C319" s="106"/>
      <c r="D319" s="106"/>
      <c r="E319" s="107"/>
      <c r="F319" s="107"/>
      <c r="G319" s="187"/>
      <c r="H319" s="106"/>
      <c r="I319" s="106"/>
      <c r="J319" s="106"/>
      <c r="K319" s="107"/>
      <c r="L319" s="107"/>
    </row>
    <row r="320" spans="2:12" ht="18" x14ac:dyDescent="0.2">
      <c r="F320" s="110">
        <f>SUM(F311:F319)</f>
        <v>3.3379999999999996</v>
      </c>
      <c r="G320" s="187"/>
      <c r="L320" s="110">
        <f>SUM(L311:L319)</f>
        <v>3.3929999999999993</v>
      </c>
    </row>
    <row r="321" spans="2:12" x14ac:dyDescent="0.15">
      <c r="B321" t="s">
        <v>1132</v>
      </c>
      <c r="C321" s="58">
        <v>12</v>
      </c>
      <c r="G321" s="187"/>
      <c r="H321" t="s">
        <v>1132</v>
      </c>
      <c r="I321" s="58">
        <v>16</v>
      </c>
    </row>
    <row r="322" spans="2:12" ht="18" x14ac:dyDescent="0.2">
      <c r="B322" t="s">
        <v>1125</v>
      </c>
      <c r="C322" s="58">
        <f>F320+5%</f>
        <v>3.3879999999999995</v>
      </c>
      <c r="D322" s="111">
        <f>C322/C321</f>
        <v>0.28233333333333327</v>
      </c>
      <c r="G322" s="187"/>
      <c r="H322" t="s">
        <v>1125</v>
      </c>
      <c r="I322" s="58">
        <f>L320+5%</f>
        <v>3.4429999999999992</v>
      </c>
      <c r="J322" s="111">
        <f>I322/I321</f>
        <v>0.21518749999999995</v>
      </c>
    </row>
    <row r="323" spans="2:12" x14ac:dyDescent="0.15">
      <c r="B323" t="s">
        <v>1133</v>
      </c>
      <c r="C323" s="58">
        <f>C321-C322</f>
        <v>8.6120000000000001</v>
      </c>
      <c r="D323" s="112"/>
      <c r="G323" s="187"/>
      <c r="H323" t="s">
        <v>1133</v>
      </c>
      <c r="I323" s="58">
        <f>I321-I322</f>
        <v>12.557</v>
      </c>
      <c r="J323" s="112"/>
    </row>
    <row r="324" spans="2:12" x14ac:dyDescent="0.15"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</row>
    <row r="325" spans="2:12" x14ac:dyDescent="0.15"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</row>
    <row r="326" spans="2:12" ht="23" customHeight="1" x14ac:dyDescent="0.15">
      <c r="B326" s="185" t="s">
        <v>1351</v>
      </c>
      <c r="C326" s="185"/>
      <c r="D326" s="185"/>
      <c r="E326" s="185"/>
      <c r="F326" s="185"/>
      <c r="G326" s="187"/>
      <c r="H326" s="185" t="s">
        <v>1351</v>
      </c>
      <c r="I326" s="185"/>
      <c r="J326" s="185"/>
      <c r="K326" s="185"/>
      <c r="L326" s="185"/>
    </row>
    <row r="327" spans="2:12" x14ac:dyDescent="0.15">
      <c r="B327" s="185"/>
      <c r="C327" s="185"/>
      <c r="D327" s="185"/>
      <c r="E327" s="185"/>
      <c r="F327" s="185"/>
      <c r="G327" s="187"/>
      <c r="H327" s="185"/>
      <c r="I327" s="185"/>
      <c r="J327" s="185"/>
      <c r="K327" s="185"/>
      <c r="L327" s="185"/>
    </row>
    <row r="328" spans="2:12" ht="16" x14ac:dyDescent="0.2">
      <c r="B328" s="119" t="s">
        <v>1122</v>
      </c>
      <c r="C328" s="119" t="s">
        <v>1123</v>
      </c>
      <c r="D328" s="119" t="s">
        <v>1124</v>
      </c>
      <c r="E328" s="119" t="s">
        <v>1125</v>
      </c>
      <c r="F328" s="119" t="s">
        <v>1126</v>
      </c>
      <c r="G328" s="187"/>
      <c r="H328" s="119" t="s">
        <v>1122</v>
      </c>
      <c r="I328" s="119" t="s">
        <v>1123</v>
      </c>
      <c r="J328" s="119" t="s">
        <v>1124</v>
      </c>
      <c r="K328" s="119" t="s">
        <v>1125</v>
      </c>
      <c r="L328" s="119" t="s">
        <v>1126</v>
      </c>
    </row>
    <row r="329" spans="2:12" x14ac:dyDescent="0.15">
      <c r="B329" s="108" t="s">
        <v>1332</v>
      </c>
      <c r="C329" s="106">
        <v>3</v>
      </c>
      <c r="D329" s="108" t="s">
        <v>1129</v>
      </c>
      <c r="E329" s="107">
        <f>INGREDIENTS!F190</f>
        <v>0.44</v>
      </c>
      <c r="F329" s="107">
        <f>E329*C329</f>
        <v>1.32</v>
      </c>
      <c r="G329" s="187"/>
      <c r="H329" s="108" t="s">
        <v>1332</v>
      </c>
      <c r="I329" s="106">
        <v>4</v>
      </c>
      <c r="J329" s="108" t="s">
        <v>1129</v>
      </c>
      <c r="K329" s="107">
        <f>INGREDIENTS!F190</f>
        <v>0.44</v>
      </c>
      <c r="L329" s="107">
        <f>K329*I329</f>
        <v>1.76</v>
      </c>
    </row>
    <row r="330" spans="2:12" x14ac:dyDescent="0.15">
      <c r="B330" s="108" t="s">
        <v>1128</v>
      </c>
      <c r="C330" s="106">
        <v>215</v>
      </c>
      <c r="D330" s="108"/>
      <c r="E330" s="107">
        <f>INGREDIENTS!F38</f>
        <v>1.426E-2</v>
      </c>
      <c r="F330" s="107">
        <f t="shared" ref="F330:F333" si="38">E330*C330</f>
        <v>3.0659000000000001</v>
      </c>
      <c r="G330" s="187"/>
      <c r="H330" s="108" t="s">
        <v>1128</v>
      </c>
      <c r="I330" s="106">
        <v>225</v>
      </c>
      <c r="J330" s="108"/>
      <c r="K330" s="107">
        <f>INGREDIENTS!F38</f>
        <v>1.426E-2</v>
      </c>
      <c r="L330" s="107">
        <f t="shared" ref="L330:L333" si="39">K330*I330</f>
        <v>3.2084999999999999</v>
      </c>
    </row>
    <row r="331" spans="2:12" x14ac:dyDescent="0.15">
      <c r="B331" s="108" t="s">
        <v>1337</v>
      </c>
      <c r="C331" s="106">
        <v>1</v>
      </c>
      <c r="D331" s="108"/>
      <c r="E331" s="107">
        <f>INGREDIENTS!F21</f>
        <v>0.27</v>
      </c>
      <c r="F331" s="107">
        <f t="shared" si="38"/>
        <v>0.27</v>
      </c>
      <c r="G331" s="187"/>
      <c r="H331" s="108" t="s">
        <v>1336</v>
      </c>
      <c r="I331" s="106">
        <v>1</v>
      </c>
      <c r="J331" s="108"/>
      <c r="K331" s="107">
        <f>INGREDIENTS!F26</f>
        <v>0.28999999999999998</v>
      </c>
      <c r="L331" s="107">
        <f t="shared" si="39"/>
        <v>0.28999999999999998</v>
      </c>
    </row>
    <row r="332" spans="2:12" x14ac:dyDescent="0.15">
      <c r="B332" s="108" t="s">
        <v>1337</v>
      </c>
      <c r="C332" s="106">
        <v>1</v>
      </c>
      <c r="D332" s="106"/>
      <c r="E332" s="107">
        <f>INGREDIENTS!F22</f>
        <v>0.115</v>
      </c>
      <c r="F332" s="107">
        <f t="shared" si="38"/>
        <v>0.115</v>
      </c>
      <c r="G332" s="187"/>
      <c r="H332" s="108" t="s">
        <v>1336</v>
      </c>
      <c r="I332" s="106">
        <v>1</v>
      </c>
      <c r="J332" s="106"/>
      <c r="K332" s="107">
        <f>INGREDIENTS!F27</f>
        <v>0.15</v>
      </c>
      <c r="L332" s="107">
        <f t="shared" si="39"/>
        <v>0.15</v>
      </c>
    </row>
    <row r="333" spans="2:12" x14ac:dyDescent="0.15">
      <c r="B333" s="108" t="s">
        <v>1171</v>
      </c>
      <c r="C333" s="106">
        <v>1</v>
      </c>
      <c r="D333" s="106"/>
      <c r="E333" s="107">
        <f>INGREDIENTS!F28</f>
        <v>5.8000000000000003E-2</v>
      </c>
      <c r="F333" s="107">
        <f t="shared" si="38"/>
        <v>5.8000000000000003E-2</v>
      </c>
      <c r="G333" s="187"/>
      <c r="H333" s="108" t="s">
        <v>1171</v>
      </c>
      <c r="I333" s="106">
        <v>1</v>
      </c>
      <c r="J333" s="106"/>
      <c r="K333" s="107">
        <f>INGREDIENTS!F28</f>
        <v>5.8000000000000003E-2</v>
      </c>
      <c r="L333" s="107">
        <f t="shared" si="39"/>
        <v>5.8000000000000003E-2</v>
      </c>
    </row>
    <row r="334" spans="2:12" x14ac:dyDescent="0.15">
      <c r="B334" s="108"/>
      <c r="C334" s="106"/>
      <c r="D334" s="106"/>
      <c r="E334" s="107"/>
      <c r="F334" s="107"/>
      <c r="G334" s="187"/>
      <c r="H334" s="108"/>
      <c r="I334" s="106"/>
      <c r="J334" s="106"/>
      <c r="K334" s="107"/>
      <c r="L334" s="107"/>
    </row>
    <row r="335" spans="2:12" x14ac:dyDescent="0.15">
      <c r="B335" s="106"/>
      <c r="C335" s="106"/>
      <c r="D335" s="106"/>
      <c r="E335" s="107"/>
      <c r="F335" s="107"/>
      <c r="G335" s="187"/>
      <c r="H335" s="106"/>
      <c r="I335" s="106"/>
      <c r="J335" s="106"/>
      <c r="K335" s="107"/>
      <c r="L335" s="107"/>
    </row>
    <row r="336" spans="2:12" x14ac:dyDescent="0.15">
      <c r="B336" s="106"/>
      <c r="C336" s="106"/>
      <c r="D336" s="106"/>
      <c r="E336" s="107"/>
      <c r="F336" s="107"/>
      <c r="G336" s="187"/>
      <c r="H336" s="106"/>
      <c r="I336" s="106"/>
      <c r="J336" s="106"/>
      <c r="K336" s="107"/>
      <c r="L336" s="107"/>
    </row>
    <row r="337" spans="2:12" x14ac:dyDescent="0.15">
      <c r="B337" s="106"/>
      <c r="C337" s="106"/>
      <c r="D337" s="106"/>
      <c r="E337" s="107"/>
      <c r="F337" s="107"/>
      <c r="G337" s="187"/>
      <c r="H337" s="106"/>
      <c r="I337" s="106"/>
      <c r="J337" s="106"/>
      <c r="K337" s="107"/>
      <c r="L337" s="107"/>
    </row>
    <row r="338" spans="2:12" ht="18" x14ac:dyDescent="0.2">
      <c r="F338" s="110">
        <f>SUM(F329:F337)</f>
        <v>4.8289000000000009</v>
      </c>
      <c r="G338" s="187"/>
      <c r="L338" s="110">
        <f>SUM(L329:L337)</f>
        <v>5.4664999999999999</v>
      </c>
    </row>
    <row r="339" spans="2:12" x14ac:dyDescent="0.15">
      <c r="B339" t="s">
        <v>1132</v>
      </c>
      <c r="C339" s="58">
        <v>15</v>
      </c>
      <c r="G339" s="187"/>
      <c r="H339" t="s">
        <v>1132</v>
      </c>
      <c r="I339" s="58">
        <v>17</v>
      </c>
    </row>
    <row r="340" spans="2:12" ht="18" x14ac:dyDescent="0.2">
      <c r="B340" t="s">
        <v>1125</v>
      </c>
      <c r="C340" s="58">
        <f>F338+5%</f>
        <v>4.8789000000000007</v>
      </c>
      <c r="D340" s="111">
        <f>C340/C339</f>
        <v>0.32526000000000005</v>
      </c>
      <c r="G340" s="187"/>
      <c r="H340" t="s">
        <v>1125</v>
      </c>
      <c r="I340" s="58">
        <f>L338+5%</f>
        <v>5.5164999999999997</v>
      </c>
      <c r="J340" s="111">
        <f>I340/I339</f>
        <v>0.32450000000000001</v>
      </c>
    </row>
    <row r="341" spans="2:12" x14ac:dyDescent="0.15">
      <c r="B341" t="s">
        <v>1133</v>
      </c>
      <c r="C341" s="58">
        <f>C339-C340</f>
        <v>10.121099999999998</v>
      </c>
      <c r="D341" s="112"/>
      <c r="G341" s="187"/>
      <c r="H341" t="s">
        <v>1133</v>
      </c>
      <c r="I341" s="58">
        <f>I339-I340</f>
        <v>11.483499999999999</v>
      </c>
      <c r="J341" s="112"/>
    </row>
    <row r="342" spans="2:12" x14ac:dyDescent="0.15">
      <c r="G342" s="187"/>
    </row>
    <row r="343" spans="2:12" x14ac:dyDescent="0.15">
      <c r="G343" s="187"/>
    </row>
    <row r="344" spans="2:12" x14ac:dyDescent="0.15">
      <c r="B344" s="190"/>
      <c r="C344" s="190"/>
      <c r="D344" s="190"/>
      <c r="E344" s="190"/>
      <c r="F344" s="190"/>
      <c r="G344" s="187"/>
      <c r="H344" s="190"/>
      <c r="I344" s="190"/>
      <c r="J344" s="190"/>
      <c r="K344" s="190"/>
      <c r="L344" s="190"/>
    </row>
    <row r="345" spans="2:12" x14ac:dyDescent="0.15">
      <c r="B345" s="190"/>
      <c r="C345" s="190"/>
      <c r="D345" s="190"/>
      <c r="E345" s="190"/>
      <c r="F345" s="190"/>
      <c r="G345" s="187"/>
      <c r="H345" s="190"/>
      <c r="I345" s="190"/>
      <c r="J345" s="190"/>
      <c r="K345" s="190"/>
      <c r="L345" s="190"/>
    </row>
    <row r="346" spans="2:12" ht="16" customHeight="1" x14ac:dyDescent="0.15">
      <c r="B346" s="167" t="s">
        <v>1370</v>
      </c>
      <c r="C346" s="167"/>
      <c r="D346" s="167"/>
      <c r="E346" s="167"/>
      <c r="F346" s="167"/>
      <c r="G346" s="187"/>
      <c r="H346" s="167" t="s">
        <v>1370</v>
      </c>
      <c r="I346" s="167"/>
      <c r="J346" s="167"/>
      <c r="K346" s="167"/>
      <c r="L346" s="167"/>
    </row>
    <row r="347" spans="2:12" ht="13" customHeight="1" x14ac:dyDescent="0.15">
      <c r="B347" s="167"/>
      <c r="C347" s="167"/>
      <c r="D347" s="167"/>
      <c r="E347" s="167"/>
      <c r="F347" s="167"/>
      <c r="G347" s="187"/>
      <c r="H347" s="167"/>
      <c r="I347" s="167"/>
      <c r="J347" s="167"/>
      <c r="K347" s="167"/>
      <c r="L347" s="167"/>
    </row>
    <row r="348" spans="2:12" ht="16" x14ac:dyDescent="0.2">
      <c r="B348" s="119" t="s">
        <v>1122</v>
      </c>
      <c r="C348" s="119" t="s">
        <v>1123</v>
      </c>
      <c r="D348" s="119" t="s">
        <v>1124</v>
      </c>
      <c r="E348" s="119" t="s">
        <v>1125</v>
      </c>
      <c r="F348" s="119" t="s">
        <v>1126</v>
      </c>
      <c r="G348" s="187"/>
      <c r="H348" s="119" t="s">
        <v>1122</v>
      </c>
      <c r="I348" s="119" t="s">
        <v>1123</v>
      </c>
      <c r="J348" s="119" t="s">
        <v>1124</v>
      </c>
      <c r="K348" s="119" t="s">
        <v>1125</v>
      </c>
      <c r="L348" s="119" t="s">
        <v>1126</v>
      </c>
    </row>
    <row r="349" spans="2:12" x14ac:dyDescent="0.15">
      <c r="B349" s="106" t="s">
        <v>1163</v>
      </c>
      <c r="C349" s="106">
        <f>16+(18*0.025)</f>
        <v>16.45</v>
      </c>
      <c r="D349" s="106" t="s">
        <v>1129</v>
      </c>
      <c r="E349" s="107">
        <f>INGREDIENTS!F11</f>
        <v>7.0000000000000007E-2</v>
      </c>
      <c r="F349" s="107">
        <f>E349*C349</f>
        <v>1.1515</v>
      </c>
      <c r="G349" s="187"/>
      <c r="H349" s="106" t="s">
        <v>1163</v>
      </c>
      <c r="I349" s="106">
        <f>16+(18*0.025)</f>
        <v>16.45</v>
      </c>
      <c r="J349" s="106" t="s">
        <v>1129</v>
      </c>
      <c r="K349" s="107">
        <f>INGREDIENTS!F11</f>
        <v>7.0000000000000007E-2</v>
      </c>
      <c r="L349" s="107">
        <f>K349*I349</f>
        <v>1.1515</v>
      </c>
    </row>
    <row r="350" spans="2:12" x14ac:dyDescent="0.15">
      <c r="B350" s="108" t="s">
        <v>1360</v>
      </c>
      <c r="C350" s="106">
        <v>1</v>
      </c>
      <c r="D350" s="106" t="s">
        <v>1036</v>
      </c>
      <c r="E350" s="107">
        <f>INGREDIENTS!F21</f>
        <v>0.27</v>
      </c>
      <c r="F350" s="107">
        <f t="shared" ref="F350:F351" si="40">E350*C350</f>
        <v>0.27</v>
      </c>
      <c r="G350" s="187"/>
      <c r="H350" s="108" t="s">
        <v>1361</v>
      </c>
      <c r="I350" s="106">
        <v>1</v>
      </c>
      <c r="J350" s="106" t="s">
        <v>1036</v>
      </c>
      <c r="K350" s="107">
        <f>INGREDIENTS!F26</f>
        <v>0.28999999999999998</v>
      </c>
      <c r="L350" s="107">
        <f t="shared" ref="L350:L351" si="41">K350*I350</f>
        <v>0.28999999999999998</v>
      </c>
    </row>
    <row r="351" spans="2:12" x14ac:dyDescent="0.15">
      <c r="B351" s="108" t="s">
        <v>1374</v>
      </c>
      <c r="C351" s="106">
        <v>1</v>
      </c>
      <c r="D351" s="106" t="s">
        <v>1103</v>
      </c>
      <c r="E351" s="107">
        <f>INGREDIENTS!F22</f>
        <v>0.115</v>
      </c>
      <c r="F351" s="107">
        <f t="shared" si="40"/>
        <v>0.115</v>
      </c>
      <c r="G351" s="187"/>
      <c r="H351" s="108" t="s">
        <v>1359</v>
      </c>
      <c r="I351" s="106">
        <v>1</v>
      </c>
      <c r="J351" s="106" t="s">
        <v>1103</v>
      </c>
      <c r="K351" s="107">
        <f>INGREDIENTS!F27</f>
        <v>0.15</v>
      </c>
      <c r="L351" s="107">
        <f t="shared" si="41"/>
        <v>0.15</v>
      </c>
    </row>
    <row r="352" spans="2:12" x14ac:dyDescent="0.15">
      <c r="B352" s="108"/>
      <c r="C352" s="106"/>
      <c r="D352" s="106"/>
      <c r="E352" s="107"/>
      <c r="F352" s="107"/>
      <c r="G352" s="187"/>
      <c r="H352" s="108"/>
      <c r="I352" s="106"/>
      <c r="J352" s="106"/>
      <c r="K352" s="107"/>
      <c r="L352" s="107"/>
    </row>
    <row r="353" spans="2:12" x14ac:dyDescent="0.15">
      <c r="B353" s="106"/>
      <c r="C353" s="106"/>
      <c r="D353" s="106"/>
      <c r="E353" s="107"/>
      <c r="F353" s="107"/>
      <c r="G353" s="187"/>
      <c r="H353" s="106"/>
      <c r="I353" s="106"/>
      <c r="J353" s="106"/>
      <c r="K353" s="107"/>
      <c r="L353" s="107"/>
    </row>
    <row r="354" spans="2:12" ht="18" x14ac:dyDescent="0.2">
      <c r="F354" s="110">
        <f>SUM(F349:F353)</f>
        <v>1.5365</v>
      </c>
      <c r="G354" s="187"/>
      <c r="L354" s="110">
        <f>SUM(L349:L353)</f>
        <v>1.5914999999999999</v>
      </c>
    </row>
    <row r="355" spans="2:12" x14ac:dyDescent="0.15">
      <c r="B355" t="s">
        <v>1132</v>
      </c>
      <c r="C355" s="58">
        <v>8.5</v>
      </c>
      <c r="G355" s="187"/>
      <c r="H355" t="s">
        <v>1132</v>
      </c>
      <c r="I355" s="58">
        <v>11</v>
      </c>
    </row>
    <row r="356" spans="2:12" ht="18" x14ac:dyDescent="0.2">
      <c r="B356" t="s">
        <v>1125</v>
      </c>
      <c r="C356" s="58">
        <f>F354+5%</f>
        <v>1.5865</v>
      </c>
      <c r="D356" s="111">
        <f>C356/C355</f>
        <v>0.18664705882352942</v>
      </c>
      <c r="G356" s="187"/>
      <c r="H356" t="s">
        <v>1125</v>
      </c>
      <c r="I356" s="58">
        <f>L354+5%</f>
        <v>1.6415</v>
      </c>
      <c r="J356" s="111">
        <f>I356/I355</f>
        <v>0.14922727272727274</v>
      </c>
    </row>
    <row r="357" spans="2:12" x14ac:dyDescent="0.15">
      <c r="B357" t="s">
        <v>1133</v>
      </c>
      <c r="C357" s="58">
        <f>C355-C356</f>
        <v>6.9135</v>
      </c>
      <c r="D357" s="112"/>
      <c r="G357" s="187"/>
      <c r="H357" t="s">
        <v>1133</v>
      </c>
      <c r="I357" s="58">
        <f>I355-I356</f>
        <v>9.3584999999999994</v>
      </c>
      <c r="J357" s="112"/>
    </row>
    <row r="358" spans="2:12" x14ac:dyDescent="0.15">
      <c r="B358" s="190"/>
      <c r="C358" s="190"/>
      <c r="D358" s="190"/>
      <c r="E358" s="190"/>
      <c r="F358" s="190"/>
      <c r="G358" s="187"/>
      <c r="H358" s="190"/>
      <c r="I358" s="190"/>
      <c r="J358" s="190"/>
      <c r="K358" s="190"/>
      <c r="L358" s="190"/>
    </row>
    <row r="359" spans="2:12" x14ac:dyDescent="0.15">
      <c r="B359" s="190"/>
      <c r="C359" s="190"/>
      <c r="D359" s="190"/>
      <c r="E359" s="190"/>
      <c r="F359" s="190"/>
      <c r="G359" s="187"/>
      <c r="H359" s="190"/>
      <c r="I359" s="190"/>
      <c r="J359" s="190"/>
      <c r="K359" s="190"/>
      <c r="L359" s="190"/>
    </row>
    <row r="360" spans="2:12" x14ac:dyDescent="0.15">
      <c r="B360" s="167" t="s">
        <v>1375</v>
      </c>
      <c r="C360" s="167"/>
      <c r="D360" s="167"/>
      <c r="E360" s="167"/>
      <c r="F360" s="167"/>
      <c r="G360" s="187"/>
      <c r="H360" s="167" t="s">
        <v>1375</v>
      </c>
      <c r="I360" s="167"/>
      <c r="J360" s="167"/>
      <c r="K360" s="167"/>
      <c r="L360" s="167"/>
    </row>
    <row r="361" spans="2:12" x14ac:dyDescent="0.15">
      <c r="B361" s="167"/>
      <c r="C361" s="167"/>
      <c r="D361" s="167"/>
      <c r="E361" s="167"/>
      <c r="F361" s="167"/>
      <c r="G361" s="187"/>
      <c r="H361" s="167"/>
      <c r="I361" s="167"/>
      <c r="J361" s="167"/>
      <c r="K361" s="167"/>
      <c r="L361" s="167"/>
    </row>
    <row r="362" spans="2:12" ht="16" x14ac:dyDescent="0.2">
      <c r="B362" s="119" t="s">
        <v>1122</v>
      </c>
      <c r="C362" s="119" t="s">
        <v>1123</v>
      </c>
      <c r="D362" s="119" t="s">
        <v>1124</v>
      </c>
      <c r="E362" s="119" t="s">
        <v>1125</v>
      </c>
      <c r="F362" s="119" t="s">
        <v>1126</v>
      </c>
      <c r="G362" s="187"/>
      <c r="H362" s="119" t="s">
        <v>1122</v>
      </c>
      <c r="I362" s="119" t="s">
        <v>1123</v>
      </c>
      <c r="J362" s="119" t="s">
        <v>1124</v>
      </c>
      <c r="K362" s="119" t="s">
        <v>1125</v>
      </c>
      <c r="L362" s="119" t="s">
        <v>1126</v>
      </c>
    </row>
    <row r="363" spans="2:12" x14ac:dyDescent="0.15">
      <c r="B363" s="106" t="s">
        <v>1163</v>
      </c>
      <c r="C363" s="106">
        <v>250</v>
      </c>
      <c r="D363" s="108" t="s">
        <v>1176</v>
      </c>
      <c r="E363" s="107">
        <f>'KITCHEN Prep Cards'!C24</f>
        <v>4.6000000000000008E-3</v>
      </c>
      <c r="F363" s="107">
        <f>E363*C363</f>
        <v>1.1500000000000001</v>
      </c>
      <c r="G363" s="187"/>
      <c r="H363" s="106" t="s">
        <v>1163</v>
      </c>
      <c r="I363" s="106">
        <v>270</v>
      </c>
      <c r="J363" s="108" t="s">
        <v>1176</v>
      </c>
      <c r="K363" s="107">
        <f>'KITCHEN Prep Cards'!C24</f>
        <v>4.6000000000000008E-3</v>
      </c>
      <c r="L363" s="107">
        <f>K363*I363</f>
        <v>1.2420000000000002</v>
      </c>
    </row>
    <row r="364" spans="2:12" x14ac:dyDescent="0.15">
      <c r="B364" s="108" t="s">
        <v>1360</v>
      </c>
      <c r="C364" s="106">
        <v>1</v>
      </c>
      <c r="D364" s="106" t="s">
        <v>1036</v>
      </c>
      <c r="E364" s="107">
        <f>INGREDIENTS!F22</f>
        <v>0.115</v>
      </c>
      <c r="F364" s="107">
        <f t="shared" ref="F364:F365" si="42">E364*C364</f>
        <v>0.115</v>
      </c>
      <c r="G364" s="187"/>
      <c r="H364" s="108" t="s">
        <v>1361</v>
      </c>
      <c r="I364" s="106">
        <v>1</v>
      </c>
      <c r="J364" s="106" t="s">
        <v>1036</v>
      </c>
      <c r="K364" s="107">
        <f>INGREDIENTS!F26</f>
        <v>0.28999999999999998</v>
      </c>
      <c r="L364" s="107">
        <f t="shared" ref="L364:L365" si="43">K364*I364</f>
        <v>0.28999999999999998</v>
      </c>
    </row>
    <row r="365" spans="2:12" x14ac:dyDescent="0.15">
      <c r="B365" s="108" t="s">
        <v>1374</v>
      </c>
      <c r="C365" s="106">
        <v>1</v>
      </c>
      <c r="D365" s="106" t="s">
        <v>1103</v>
      </c>
      <c r="E365" s="107">
        <f>INGREDIENTS!F22</f>
        <v>0.115</v>
      </c>
      <c r="F365" s="107">
        <f t="shared" si="42"/>
        <v>0.115</v>
      </c>
      <c r="G365" s="187"/>
      <c r="H365" s="108" t="s">
        <v>1377</v>
      </c>
      <c r="I365" s="106">
        <v>1</v>
      </c>
      <c r="J365" s="106" t="s">
        <v>1103</v>
      </c>
      <c r="K365" s="107">
        <f>INGREDIENTS!F27</f>
        <v>0.15</v>
      </c>
      <c r="L365" s="107">
        <f t="shared" si="43"/>
        <v>0.15</v>
      </c>
    </row>
    <row r="366" spans="2:12" x14ac:dyDescent="0.15">
      <c r="B366" s="108" t="s">
        <v>1171</v>
      </c>
      <c r="C366" s="106">
        <v>1</v>
      </c>
      <c r="D366" s="108" t="s">
        <v>1376</v>
      </c>
      <c r="E366" s="107">
        <f>INGREDIENTS!F28</f>
        <v>5.8000000000000003E-2</v>
      </c>
      <c r="F366" s="107">
        <f>E366*C366</f>
        <v>5.8000000000000003E-2</v>
      </c>
      <c r="G366" s="187"/>
      <c r="H366" s="108" t="s">
        <v>1171</v>
      </c>
      <c r="I366" s="106">
        <v>1</v>
      </c>
      <c r="J366" s="108" t="s">
        <v>1376</v>
      </c>
      <c r="K366" s="107">
        <f>INGREDIENTS!F28</f>
        <v>5.8000000000000003E-2</v>
      </c>
      <c r="L366" s="107">
        <f>K366*I366</f>
        <v>5.8000000000000003E-2</v>
      </c>
    </row>
    <row r="367" spans="2:12" x14ac:dyDescent="0.15">
      <c r="B367" s="106"/>
      <c r="C367" s="106"/>
      <c r="D367" s="106"/>
      <c r="E367" s="107"/>
      <c r="F367" s="107"/>
      <c r="G367" s="187"/>
      <c r="H367" s="106"/>
      <c r="I367" s="106"/>
      <c r="J367" s="106"/>
      <c r="K367" s="107"/>
      <c r="L367" s="107"/>
    </row>
    <row r="368" spans="2:12" ht="18" x14ac:dyDescent="0.2">
      <c r="F368" s="110">
        <f>SUM(F363:F367)</f>
        <v>1.4380000000000002</v>
      </c>
      <c r="G368" s="187"/>
      <c r="L368" s="110">
        <f>SUM(L363:L367)</f>
        <v>1.7400000000000002</v>
      </c>
    </row>
    <row r="369" spans="2:14" x14ac:dyDescent="0.15">
      <c r="B369" t="s">
        <v>1132</v>
      </c>
      <c r="C369" s="58">
        <v>8.5</v>
      </c>
      <c r="G369" s="187"/>
      <c r="H369" t="s">
        <v>1132</v>
      </c>
      <c r="I369" s="58">
        <v>11</v>
      </c>
    </row>
    <row r="370" spans="2:14" ht="18" x14ac:dyDescent="0.2">
      <c r="B370" t="s">
        <v>1125</v>
      </c>
      <c r="C370" s="58">
        <f>F368+5%</f>
        <v>1.4880000000000002</v>
      </c>
      <c r="D370" s="111">
        <f>C370/C369</f>
        <v>0.17505882352941179</v>
      </c>
      <c r="G370" s="187"/>
      <c r="H370" t="s">
        <v>1125</v>
      </c>
      <c r="I370" s="58">
        <f>L368+5%</f>
        <v>1.7900000000000003</v>
      </c>
      <c r="J370" s="111">
        <f>I370/I369</f>
        <v>0.16272727272727275</v>
      </c>
    </row>
    <row r="371" spans="2:14" x14ac:dyDescent="0.15">
      <c r="B371" t="s">
        <v>1133</v>
      </c>
      <c r="C371" s="58">
        <f>C369-C370</f>
        <v>7.0119999999999996</v>
      </c>
      <c r="D371" s="112"/>
      <c r="G371" s="187"/>
      <c r="H371" t="s">
        <v>1133</v>
      </c>
      <c r="I371" s="58">
        <f>I369-I370</f>
        <v>9.2099999999999991</v>
      </c>
      <c r="J371" s="112"/>
    </row>
    <row r="372" spans="2:14" x14ac:dyDescent="0.15">
      <c r="B372" s="190"/>
      <c r="C372" s="190"/>
      <c r="D372" s="190"/>
      <c r="E372" s="190"/>
      <c r="F372" s="190"/>
      <c r="G372" s="187"/>
      <c r="H372" s="190"/>
      <c r="I372" s="190"/>
      <c r="J372" s="190"/>
      <c r="K372" s="190"/>
      <c r="L372" s="190"/>
    </row>
    <row r="373" spans="2:14" x14ac:dyDescent="0.15">
      <c r="B373" s="190"/>
      <c r="C373" s="190"/>
      <c r="D373" s="190"/>
      <c r="E373" s="190"/>
      <c r="F373" s="190"/>
      <c r="G373" s="187"/>
      <c r="H373" s="190"/>
      <c r="I373" s="190"/>
      <c r="J373" s="190"/>
      <c r="K373" s="190"/>
      <c r="L373" s="190"/>
    </row>
    <row r="374" spans="2:14" x14ac:dyDescent="0.15">
      <c r="B374" s="167" t="s">
        <v>1379</v>
      </c>
      <c r="C374" s="167"/>
      <c r="D374" s="167"/>
      <c r="E374" s="167"/>
      <c r="F374" s="167"/>
      <c r="G374" s="187"/>
      <c r="H374" s="167" t="s">
        <v>1379</v>
      </c>
      <c r="I374" s="167"/>
      <c r="J374" s="167"/>
      <c r="K374" s="167"/>
      <c r="L374" s="167"/>
    </row>
    <row r="375" spans="2:14" x14ac:dyDescent="0.15">
      <c r="B375" s="167"/>
      <c r="C375" s="167"/>
      <c r="D375" s="167"/>
      <c r="E375" s="167"/>
      <c r="F375" s="167"/>
      <c r="G375" s="187"/>
      <c r="H375" s="167"/>
      <c r="I375" s="167"/>
      <c r="J375" s="167"/>
      <c r="K375" s="167"/>
      <c r="L375" s="167"/>
    </row>
    <row r="376" spans="2:14" ht="16" x14ac:dyDescent="0.2">
      <c r="B376" s="119" t="s">
        <v>1122</v>
      </c>
      <c r="C376" s="119" t="s">
        <v>1123</v>
      </c>
      <c r="D376" s="119" t="s">
        <v>1124</v>
      </c>
      <c r="E376" s="119" t="s">
        <v>1125</v>
      </c>
      <c r="F376" s="119" t="s">
        <v>1126</v>
      </c>
      <c r="G376" s="187"/>
      <c r="H376" s="119" t="s">
        <v>1122</v>
      </c>
      <c r="I376" s="119" t="s">
        <v>1123</v>
      </c>
      <c r="J376" s="119" t="s">
        <v>1124</v>
      </c>
      <c r="K376" s="119" t="s">
        <v>1125</v>
      </c>
      <c r="L376" s="119" t="s">
        <v>1126</v>
      </c>
    </row>
    <row r="377" spans="2:14" x14ac:dyDescent="0.15">
      <c r="B377" s="108" t="s">
        <v>1380</v>
      </c>
      <c r="C377" s="106">
        <v>30</v>
      </c>
      <c r="D377" s="108" t="s">
        <v>1176</v>
      </c>
      <c r="E377" s="107">
        <f>INGREDIENTS!F72</f>
        <v>0.06</v>
      </c>
      <c r="F377" s="107">
        <f>E377*C377</f>
        <v>1.7999999999999998</v>
      </c>
      <c r="G377" s="187"/>
      <c r="H377" s="108" t="s">
        <v>1380</v>
      </c>
      <c r="I377" s="106">
        <v>30</v>
      </c>
      <c r="J377" s="108" t="s">
        <v>1176</v>
      </c>
      <c r="K377" s="107">
        <f>INGREDIENTS!F72</f>
        <v>0.06</v>
      </c>
      <c r="L377" s="107">
        <f>K377*I377</f>
        <v>1.7999999999999998</v>
      </c>
    </row>
    <row r="378" spans="2:14" x14ac:dyDescent="0.15">
      <c r="B378" s="108" t="s">
        <v>1381</v>
      </c>
      <c r="C378" s="106">
        <f>8+(18*0.025)</f>
        <v>8.4499999999999993</v>
      </c>
      <c r="D378" s="108" t="s">
        <v>1129</v>
      </c>
      <c r="E378" s="107">
        <f>INGREDIENTS!F11</f>
        <v>7.0000000000000007E-2</v>
      </c>
      <c r="F378" s="107">
        <f t="shared" ref="F378:F380" si="44">E378*C378</f>
        <v>0.59150000000000003</v>
      </c>
      <c r="G378" s="187"/>
      <c r="H378" s="108" t="s">
        <v>1381</v>
      </c>
      <c r="I378" s="106">
        <f>8+(18*0.025)</f>
        <v>8.4499999999999993</v>
      </c>
      <c r="J378" s="108" t="s">
        <v>1129</v>
      </c>
      <c r="K378" s="107">
        <f>INGREDIENTS!F11</f>
        <v>7.0000000000000007E-2</v>
      </c>
      <c r="L378" s="107">
        <f t="shared" ref="L378:L381" si="45">K378*I378</f>
        <v>0.59150000000000003</v>
      </c>
      <c r="N378" s="58"/>
    </row>
    <row r="379" spans="2:14" x14ac:dyDescent="0.15">
      <c r="B379" s="108" t="s">
        <v>1382</v>
      </c>
      <c r="C379" s="106">
        <v>205</v>
      </c>
      <c r="D379" s="108" t="s">
        <v>1001</v>
      </c>
      <c r="E379" s="107">
        <f>INGREDIENTS!F38</f>
        <v>1.426E-2</v>
      </c>
      <c r="F379" s="107">
        <f t="shared" si="44"/>
        <v>2.9233000000000002</v>
      </c>
      <c r="G379" s="187"/>
      <c r="H379" s="108" t="s">
        <v>1382</v>
      </c>
      <c r="I379" s="106">
        <v>225</v>
      </c>
      <c r="J379" s="108" t="s">
        <v>1001</v>
      </c>
      <c r="K379" s="107">
        <f>INGREDIENTS!F38</f>
        <v>1.426E-2</v>
      </c>
      <c r="L379" s="107">
        <f t="shared" si="45"/>
        <v>3.2084999999999999</v>
      </c>
    </row>
    <row r="380" spans="2:14" x14ac:dyDescent="0.15">
      <c r="B380" s="108" t="s">
        <v>1360</v>
      </c>
      <c r="C380" s="106">
        <v>1</v>
      </c>
      <c r="D380" s="106" t="s">
        <v>1036</v>
      </c>
      <c r="E380" s="107">
        <f>INGREDIENTS!F22</f>
        <v>0.115</v>
      </c>
      <c r="F380" s="107">
        <f t="shared" si="44"/>
        <v>0.115</v>
      </c>
      <c r="G380" s="187"/>
      <c r="H380" s="108" t="s">
        <v>1361</v>
      </c>
      <c r="I380" s="106">
        <v>1</v>
      </c>
      <c r="J380" s="106" t="s">
        <v>1036</v>
      </c>
      <c r="K380" s="107">
        <f>INGREDIENTS!F26</f>
        <v>0.28999999999999998</v>
      </c>
      <c r="L380" s="107">
        <f t="shared" si="45"/>
        <v>0.28999999999999998</v>
      </c>
    </row>
    <row r="381" spans="2:14" x14ac:dyDescent="0.15">
      <c r="B381" s="108" t="s">
        <v>1374</v>
      </c>
      <c r="C381" s="106">
        <v>1</v>
      </c>
      <c r="D381" s="106" t="s">
        <v>1103</v>
      </c>
      <c r="E381" s="107">
        <f>INGREDIENTS!F22</f>
        <v>0.115</v>
      </c>
      <c r="F381" s="107">
        <f t="shared" ref="F381" si="46">E381*C381</f>
        <v>0.115</v>
      </c>
      <c r="G381" s="187"/>
      <c r="H381" s="108" t="s">
        <v>1377</v>
      </c>
      <c r="I381" s="106">
        <v>1</v>
      </c>
      <c r="J381" s="106" t="s">
        <v>1103</v>
      </c>
      <c r="K381" s="107">
        <f>INGREDIENTS!F27</f>
        <v>0.15</v>
      </c>
      <c r="L381" s="107">
        <f t="shared" si="45"/>
        <v>0.15</v>
      </c>
    </row>
    <row r="382" spans="2:14" x14ac:dyDescent="0.15">
      <c r="B382" s="108" t="s">
        <v>1171</v>
      </c>
      <c r="C382" s="106">
        <v>1</v>
      </c>
      <c r="D382" s="108" t="s">
        <v>1376</v>
      </c>
      <c r="E382" s="107">
        <f>INGREDIENTS!F28</f>
        <v>5.8000000000000003E-2</v>
      </c>
      <c r="F382" s="107">
        <f>E382*C382</f>
        <v>5.8000000000000003E-2</v>
      </c>
      <c r="G382" s="187"/>
      <c r="H382" s="108" t="s">
        <v>1171</v>
      </c>
      <c r="I382" s="106">
        <v>1</v>
      </c>
      <c r="J382" s="108" t="s">
        <v>1376</v>
      </c>
      <c r="K382" s="107">
        <f>INGREDIENTS!F28</f>
        <v>5.8000000000000003E-2</v>
      </c>
      <c r="L382" s="107">
        <f>K382*I382</f>
        <v>5.8000000000000003E-2</v>
      </c>
    </row>
    <row r="383" spans="2:14" x14ac:dyDescent="0.15">
      <c r="B383" s="106"/>
      <c r="C383" s="106"/>
      <c r="D383" s="106"/>
      <c r="E383" s="107"/>
      <c r="F383" s="107"/>
      <c r="G383" s="187"/>
      <c r="H383" s="106"/>
      <c r="I383" s="106"/>
      <c r="J383" s="106"/>
      <c r="K383" s="107"/>
      <c r="L383" s="107"/>
    </row>
    <row r="384" spans="2:14" ht="18" x14ac:dyDescent="0.2">
      <c r="F384" s="110">
        <f>SUM(F377:F383)</f>
        <v>5.6028000000000002</v>
      </c>
      <c r="G384" s="187"/>
      <c r="L384" s="110">
        <f>SUM(L377:L383)</f>
        <v>6.0979999999999999</v>
      </c>
    </row>
    <row r="385" spans="2:12" x14ac:dyDescent="0.15">
      <c r="B385" t="s">
        <v>1132</v>
      </c>
      <c r="C385" s="58">
        <v>12</v>
      </c>
      <c r="G385" s="187"/>
      <c r="H385" t="s">
        <v>1132</v>
      </c>
      <c r="I385" s="58">
        <v>16</v>
      </c>
    </row>
    <row r="386" spans="2:12" ht="18" x14ac:dyDescent="0.2">
      <c r="B386" t="s">
        <v>1125</v>
      </c>
      <c r="C386" s="58">
        <f>F384+5%</f>
        <v>5.6528</v>
      </c>
      <c r="D386" s="111">
        <f>C386/C385</f>
        <v>0.47106666666666669</v>
      </c>
      <c r="G386" s="187"/>
      <c r="H386" t="s">
        <v>1125</v>
      </c>
      <c r="I386" s="58">
        <f>L384+5%</f>
        <v>6.1479999999999997</v>
      </c>
      <c r="J386" s="111">
        <f>I386/I385</f>
        <v>0.38424999999999998</v>
      </c>
    </row>
    <row r="387" spans="2:12" x14ac:dyDescent="0.15">
      <c r="B387" t="s">
        <v>1133</v>
      </c>
      <c r="C387" s="58">
        <f>C385-C386</f>
        <v>6.3472</v>
      </c>
      <c r="D387" s="112"/>
      <c r="G387" s="187"/>
      <c r="H387" t="s">
        <v>1133</v>
      </c>
      <c r="I387" s="58">
        <f>I385-I386</f>
        <v>9.8520000000000003</v>
      </c>
      <c r="J387" s="112"/>
    </row>
    <row r="388" spans="2:12" x14ac:dyDescent="0.15">
      <c r="B388" s="190"/>
      <c r="C388" s="190"/>
      <c r="D388" s="190"/>
      <c r="E388" s="190"/>
      <c r="F388" s="190"/>
      <c r="G388" s="187"/>
      <c r="H388" s="190"/>
      <c r="I388" s="190"/>
      <c r="J388" s="190"/>
      <c r="K388" s="190"/>
      <c r="L388" s="190"/>
    </row>
    <row r="389" spans="2:12" x14ac:dyDescent="0.15">
      <c r="B389" s="190"/>
      <c r="C389" s="190"/>
      <c r="D389" s="190"/>
      <c r="E389" s="190"/>
      <c r="F389" s="190"/>
      <c r="G389" s="187"/>
      <c r="H389" s="190"/>
      <c r="I389" s="190"/>
      <c r="J389" s="190"/>
      <c r="K389" s="190"/>
      <c r="L389" s="190"/>
    </row>
    <row r="390" spans="2:12" x14ac:dyDescent="0.15">
      <c r="B390" s="167" t="s">
        <v>1383</v>
      </c>
      <c r="C390" s="167"/>
      <c r="D390" s="167"/>
      <c r="E390" s="167"/>
      <c r="F390" s="167"/>
      <c r="G390" s="187"/>
      <c r="H390" s="167" t="s">
        <v>1383</v>
      </c>
      <c r="I390" s="167"/>
      <c r="J390" s="167"/>
      <c r="K390" s="167"/>
      <c r="L390" s="167"/>
    </row>
    <row r="391" spans="2:12" x14ac:dyDescent="0.15">
      <c r="B391" s="167"/>
      <c r="C391" s="167"/>
      <c r="D391" s="167"/>
      <c r="E391" s="167"/>
      <c r="F391" s="167"/>
      <c r="G391" s="187"/>
      <c r="H391" s="167"/>
      <c r="I391" s="167"/>
      <c r="J391" s="167"/>
      <c r="K391" s="167"/>
      <c r="L391" s="167"/>
    </row>
    <row r="392" spans="2:12" ht="16" x14ac:dyDescent="0.2">
      <c r="B392" s="119" t="s">
        <v>1122</v>
      </c>
      <c r="C392" s="119" t="s">
        <v>1123</v>
      </c>
      <c r="D392" s="119" t="s">
        <v>1124</v>
      </c>
      <c r="E392" s="119" t="s">
        <v>1125</v>
      </c>
      <c r="F392" s="119" t="s">
        <v>1126</v>
      </c>
      <c r="G392" s="187"/>
      <c r="H392" s="119" t="s">
        <v>1122</v>
      </c>
      <c r="I392" s="119" t="s">
        <v>1123</v>
      </c>
      <c r="J392" s="119" t="s">
        <v>1124</v>
      </c>
      <c r="K392" s="119" t="s">
        <v>1125</v>
      </c>
      <c r="L392" s="119" t="s">
        <v>1126</v>
      </c>
    </row>
    <row r="393" spans="2:12" x14ac:dyDescent="0.15">
      <c r="B393" s="108" t="s">
        <v>1384</v>
      </c>
      <c r="C393" s="106">
        <f>16+(18*0.025)</f>
        <v>16.45</v>
      </c>
      <c r="D393" s="108" t="s">
        <v>1129</v>
      </c>
      <c r="E393" s="107">
        <f>INGREDIENTS!F11</f>
        <v>7.0000000000000007E-2</v>
      </c>
      <c r="F393" s="107">
        <f>E393*C393</f>
        <v>1.1515</v>
      </c>
      <c r="G393" s="187"/>
      <c r="H393" s="108" t="s">
        <v>1384</v>
      </c>
      <c r="I393" s="106">
        <f>16+(18*0.025)</f>
        <v>16.45</v>
      </c>
      <c r="J393" s="108" t="s">
        <v>1129</v>
      </c>
      <c r="K393" s="107">
        <f>INGREDIENTS!F11</f>
        <v>7.0000000000000007E-2</v>
      </c>
      <c r="L393" s="107">
        <f>K393*I393</f>
        <v>1.1515</v>
      </c>
    </row>
    <row r="394" spans="2:12" x14ac:dyDescent="0.15">
      <c r="B394" s="108" t="s">
        <v>1385</v>
      </c>
      <c r="C394" s="106">
        <v>10</v>
      </c>
      <c r="D394" s="108" t="s">
        <v>1001</v>
      </c>
      <c r="E394" s="107">
        <f>INGREDIENTS!F67</f>
        <v>6.9500000000000006E-2</v>
      </c>
      <c r="F394" s="107">
        <f t="shared" ref="F394:F400" si="47">E394*C394</f>
        <v>0.69500000000000006</v>
      </c>
      <c r="G394" s="187"/>
      <c r="H394" s="108" t="s">
        <v>1385</v>
      </c>
      <c r="I394" s="106">
        <v>10</v>
      </c>
      <c r="J394" s="108" t="s">
        <v>1001</v>
      </c>
      <c r="K394" s="107">
        <f>INGREDIENTS!F67</f>
        <v>6.9500000000000006E-2</v>
      </c>
      <c r="L394" s="107">
        <f t="shared" ref="L394:L400" si="48">K394*I394</f>
        <v>0.69500000000000006</v>
      </c>
    </row>
    <row r="395" spans="2:12" x14ac:dyDescent="0.15">
      <c r="B395" s="108" t="s">
        <v>1178</v>
      </c>
      <c r="C395" s="106">
        <v>10</v>
      </c>
      <c r="D395" s="108" t="s">
        <v>1001</v>
      </c>
      <c r="E395" s="107">
        <f>INGREDIENTS!F108</f>
        <v>9.4999999999999998E-3</v>
      </c>
      <c r="F395" s="107">
        <f t="shared" si="47"/>
        <v>9.5000000000000001E-2</v>
      </c>
      <c r="G395" s="187"/>
      <c r="H395" s="108" t="s">
        <v>1178</v>
      </c>
      <c r="I395" s="106">
        <v>10</v>
      </c>
      <c r="J395" s="108" t="s">
        <v>1001</v>
      </c>
      <c r="K395" s="107">
        <f>INGREDIENTS!F108</f>
        <v>9.4999999999999998E-3</v>
      </c>
      <c r="L395" s="107">
        <f t="shared" si="48"/>
        <v>9.5000000000000001E-2</v>
      </c>
    </row>
    <row r="396" spans="2:12" x14ac:dyDescent="0.15">
      <c r="B396" s="108" t="s">
        <v>1119</v>
      </c>
      <c r="C396" s="106">
        <v>15</v>
      </c>
      <c r="D396" s="108" t="s">
        <v>1001</v>
      </c>
      <c r="E396" s="107">
        <f>INGREDIENTS!F179</f>
        <v>4.7999999999999996E-3</v>
      </c>
      <c r="F396" s="107">
        <f t="shared" si="47"/>
        <v>7.1999999999999995E-2</v>
      </c>
      <c r="G396" s="187"/>
      <c r="H396" s="108" t="s">
        <v>1119</v>
      </c>
      <c r="I396" s="106">
        <v>15</v>
      </c>
      <c r="J396" s="108" t="s">
        <v>1001</v>
      </c>
      <c r="K396" s="107">
        <f>INGREDIENTS!F179</f>
        <v>4.7999999999999996E-3</v>
      </c>
      <c r="L396" s="107">
        <f t="shared" si="48"/>
        <v>7.1999999999999995E-2</v>
      </c>
    </row>
    <row r="397" spans="2:12" x14ac:dyDescent="0.15">
      <c r="B397" s="108" t="s">
        <v>1179</v>
      </c>
      <c r="C397" s="106">
        <v>100</v>
      </c>
      <c r="D397" s="108" t="s">
        <v>1001</v>
      </c>
      <c r="E397" s="107">
        <f>INGREDIENTS!F63</f>
        <v>3.5000000000000001E-3</v>
      </c>
      <c r="F397" s="107">
        <f t="shared" si="47"/>
        <v>0.35000000000000003</v>
      </c>
      <c r="G397" s="187"/>
      <c r="H397" s="108" t="s">
        <v>1179</v>
      </c>
      <c r="I397" s="106">
        <v>100</v>
      </c>
      <c r="J397" s="108" t="s">
        <v>1001</v>
      </c>
      <c r="K397" s="107">
        <f>INGREDIENTS!F63</f>
        <v>3.5000000000000001E-3</v>
      </c>
      <c r="L397" s="107">
        <f t="shared" si="48"/>
        <v>0.35000000000000003</v>
      </c>
    </row>
    <row r="398" spans="2:12" x14ac:dyDescent="0.15">
      <c r="B398" s="108" t="s">
        <v>1360</v>
      </c>
      <c r="C398" s="106">
        <v>1</v>
      </c>
      <c r="D398" s="106" t="s">
        <v>1036</v>
      </c>
      <c r="E398" s="107">
        <f>INGREDIENTS!F21</f>
        <v>0.27</v>
      </c>
      <c r="F398" s="107">
        <f t="shared" si="47"/>
        <v>0.27</v>
      </c>
      <c r="G398" s="187"/>
      <c r="H398" s="108" t="s">
        <v>1361</v>
      </c>
      <c r="I398" s="106">
        <v>1</v>
      </c>
      <c r="J398" s="106" t="s">
        <v>1036</v>
      </c>
      <c r="K398" s="107">
        <f>INGREDIENTS!F26</f>
        <v>0.28999999999999998</v>
      </c>
      <c r="L398" s="107">
        <f t="shared" si="48"/>
        <v>0.28999999999999998</v>
      </c>
    </row>
    <row r="399" spans="2:12" x14ac:dyDescent="0.15">
      <c r="B399" s="108" t="s">
        <v>1374</v>
      </c>
      <c r="C399" s="106">
        <v>1</v>
      </c>
      <c r="D399" s="106" t="s">
        <v>1103</v>
      </c>
      <c r="E399" s="107">
        <f>INGREDIENTS!F22</f>
        <v>0.115</v>
      </c>
      <c r="F399" s="107">
        <f t="shared" si="47"/>
        <v>0.115</v>
      </c>
      <c r="G399" s="187"/>
      <c r="H399" s="108" t="s">
        <v>1377</v>
      </c>
      <c r="I399" s="106">
        <v>1</v>
      </c>
      <c r="J399" s="106" t="s">
        <v>1103</v>
      </c>
      <c r="K399" s="107">
        <f>INGREDIENTS!F27</f>
        <v>0.15</v>
      </c>
      <c r="L399" s="107">
        <f t="shared" si="48"/>
        <v>0.15</v>
      </c>
    </row>
    <row r="400" spans="2:12" x14ac:dyDescent="0.15">
      <c r="B400" s="108" t="s">
        <v>1171</v>
      </c>
      <c r="C400" s="106">
        <v>1</v>
      </c>
      <c r="D400" s="108" t="s">
        <v>1376</v>
      </c>
      <c r="E400" s="107">
        <f>INGREDIENTS!F28</f>
        <v>5.8000000000000003E-2</v>
      </c>
      <c r="F400" s="107">
        <f t="shared" si="47"/>
        <v>5.8000000000000003E-2</v>
      </c>
      <c r="G400" s="187"/>
      <c r="H400" s="108" t="s">
        <v>1171</v>
      </c>
      <c r="I400" s="106">
        <v>1</v>
      </c>
      <c r="J400" s="108" t="s">
        <v>1376</v>
      </c>
      <c r="K400" s="107">
        <f>INGREDIENTS!F28</f>
        <v>5.8000000000000003E-2</v>
      </c>
      <c r="L400" s="107">
        <f t="shared" si="48"/>
        <v>5.8000000000000003E-2</v>
      </c>
    </row>
    <row r="401" spans="2:12" ht="18" x14ac:dyDescent="0.2">
      <c r="F401" s="110">
        <f>SUM(F393:F400)</f>
        <v>2.8065000000000002</v>
      </c>
      <c r="G401" s="187"/>
      <c r="L401" s="110">
        <f>SUM(L393:L400)</f>
        <v>2.8614999999999999</v>
      </c>
    </row>
    <row r="402" spans="2:12" x14ac:dyDescent="0.15">
      <c r="B402" t="s">
        <v>1132</v>
      </c>
      <c r="C402" s="58">
        <v>12</v>
      </c>
      <c r="G402" s="187"/>
      <c r="H402" t="s">
        <v>1132</v>
      </c>
      <c r="I402" s="58">
        <v>16</v>
      </c>
    </row>
    <row r="403" spans="2:12" ht="18" x14ac:dyDescent="0.2">
      <c r="B403" t="s">
        <v>1125</v>
      </c>
      <c r="C403" s="58">
        <f>F401+5%</f>
        <v>2.8565</v>
      </c>
      <c r="D403" s="111">
        <f>C403/C402</f>
        <v>0.23804166666666668</v>
      </c>
      <c r="G403" s="187"/>
      <c r="H403" t="s">
        <v>1125</v>
      </c>
      <c r="I403" s="58">
        <f>L401+5%</f>
        <v>2.9114999999999998</v>
      </c>
      <c r="J403" s="111">
        <f>I403/I402</f>
        <v>0.18196874999999998</v>
      </c>
    </row>
    <row r="404" spans="2:12" x14ac:dyDescent="0.15">
      <c r="B404" t="s">
        <v>1133</v>
      </c>
      <c r="C404" s="58">
        <f>C402-C403</f>
        <v>9.1434999999999995</v>
      </c>
      <c r="D404" s="112"/>
      <c r="G404" s="187"/>
      <c r="H404" t="s">
        <v>1133</v>
      </c>
      <c r="I404" s="58">
        <f>I402-I403</f>
        <v>13.0885</v>
      </c>
      <c r="J404" s="112"/>
    </row>
    <row r="405" spans="2:12" x14ac:dyDescent="0.15">
      <c r="B405" s="190"/>
      <c r="C405" s="190"/>
      <c r="D405" s="190"/>
      <c r="E405" s="190"/>
      <c r="F405" s="190"/>
      <c r="G405" s="187"/>
      <c r="H405" s="190"/>
      <c r="I405" s="190"/>
      <c r="J405" s="190"/>
      <c r="K405" s="190"/>
      <c r="L405" s="190"/>
    </row>
    <row r="406" spans="2:12" x14ac:dyDescent="0.15">
      <c r="B406" s="190"/>
      <c r="C406" s="190"/>
      <c r="D406" s="190"/>
      <c r="E406" s="190"/>
      <c r="F406" s="190"/>
      <c r="G406" s="187"/>
      <c r="H406" s="190"/>
      <c r="I406" s="190"/>
      <c r="J406" s="190"/>
      <c r="K406" s="190"/>
      <c r="L406" s="190"/>
    </row>
    <row r="407" spans="2:12" x14ac:dyDescent="0.15">
      <c r="B407" s="167" t="s">
        <v>1505</v>
      </c>
      <c r="C407" s="167"/>
      <c r="D407" s="167"/>
      <c r="E407" s="167"/>
      <c r="F407" s="167"/>
      <c r="G407" s="187"/>
      <c r="H407" s="167" t="s">
        <v>1506</v>
      </c>
      <c r="I407" s="167"/>
      <c r="J407" s="167"/>
      <c r="K407" s="167"/>
      <c r="L407" s="167"/>
    </row>
    <row r="408" spans="2:12" x14ac:dyDescent="0.15">
      <c r="B408" s="167"/>
      <c r="C408" s="167"/>
      <c r="D408" s="167"/>
      <c r="E408" s="167"/>
      <c r="F408" s="167"/>
      <c r="G408" s="187"/>
      <c r="H408" s="167"/>
      <c r="I408" s="167"/>
      <c r="J408" s="167"/>
      <c r="K408" s="167"/>
      <c r="L408" s="167"/>
    </row>
    <row r="409" spans="2:12" ht="16" x14ac:dyDescent="0.2">
      <c r="B409" s="119" t="s">
        <v>1122</v>
      </c>
      <c r="C409" s="119" t="s">
        <v>1123</v>
      </c>
      <c r="D409" s="119" t="s">
        <v>1124</v>
      </c>
      <c r="E409" s="119" t="s">
        <v>1125</v>
      </c>
      <c r="F409" s="119" t="s">
        <v>1126</v>
      </c>
      <c r="G409" s="187"/>
      <c r="H409" s="119" t="s">
        <v>1122</v>
      </c>
      <c r="I409" s="119" t="s">
        <v>1123</v>
      </c>
      <c r="J409" s="119" t="s">
        <v>1124</v>
      </c>
      <c r="K409" s="119" t="s">
        <v>1125</v>
      </c>
      <c r="L409" s="119" t="s">
        <v>1126</v>
      </c>
    </row>
    <row r="410" spans="2:12" x14ac:dyDescent="0.15">
      <c r="B410" s="108" t="s">
        <v>1503</v>
      </c>
      <c r="C410" s="106">
        <v>1</v>
      </c>
      <c r="D410" s="108" t="s">
        <v>1036</v>
      </c>
      <c r="E410" s="107">
        <f>INGREDIENTS!F264</f>
        <v>1.9</v>
      </c>
      <c r="F410" s="107">
        <f t="shared" ref="F410:F412" si="49">E410*C410</f>
        <v>1.9</v>
      </c>
      <c r="G410" s="187"/>
      <c r="H410" s="108" t="s">
        <v>1503</v>
      </c>
      <c r="I410" s="106">
        <v>1</v>
      </c>
      <c r="J410" s="108" t="s">
        <v>1036</v>
      </c>
      <c r="K410" s="107">
        <f>INGREDIENTS!F264</f>
        <v>1.9</v>
      </c>
      <c r="L410" s="107">
        <f t="shared" ref="L410:L412" si="50">K410*I410</f>
        <v>1.9</v>
      </c>
    </row>
    <row r="411" spans="2:12" x14ac:dyDescent="0.15">
      <c r="B411" s="108" t="s">
        <v>1360</v>
      </c>
      <c r="C411" s="106">
        <v>1</v>
      </c>
      <c r="D411" s="106" t="s">
        <v>1036</v>
      </c>
      <c r="E411" s="107">
        <f>INGREDIENTS!F21</f>
        <v>0.27</v>
      </c>
      <c r="F411" s="107">
        <f t="shared" si="49"/>
        <v>0.27</v>
      </c>
      <c r="G411" s="187"/>
      <c r="H411" s="108" t="s">
        <v>1361</v>
      </c>
      <c r="I411" s="106">
        <v>1</v>
      </c>
      <c r="J411" s="106" t="s">
        <v>1036</v>
      </c>
      <c r="K411" s="107">
        <f>INGREDIENTS!F26</f>
        <v>0.28999999999999998</v>
      </c>
      <c r="L411" s="107">
        <f t="shared" si="50"/>
        <v>0.28999999999999998</v>
      </c>
    </row>
    <row r="412" spans="2:12" x14ac:dyDescent="0.15">
      <c r="B412" s="108" t="s">
        <v>1374</v>
      </c>
      <c r="C412" s="106">
        <v>1</v>
      </c>
      <c r="D412" s="106" t="s">
        <v>1103</v>
      </c>
      <c r="E412" s="107">
        <f>INGREDIENTS!F210</f>
        <v>5.5E-2</v>
      </c>
      <c r="F412" s="107">
        <f t="shared" si="49"/>
        <v>5.5E-2</v>
      </c>
      <c r="G412" s="187"/>
      <c r="H412" s="108" t="s">
        <v>1377</v>
      </c>
      <c r="I412" s="106">
        <v>1</v>
      </c>
      <c r="J412" s="106" t="s">
        <v>1103</v>
      </c>
      <c r="K412" s="107">
        <f>INGREDIENTS!F27</f>
        <v>0.15</v>
      </c>
      <c r="L412" s="107">
        <f t="shared" si="50"/>
        <v>0.15</v>
      </c>
    </row>
    <row r="413" spans="2:12" x14ac:dyDescent="0.15">
      <c r="B413" s="108"/>
      <c r="C413" s="106"/>
      <c r="D413" s="108"/>
      <c r="E413" s="107"/>
      <c r="F413" s="107"/>
      <c r="G413" s="187"/>
      <c r="H413" s="108"/>
      <c r="I413" s="106"/>
      <c r="J413" s="108"/>
      <c r="K413" s="107"/>
      <c r="L413" s="107"/>
    </row>
    <row r="414" spans="2:12" x14ac:dyDescent="0.15">
      <c r="B414" s="106"/>
      <c r="C414" s="106"/>
      <c r="D414" s="106"/>
      <c r="E414" s="107"/>
      <c r="F414" s="107"/>
      <c r="G414" s="187"/>
      <c r="H414" s="106"/>
      <c r="I414" s="106"/>
      <c r="J414" s="106"/>
      <c r="K414" s="107"/>
      <c r="L414" s="107"/>
    </row>
    <row r="415" spans="2:12" ht="18" x14ac:dyDescent="0.2">
      <c r="F415" s="110">
        <f>SUM(F410:F414)</f>
        <v>2.2250000000000001</v>
      </c>
      <c r="G415" s="187"/>
      <c r="L415" s="110">
        <f>SUM(L410:L414)</f>
        <v>2.34</v>
      </c>
    </row>
    <row r="416" spans="2:12" x14ac:dyDescent="0.15">
      <c r="B416" t="s">
        <v>1132</v>
      </c>
      <c r="C416" s="58">
        <v>8</v>
      </c>
      <c r="G416" s="187"/>
      <c r="H416" t="s">
        <v>1132</v>
      </c>
      <c r="I416" s="58">
        <v>8</v>
      </c>
    </row>
    <row r="417" spans="2:12" ht="18" x14ac:dyDescent="0.2">
      <c r="B417" t="s">
        <v>1125</v>
      </c>
      <c r="C417" s="58">
        <f>F415+5%</f>
        <v>2.2749999999999999</v>
      </c>
      <c r="D417" s="111">
        <f>C417/C416</f>
        <v>0.28437499999999999</v>
      </c>
      <c r="G417" s="187"/>
      <c r="H417" t="s">
        <v>1125</v>
      </c>
      <c r="I417" s="58">
        <f>L415+5%</f>
        <v>2.3899999999999997</v>
      </c>
      <c r="J417" s="111">
        <f>I417/I416</f>
        <v>0.29874999999999996</v>
      </c>
    </row>
    <row r="418" spans="2:12" x14ac:dyDescent="0.15">
      <c r="B418" t="s">
        <v>1133</v>
      </c>
      <c r="C418" s="58">
        <f>C416-C417</f>
        <v>5.7249999999999996</v>
      </c>
      <c r="D418" s="112"/>
      <c r="G418" s="187"/>
      <c r="H418" t="s">
        <v>1133</v>
      </c>
      <c r="I418" s="58">
        <f>I416-I417</f>
        <v>5.61</v>
      </c>
      <c r="J418" s="112"/>
    </row>
    <row r="419" spans="2:12" x14ac:dyDescent="0.15">
      <c r="B419" s="190"/>
      <c r="C419" s="190"/>
      <c r="D419" s="190"/>
      <c r="E419" s="190"/>
      <c r="F419" s="190"/>
      <c r="G419" s="187"/>
      <c r="H419" s="190"/>
      <c r="I419" s="190"/>
      <c r="J419" s="190"/>
      <c r="K419" s="190"/>
      <c r="L419" s="190"/>
    </row>
    <row r="420" spans="2:12" x14ac:dyDescent="0.15">
      <c r="B420" s="190"/>
      <c r="C420" s="190"/>
      <c r="D420" s="190"/>
      <c r="E420" s="190"/>
      <c r="F420" s="190"/>
      <c r="G420" s="187"/>
      <c r="H420" s="190"/>
      <c r="I420" s="190"/>
      <c r="J420" s="190"/>
      <c r="K420" s="190"/>
      <c r="L420" s="190"/>
    </row>
    <row r="421" spans="2:12" x14ac:dyDescent="0.15">
      <c r="B421" s="167" t="s">
        <v>1508</v>
      </c>
      <c r="C421" s="167"/>
      <c r="D421" s="167"/>
      <c r="E421" s="167"/>
      <c r="F421" s="167"/>
      <c r="G421" s="187"/>
      <c r="H421" s="167" t="s">
        <v>1509</v>
      </c>
      <c r="I421" s="167"/>
      <c r="J421" s="167"/>
      <c r="K421" s="167"/>
      <c r="L421" s="167"/>
    </row>
    <row r="422" spans="2:12" x14ac:dyDescent="0.15">
      <c r="B422" s="167"/>
      <c r="C422" s="167"/>
      <c r="D422" s="167"/>
      <c r="E422" s="167"/>
      <c r="F422" s="167"/>
      <c r="G422" s="187"/>
      <c r="H422" s="167"/>
      <c r="I422" s="167"/>
      <c r="J422" s="167"/>
      <c r="K422" s="167"/>
      <c r="L422" s="167"/>
    </row>
    <row r="423" spans="2:12" ht="16" x14ac:dyDescent="0.2">
      <c r="B423" s="119" t="s">
        <v>1122</v>
      </c>
      <c r="C423" s="119" t="s">
        <v>1123</v>
      </c>
      <c r="D423" s="119" t="s">
        <v>1124</v>
      </c>
      <c r="E423" s="119" t="s">
        <v>1125</v>
      </c>
      <c r="F423" s="119" t="s">
        <v>1126</v>
      </c>
      <c r="G423" s="187"/>
      <c r="H423" s="119" t="s">
        <v>1122</v>
      </c>
      <c r="I423" s="119" t="s">
        <v>1123</v>
      </c>
      <c r="J423" s="119" t="s">
        <v>1124</v>
      </c>
      <c r="K423" s="119" t="s">
        <v>1125</v>
      </c>
      <c r="L423" s="119" t="s">
        <v>1126</v>
      </c>
    </row>
    <row r="424" spans="2:12" x14ac:dyDescent="0.15">
      <c r="B424" s="108" t="s">
        <v>1117</v>
      </c>
      <c r="C424" s="106">
        <v>25</v>
      </c>
      <c r="D424" s="108" t="s">
        <v>1176</v>
      </c>
      <c r="E424" s="107">
        <f>INGREDIENTS!F170</f>
        <v>0.125</v>
      </c>
      <c r="F424" s="107">
        <f>E424*C424</f>
        <v>3.125</v>
      </c>
      <c r="G424" s="187"/>
      <c r="H424" s="108" t="s">
        <v>1117</v>
      </c>
      <c r="I424" s="106">
        <v>25</v>
      </c>
      <c r="J424" s="108" t="s">
        <v>1176</v>
      </c>
      <c r="K424" s="107">
        <f>INGREDIENTS!F170</f>
        <v>0.125</v>
      </c>
      <c r="L424" s="107">
        <f>K424*I424</f>
        <v>3.125</v>
      </c>
    </row>
    <row r="425" spans="2:12" x14ac:dyDescent="0.15">
      <c r="B425" s="108" t="s">
        <v>1382</v>
      </c>
      <c r="C425" s="106">
        <v>215</v>
      </c>
      <c r="D425" s="108" t="s">
        <v>1001</v>
      </c>
      <c r="E425" s="107">
        <f>INGREDIENTS!F38</f>
        <v>1.426E-2</v>
      </c>
      <c r="F425" s="107">
        <f t="shared" ref="F425:F427" si="51">E425*C425</f>
        <v>3.0659000000000001</v>
      </c>
      <c r="G425" s="187"/>
      <c r="H425" s="108" t="s">
        <v>1382</v>
      </c>
      <c r="I425" s="106">
        <v>225</v>
      </c>
      <c r="J425" s="108" t="s">
        <v>1001</v>
      </c>
      <c r="K425" s="107">
        <f>INGREDIENTS!F38</f>
        <v>1.426E-2</v>
      </c>
      <c r="L425" s="107">
        <f t="shared" ref="L425:L427" si="52">K425*I425</f>
        <v>3.2084999999999999</v>
      </c>
    </row>
    <row r="426" spans="2:12" x14ac:dyDescent="0.15">
      <c r="B426" s="108" t="s">
        <v>1360</v>
      </c>
      <c r="C426" s="106">
        <v>1</v>
      </c>
      <c r="D426" s="106" t="s">
        <v>1036</v>
      </c>
      <c r="E426" s="107">
        <f>INGREDIENTS!F21</f>
        <v>0.27</v>
      </c>
      <c r="F426" s="107">
        <f t="shared" si="51"/>
        <v>0.27</v>
      </c>
      <c r="G426" s="187"/>
      <c r="H426" s="108" t="s">
        <v>1361</v>
      </c>
      <c r="I426" s="106">
        <v>1</v>
      </c>
      <c r="J426" s="106" t="s">
        <v>1036</v>
      </c>
      <c r="K426" s="107">
        <f>INGREDIENTS!F26</f>
        <v>0.28999999999999998</v>
      </c>
      <c r="L426" s="107">
        <f t="shared" si="52"/>
        <v>0.28999999999999998</v>
      </c>
    </row>
    <row r="427" spans="2:12" x14ac:dyDescent="0.15">
      <c r="B427" s="108" t="s">
        <v>1374</v>
      </c>
      <c r="C427" s="106">
        <v>1</v>
      </c>
      <c r="D427" s="106" t="s">
        <v>1103</v>
      </c>
      <c r="E427" s="107">
        <f>INGREDIENTS!F22</f>
        <v>0.115</v>
      </c>
      <c r="F427" s="107">
        <f t="shared" si="51"/>
        <v>0.115</v>
      </c>
      <c r="G427" s="187"/>
      <c r="H427" s="108" t="s">
        <v>1377</v>
      </c>
      <c r="I427" s="106">
        <v>1</v>
      </c>
      <c r="J427" s="106" t="s">
        <v>1103</v>
      </c>
      <c r="K427" s="107">
        <f>INGREDIENTS!F27</f>
        <v>0.15</v>
      </c>
      <c r="L427" s="107">
        <f t="shared" si="52"/>
        <v>0.15</v>
      </c>
    </row>
    <row r="428" spans="2:12" x14ac:dyDescent="0.15">
      <c r="B428" s="108"/>
      <c r="C428" s="106"/>
      <c r="D428" s="108"/>
      <c r="E428" s="107"/>
      <c r="F428" s="107"/>
      <c r="G428" s="187"/>
      <c r="H428" s="108"/>
      <c r="I428" s="106"/>
      <c r="J428" s="108"/>
      <c r="K428" s="107"/>
      <c r="L428" s="107"/>
    </row>
    <row r="429" spans="2:12" x14ac:dyDescent="0.15">
      <c r="B429" s="106"/>
      <c r="C429" s="106"/>
      <c r="D429" s="106"/>
      <c r="E429" s="107"/>
      <c r="F429" s="107"/>
      <c r="G429" s="187"/>
      <c r="H429" s="106"/>
      <c r="I429" s="106"/>
      <c r="J429" s="106"/>
      <c r="K429" s="107"/>
      <c r="L429" s="107"/>
    </row>
    <row r="430" spans="2:12" ht="18" x14ac:dyDescent="0.2">
      <c r="F430" s="110">
        <f>SUM(F424:F429)</f>
        <v>6.5759000000000007</v>
      </c>
      <c r="G430" s="187"/>
      <c r="L430" s="110">
        <f>SUM(L424:L429)</f>
        <v>6.7735000000000003</v>
      </c>
    </row>
    <row r="431" spans="2:12" x14ac:dyDescent="0.15">
      <c r="B431" t="s">
        <v>1132</v>
      </c>
      <c r="C431" s="58">
        <v>14</v>
      </c>
      <c r="G431" s="187"/>
      <c r="H431" t="s">
        <v>1132</v>
      </c>
      <c r="I431" s="58">
        <v>16</v>
      </c>
    </row>
    <row r="432" spans="2:12" ht="18" x14ac:dyDescent="0.2">
      <c r="B432" t="s">
        <v>1125</v>
      </c>
      <c r="C432" s="58">
        <f>F430+5%</f>
        <v>6.6259000000000006</v>
      </c>
      <c r="D432" s="111">
        <f>C432/C431</f>
        <v>0.47327857142857149</v>
      </c>
      <c r="G432" s="187"/>
      <c r="H432" t="s">
        <v>1125</v>
      </c>
      <c r="I432" s="58">
        <f>L430+5%</f>
        <v>6.8235000000000001</v>
      </c>
      <c r="J432" s="111">
        <f>I432/I431</f>
        <v>0.42646875000000001</v>
      </c>
    </row>
    <row r="433" spans="2:12" x14ac:dyDescent="0.15">
      <c r="B433" t="s">
        <v>1133</v>
      </c>
      <c r="C433" s="58">
        <f>C431-C432</f>
        <v>7.3740999999999994</v>
      </c>
      <c r="D433" s="112"/>
      <c r="G433" s="187"/>
      <c r="H433" t="s">
        <v>1133</v>
      </c>
      <c r="I433" s="58">
        <f>I431-I432</f>
        <v>9.1765000000000008</v>
      </c>
      <c r="J433" s="112"/>
    </row>
    <row r="434" spans="2:12" x14ac:dyDescent="0.15">
      <c r="B434" s="190"/>
      <c r="C434" s="190"/>
      <c r="D434" s="190"/>
      <c r="E434" s="190"/>
      <c r="F434" s="190"/>
      <c r="G434" s="187"/>
      <c r="H434" s="190"/>
      <c r="I434" s="190"/>
      <c r="J434" s="190"/>
      <c r="K434" s="190"/>
      <c r="L434" s="190"/>
    </row>
    <row r="435" spans="2:12" x14ac:dyDescent="0.15">
      <c r="B435" s="190"/>
      <c r="C435" s="190"/>
      <c r="D435" s="190"/>
      <c r="E435" s="190"/>
      <c r="F435" s="190"/>
      <c r="G435" s="187"/>
      <c r="H435" s="190"/>
      <c r="I435" s="190"/>
      <c r="J435" s="190"/>
      <c r="K435" s="190"/>
      <c r="L435" s="190"/>
    </row>
    <row r="436" spans="2:12" x14ac:dyDescent="0.15">
      <c r="B436" s="167" t="s">
        <v>1515</v>
      </c>
      <c r="C436" s="167"/>
      <c r="D436" s="167"/>
      <c r="E436" s="167"/>
      <c r="F436" s="167"/>
      <c r="G436" s="187"/>
      <c r="H436" s="167" t="s">
        <v>1515</v>
      </c>
      <c r="I436" s="167"/>
      <c r="J436" s="167"/>
      <c r="K436" s="167"/>
      <c r="L436" s="167"/>
    </row>
    <row r="437" spans="2:12" x14ac:dyDescent="0.15">
      <c r="B437" s="167"/>
      <c r="C437" s="167"/>
      <c r="D437" s="167"/>
      <c r="E437" s="167"/>
      <c r="F437" s="167"/>
      <c r="G437" s="187"/>
      <c r="H437" s="167"/>
      <c r="I437" s="167"/>
      <c r="J437" s="167"/>
      <c r="K437" s="167"/>
      <c r="L437" s="167"/>
    </row>
    <row r="438" spans="2:12" ht="16" x14ac:dyDescent="0.2">
      <c r="B438" s="119" t="s">
        <v>1122</v>
      </c>
      <c r="C438" s="119" t="s">
        <v>1123</v>
      </c>
      <c r="D438" s="119" t="s">
        <v>1124</v>
      </c>
      <c r="E438" s="119" t="s">
        <v>1125</v>
      </c>
      <c r="F438" s="119" t="s">
        <v>1126</v>
      </c>
      <c r="G438" s="187"/>
      <c r="H438" s="119" t="s">
        <v>1122</v>
      </c>
      <c r="I438" s="119" t="s">
        <v>1123</v>
      </c>
      <c r="J438" s="119" t="s">
        <v>1124</v>
      </c>
      <c r="K438" s="119" t="s">
        <v>1125</v>
      </c>
      <c r="L438" s="119" t="s">
        <v>1126</v>
      </c>
    </row>
    <row r="439" spans="2:12" x14ac:dyDescent="0.15">
      <c r="B439" s="106" t="s">
        <v>1516</v>
      </c>
      <c r="C439" s="106">
        <v>15</v>
      </c>
      <c r="D439" s="106" t="s">
        <v>1176</v>
      </c>
      <c r="E439" s="107">
        <f>INGREDIENTS!F58</f>
        <v>6.9500000000000006E-2</v>
      </c>
      <c r="F439" s="107">
        <f>E439*C439</f>
        <v>1.0425</v>
      </c>
      <c r="G439" s="187"/>
      <c r="H439" s="106" t="s">
        <v>1516</v>
      </c>
      <c r="I439" s="106">
        <v>15</v>
      </c>
      <c r="J439" s="106" t="s">
        <v>1176</v>
      </c>
      <c r="K439" s="107">
        <f>INGREDIENTS!F58</f>
        <v>6.9500000000000006E-2</v>
      </c>
      <c r="L439" s="107">
        <f>K439*I439</f>
        <v>1.0425</v>
      </c>
    </row>
    <row r="440" spans="2:12" x14ac:dyDescent="0.15">
      <c r="B440" s="106" t="s">
        <v>1382</v>
      </c>
      <c r="C440" s="106">
        <v>180</v>
      </c>
      <c r="D440" s="106" t="s">
        <v>1001</v>
      </c>
      <c r="E440" s="107">
        <f>INGREDIENTS!F38</f>
        <v>1.426E-2</v>
      </c>
      <c r="F440" s="107">
        <f>E440*C440</f>
        <v>2.5668000000000002</v>
      </c>
      <c r="G440" s="187"/>
      <c r="H440" s="106" t="s">
        <v>1382</v>
      </c>
      <c r="I440" s="106">
        <v>230</v>
      </c>
      <c r="J440" s="106" t="s">
        <v>1001</v>
      </c>
      <c r="K440" s="107">
        <f>INGREDIENTS!F38</f>
        <v>1.426E-2</v>
      </c>
      <c r="L440" s="107">
        <f>K440*I440</f>
        <v>3.2797999999999998</v>
      </c>
    </row>
    <row r="441" spans="2:12" x14ac:dyDescent="0.15">
      <c r="B441" s="106" t="s">
        <v>1360</v>
      </c>
      <c r="C441" s="106">
        <v>1</v>
      </c>
      <c r="D441" s="106" t="s">
        <v>1036</v>
      </c>
      <c r="E441" s="107">
        <f>INGREDIENTS!F21</f>
        <v>0.27</v>
      </c>
      <c r="F441" s="107">
        <f>E441*C441</f>
        <v>0.27</v>
      </c>
      <c r="G441" s="187"/>
      <c r="H441" s="106" t="s">
        <v>1361</v>
      </c>
      <c r="I441" s="106">
        <v>1</v>
      </c>
      <c r="J441" s="106" t="s">
        <v>1036</v>
      </c>
      <c r="K441" s="107">
        <f>INGREDIENTS!F26</f>
        <v>0.28999999999999998</v>
      </c>
      <c r="L441" s="107">
        <f>K441*I441</f>
        <v>0.28999999999999998</v>
      </c>
    </row>
    <row r="442" spans="2:12" x14ac:dyDescent="0.15">
      <c r="B442" s="106" t="s">
        <v>1518</v>
      </c>
      <c r="C442" s="106">
        <v>1</v>
      </c>
      <c r="D442" s="106" t="s">
        <v>1103</v>
      </c>
      <c r="E442" s="107">
        <f>INGREDIENTS!F22</f>
        <v>0.115</v>
      </c>
      <c r="F442" s="107">
        <f>E442*C442</f>
        <v>0.115</v>
      </c>
      <c r="G442" s="187"/>
      <c r="H442" s="106" t="s">
        <v>1519</v>
      </c>
      <c r="I442" s="106">
        <v>1</v>
      </c>
      <c r="J442" s="106" t="s">
        <v>1103</v>
      </c>
      <c r="K442" s="107">
        <f>INGREDIENTS!F27</f>
        <v>0.15</v>
      </c>
      <c r="L442" s="107">
        <f>K442*I442</f>
        <v>0.15</v>
      </c>
    </row>
    <row r="443" spans="2:12" x14ac:dyDescent="0.15">
      <c r="B443" s="106"/>
      <c r="C443" s="106"/>
      <c r="D443" s="106"/>
      <c r="E443" s="107"/>
      <c r="F443" s="107"/>
      <c r="G443" s="187"/>
      <c r="H443" s="106"/>
      <c r="I443" s="106"/>
      <c r="J443" s="106"/>
      <c r="K443" s="107"/>
      <c r="L443" s="107"/>
    </row>
    <row r="444" spans="2:12" x14ac:dyDescent="0.15">
      <c r="B444" s="106"/>
      <c r="C444" s="106"/>
      <c r="D444" s="106"/>
      <c r="E444" s="107"/>
      <c r="F444" s="107"/>
      <c r="G444" s="187"/>
      <c r="H444" s="106"/>
      <c r="I444" s="106"/>
      <c r="J444" s="106"/>
      <c r="K444" s="107"/>
      <c r="L444" s="107"/>
    </row>
    <row r="445" spans="2:12" ht="18" x14ac:dyDescent="0.2">
      <c r="F445" s="110">
        <f>SUM(F439:F444)</f>
        <v>3.9943000000000004</v>
      </c>
      <c r="G445" s="187"/>
      <c r="L445" s="110">
        <f>SUM(L439:L444)</f>
        <v>4.7623000000000006</v>
      </c>
    </row>
    <row r="446" spans="2:12" x14ac:dyDescent="0.15">
      <c r="B446" t="s">
        <v>1132</v>
      </c>
      <c r="C446" s="58">
        <v>12</v>
      </c>
      <c r="G446" s="187"/>
      <c r="H446" t="s">
        <v>1132</v>
      </c>
      <c r="I446" s="58">
        <v>12</v>
      </c>
    </row>
    <row r="447" spans="2:12" ht="18" x14ac:dyDescent="0.2">
      <c r="B447" t="s">
        <v>1125</v>
      </c>
      <c r="C447" s="58">
        <f>F445+5%</f>
        <v>4.0443000000000007</v>
      </c>
      <c r="D447" s="111">
        <f>C447/C446</f>
        <v>0.33702500000000007</v>
      </c>
      <c r="G447" s="187"/>
      <c r="H447" t="s">
        <v>1125</v>
      </c>
      <c r="I447" s="58">
        <f>L445+5%</f>
        <v>4.8123000000000005</v>
      </c>
      <c r="J447" s="111">
        <f>I447/I446</f>
        <v>0.40102500000000002</v>
      </c>
    </row>
    <row r="448" spans="2:12" x14ac:dyDescent="0.15">
      <c r="B448" t="s">
        <v>1133</v>
      </c>
      <c r="C448" s="58">
        <f>C446-C447</f>
        <v>7.9556999999999993</v>
      </c>
      <c r="D448" s="112"/>
      <c r="G448" s="187"/>
      <c r="H448" t="s">
        <v>1133</v>
      </c>
      <c r="I448" s="58">
        <f>I446-I447</f>
        <v>7.1876999999999995</v>
      </c>
      <c r="J448" s="112"/>
    </row>
    <row r="449" spans="2:12" x14ac:dyDescent="0.15">
      <c r="B449" s="190"/>
      <c r="C449" s="190"/>
      <c r="D449" s="190"/>
      <c r="E449" s="190"/>
      <c r="F449" s="190"/>
      <c r="H449" s="190"/>
      <c r="I449" s="190"/>
      <c r="J449" s="190"/>
      <c r="K449" s="190"/>
      <c r="L449" s="190"/>
    </row>
    <row r="450" spans="2:12" x14ac:dyDescent="0.15">
      <c r="B450" s="190"/>
      <c r="C450" s="190"/>
      <c r="D450" s="190"/>
      <c r="E450" s="190"/>
      <c r="F450" s="190"/>
      <c r="H450" s="190"/>
      <c r="I450" s="190"/>
      <c r="J450" s="190"/>
      <c r="K450" s="190"/>
      <c r="L450" s="190"/>
    </row>
  </sheetData>
  <mergeCells count="113">
    <mergeCell ref="B421:F422"/>
    <mergeCell ref="H421:L422"/>
    <mergeCell ref="B434:F435"/>
    <mergeCell ref="H434:L435"/>
    <mergeCell ref="B405:F406"/>
    <mergeCell ref="H405:L406"/>
    <mergeCell ref="B407:F408"/>
    <mergeCell ref="H407:L408"/>
    <mergeCell ref="B419:F420"/>
    <mergeCell ref="H419:L420"/>
    <mergeCell ref="H101:L102"/>
    <mergeCell ref="H103:L103"/>
    <mergeCell ref="H117:L118"/>
    <mergeCell ref="H119:L119"/>
    <mergeCell ref="H133:L134"/>
    <mergeCell ref="H135:L135"/>
    <mergeCell ref="B388:F389"/>
    <mergeCell ref="B390:F391"/>
    <mergeCell ref="H388:L389"/>
    <mergeCell ref="H390:L391"/>
    <mergeCell ref="B358:F359"/>
    <mergeCell ref="B360:F361"/>
    <mergeCell ref="H360:L361"/>
    <mergeCell ref="B372:F373"/>
    <mergeCell ref="B374:F375"/>
    <mergeCell ref="H358:L359"/>
    <mergeCell ref="H372:L373"/>
    <mergeCell ref="H374:L375"/>
    <mergeCell ref="H148:L149"/>
    <mergeCell ref="H150:L150"/>
    <mergeCell ref="H163:L164"/>
    <mergeCell ref="H165:L165"/>
    <mergeCell ref="H178:L179"/>
    <mergeCell ref="H252:L253"/>
    <mergeCell ref="H181:L181"/>
    <mergeCell ref="H196:L197"/>
    <mergeCell ref="H180:L180"/>
    <mergeCell ref="H270:L271"/>
    <mergeCell ref="H232:L233"/>
    <mergeCell ref="H250:L251"/>
    <mergeCell ref="H216:L217"/>
    <mergeCell ref="B180:F180"/>
    <mergeCell ref="B181:F181"/>
    <mergeCell ref="B196:F197"/>
    <mergeCell ref="H234:L235"/>
    <mergeCell ref="B326:F327"/>
    <mergeCell ref="B286:F287"/>
    <mergeCell ref="B198:F199"/>
    <mergeCell ref="H198:L199"/>
    <mergeCell ref="B288:F289"/>
    <mergeCell ref="B250:F251"/>
    <mergeCell ref="B268:F269"/>
    <mergeCell ref="B252:F253"/>
    <mergeCell ref="B270:F271"/>
    <mergeCell ref="B214:F215"/>
    <mergeCell ref="B232:F233"/>
    <mergeCell ref="B234:F235"/>
    <mergeCell ref="B216:F217"/>
    <mergeCell ref="B324:F325"/>
    <mergeCell ref="H326:L327"/>
    <mergeCell ref="H324:L325"/>
    <mergeCell ref="H288:L289"/>
    <mergeCell ref="H308:L309"/>
    <mergeCell ref="H268:L269"/>
    <mergeCell ref="H286:L287"/>
    <mergeCell ref="H214:L215"/>
    <mergeCell ref="H306:L307"/>
    <mergeCell ref="B101:F102"/>
    <mergeCell ref="B103:F103"/>
    <mergeCell ref="B178:F179"/>
    <mergeCell ref="B133:F134"/>
    <mergeCell ref="B135:F135"/>
    <mergeCell ref="B148:F149"/>
    <mergeCell ref="B150:F150"/>
    <mergeCell ref="B163:F164"/>
    <mergeCell ref="B165:F165"/>
    <mergeCell ref="H5:L6"/>
    <mergeCell ref="B52:F53"/>
    <mergeCell ref="H52:L53"/>
    <mergeCell ref="B34:F35"/>
    <mergeCell ref="H34:L35"/>
    <mergeCell ref="B36:F37"/>
    <mergeCell ref="H36:L37"/>
    <mergeCell ref="B85:F86"/>
    <mergeCell ref="B87:F87"/>
    <mergeCell ref="H69:L70"/>
    <mergeCell ref="H71:L71"/>
    <mergeCell ref="H85:L86"/>
    <mergeCell ref="H87:L87"/>
    <mergeCell ref="B436:F437"/>
    <mergeCell ref="H436:L437"/>
    <mergeCell ref="G1:G448"/>
    <mergeCell ref="B449:F450"/>
    <mergeCell ref="H449:L450"/>
    <mergeCell ref="B344:F345"/>
    <mergeCell ref="B346:F347"/>
    <mergeCell ref="H344:L345"/>
    <mergeCell ref="H346:L347"/>
    <mergeCell ref="B17:F17"/>
    <mergeCell ref="H17:L17"/>
    <mergeCell ref="B18:F19"/>
    <mergeCell ref="H18:L19"/>
    <mergeCell ref="B54:F55"/>
    <mergeCell ref="H54:L55"/>
    <mergeCell ref="B117:F118"/>
    <mergeCell ref="B119:F119"/>
    <mergeCell ref="B308:F309"/>
    <mergeCell ref="B306:F307"/>
    <mergeCell ref="B69:F70"/>
    <mergeCell ref="B71:F71"/>
    <mergeCell ref="B2:F4"/>
    <mergeCell ref="H2:L4"/>
    <mergeCell ref="B5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2425-6979-46CB-BB2F-BCDC0ACE4888}">
  <dimension ref="B1:F202"/>
  <sheetViews>
    <sheetView topLeftCell="A149" zoomScaleNormal="100" workbookViewId="0">
      <selection activeCell="B191" sqref="B191"/>
    </sheetView>
  </sheetViews>
  <sheetFormatPr baseColWidth="10" defaultColWidth="8.83203125" defaultRowHeight="13" x14ac:dyDescent="0.15"/>
  <cols>
    <col min="1" max="1" width="6.5" customWidth="1"/>
    <col min="2" max="2" width="20.33203125" customWidth="1"/>
    <col min="3" max="3" width="12.83203125" customWidth="1"/>
    <col min="4" max="4" width="9.5" customWidth="1"/>
    <col min="5" max="5" width="11.83203125" customWidth="1"/>
    <col min="6" max="6" width="18.6640625" bestFit="1" customWidth="1"/>
  </cols>
  <sheetData>
    <row r="1" spans="2:6" x14ac:dyDescent="0.15">
      <c r="B1" s="241"/>
      <c r="C1" s="241"/>
      <c r="D1" s="241"/>
      <c r="E1" s="241"/>
      <c r="F1" s="241"/>
    </row>
    <row r="2" spans="2:6" x14ac:dyDescent="0.15">
      <c r="B2" s="241"/>
      <c r="C2" s="241"/>
      <c r="D2" s="241"/>
      <c r="E2" s="241"/>
      <c r="F2" s="241"/>
    </row>
    <row r="3" spans="2:6" ht="23" x14ac:dyDescent="0.25">
      <c r="B3" s="185" t="s">
        <v>1196</v>
      </c>
      <c r="C3" s="185"/>
      <c r="D3" s="185"/>
      <c r="E3" s="185"/>
      <c r="F3" s="185"/>
    </row>
    <row r="4" spans="2:6" x14ac:dyDescent="0.15">
      <c r="B4" s="191"/>
      <c r="C4" s="191"/>
      <c r="D4" s="191"/>
      <c r="E4" s="191"/>
      <c r="F4" s="191"/>
    </row>
    <row r="5" spans="2:6" ht="16" x14ac:dyDescent="0.2">
      <c r="B5" s="119" t="s">
        <v>1122</v>
      </c>
      <c r="C5" s="119" t="s">
        <v>1123</v>
      </c>
      <c r="D5" s="119" t="s">
        <v>1124</v>
      </c>
      <c r="E5" s="119" t="s">
        <v>1125</v>
      </c>
      <c r="F5" s="119" t="s">
        <v>1126</v>
      </c>
    </row>
    <row r="6" spans="2:6" ht="13" customHeight="1" x14ac:dyDescent="0.15">
      <c r="B6" s="106" t="s">
        <v>1197</v>
      </c>
      <c r="C6" s="106">
        <v>200</v>
      </c>
      <c r="D6" s="106" t="s">
        <v>1129</v>
      </c>
      <c r="E6" s="107">
        <f>50/1000</f>
        <v>0.05</v>
      </c>
      <c r="F6" s="107">
        <f>E6*C6</f>
        <v>10</v>
      </c>
    </row>
    <row r="7" spans="2:6" x14ac:dyDescent="0.15">
      <c r="B7" s="106" t="s">
        <v>1111</v>
      </c>
      <c r="C7" s="106">
        <v>300</v>
      </c>
      <c r="D7" s="106" t="s">
        <v>996</v>
      </c>
      <c r="E7" s="107">
        <f>INGREDIENTS!F169</f>
        <v>7.0000000000000007E-2</v>
      </c>
      <c r="F7" s="107">
        <f t="shared" ref="F7:F9" si="0">E7*C7</f>
        <v>21.000000000000004</v>
      </c>
    </row>
    <row r="8" spans="2:6" x14ac:dyDescent="0.15">
      <c r="B8" s="106" t="s">
        <v>1198</v>
      </c>
      <c r="C8" s="106">
        <v>150</v>
      </c>
      <c r="D8" s="106" t="s">
        <v>996</v>
      </c>
      <c r="E8" s="107">
        <f>INGREDIENTS!F164</f>
        <v>4.7999999999999996E-3</v>
      </c>
      <c r="F8" s="107">
        <f t="shared" si="0"/>
        <v>0.72</v>
      </c>
    </row>
    <row r="9" spans="2:6" x14ac:dyDescent="0.15">
      <c r="B9" s="106" t="s">
        <v>1193</v>
      </c>
      <c r="C9" s="106">
        <v>1000</v>
      </c>
      <c r="D9" s="106" t="s">
        <v>1001</v>
      </c>
      <c r="E9" s="107">
        <v>0</v>
      </c>
      <c r="F9" s="107">
        <f t="shared" si="0"/>
        <v>0</v>
      </c>
    </row>
    <row r="10" spans="2:6" x14ac:dyDescent="0.15">
      <c r="B10" s="106"/>
      <c r="C10" s="106"/>
      <c r="D10" s="106"/>
      <c r="E10" s="107"/>
      <c r="F10" s="107"/>
    </row>
    <row r="11" spans="2:6" ht="18" x14ac:dyDescent="0.2">
      <c r="B11" s="115" t="s">
        <v>1199</v>
      </c>
      <c r="C11" s="116">
        <f>SUM(C6:C10)</f>
        <v>1650</v>
      </c>
      <c r="F11" s="110">
        <f>SUM(F6:F10)</f>
        <v>31.720000000000002</v>
      </c>
    </row>
    <row r="12" spans="2:6" ht="16" x14ac:dyDescent="0.15">
      <c r="B12" s="115" t="s">
        <v>1200</v>
      </c>
      <c r="C12" s="117">
        <f>F11/C11</f>
        <v>1.9224242424242425E-2</v>
      </c>
    </row>
    <row r="13" spans="2:6" x14ac:dyDescent="0.15">
      <c r="B13" s="241"/>
      <c r="C13" s="241"/>
      <c r="D13" s="241"/>
      <c r="E13" s="241"/>
      <c r="F13" s="241"/>
    </row>
    <row r="14" spans="2:6" x14ac:dyDescent="0.15">
      <c r="B14" s="241"/>
      <c r="C14" s="241"/>
      <c r="D14" s="241"/>
      <c r="E14" s="241"/>
      <c r="F14" s="241"/>
    </row>
    <row r="15" spans="2:6" ht="18" x14ac:dyDescent="0.2">
      <c r="B15" s="195" t="s">
        <v>1201</v>
      </c>
      <c r="C15" s="195"/>
      <c r="D15" s="195"/>
      <c r="E15" s="195"/>
      <c r="F15" s="195"/>
    </row>
    <row r="16" spans="2:6" x14ac:dyDescent="0.15">
      <c r="B16" s="191"/>
      <c r="C16" s="191"/>
      <c r="D16" s="191"/>
      <c r="E16" s="191"/>
      <c r="F16" s="191"/>
    </row>
    <row r="17" spans="2:6" ht="16" x14ac:dyDescent="0.2">
      <c r="B17" s="119" t="s">
        <v>1122</v>
      </c>
      <c r="C17" s="119" t="s">
        <v>1123</v>
      </c>
      <c r="D17" s="119" t="s">
        <v>1124</v>
      </c>
      <c r="E17" s="119" t="s">
        <v>1125</v>
      </c>
      <c r="F17" s="119" t="s">
        <v>1126</v>
      </c>
    </row>
    <row r="18" spans="2:6" x14ac:dyDescent="0.15">
      <c r="B18" s="106" t="s">
        <v>1202</v>
      </c>
      <c r="C18" s="106">
        <v>230</v>
      </c>
      <c r="D18" s="106" t="s">
        <v>1129</v>
      </c>
      <c r="E18" s="107">
        <f>INGREDIENTS!F11</f>
        <v>7.0000000000000007E-2</v>
      </c>
      <c r="F18" s="107">
        <f>E18*C18</f>
        <v>16.100000000000001</v>
      </c>
    </row>
    <row r="19" spans="2:6" x14ac:dyDescent="0.15">
      <c r="B19" s="106" t="s">
        <v>1203</v>
      </c>
      <c r="C19" s="106">
        <v>3500</v>
      </c>
      <c r="D19" s="106" t="s">
        <v>996</v>
      </c>
      <c r="E19" s="107">
        <v>0</v>
      </c>
      <c r="F19" s="107">
        <f t="shared" ref="F19" si="1">E19*C19</f>
        <v>0</v>
      </c>
    </row>
    <row r="20" spans="2:6" x14ac:dyDescent="0.15">
      <c r="B20" s="106"/>
      <c r="C20" s="106"/>
      <c r="D20" s="106"/>
      <c r="E20" s="107"/>
      <c r="F20" s="107"/>
    </row>
    <row r="21" spans="2:6" x14ac:dyDescent="0.15">
      <c r="B21" s="106"/>
      <c r="C21" s="106"/>
      <c r="D21" s="106"/>
      <c r="E21" s="107"/>
      <c r="F21" s="107"/>
    </row>
    <row r="22" spans="2:6" x14ac:dyDescent="0.15">
      <c r="B22" s="106"/>
      <c r="C22" s="106"/>
      <c r="D22" s="106"/>
      <c r="E22" s="107"/>
      <c r="F22" s="107"/>
    </row>
    <row r="23" spans="2:6" ht="18" x14ac:dyDescent="0.2">
      <c r="B23" t="s">
        <v>1199</v>
      </c>
      <c r="C23" s="105">
        <v>3500</v>
      </c>
      <c r="F23" s="110">
        <f>SUM(F18:F22)</f>
        <v>16.100000000000001</v>
      </c>
    </row>
    <row r="24" spans="2:6" x14ac:dyDescent="0.15">
      <c r="B24" t="s">
        <v>1204</v>
      </c>
      <c r="C24" s="114">
        <f>F23/C23</f>
        <v>4.6000000000000008E-3</v>
      </c>
    </row>
    <row r="25" spans="2:6" x14ac:dyDescent="0.15">
      <c r="B25" s="241"/>
      <c r="C25" s="241"/>
      <c r="D25" s="241"/>
      <c r="E25" s="241"/>
      <c r="F25" s="241"/>
    </row>
    <row r="26" spans="2:6" x14ac:dyDescent="0.15">
      <c r="B26" s="241"/>
      <c r="C26" s="241"/>
      <c r="D26" s="241"/>
      <c r="E26" s="241"/>
      <c r="F26" s="241"/>
    </row>
    <row r="27" spans="2:6" ht="23" x14ac:dyDescent="0.25">
      <c r="B27" s="185" t="s">
        <v>1205</v>
      </c>
      <c r="C27" s="185"/>
      <c r="D27" s="185"/>
      <c r="E27" s="185"/>
      <c r="F27" s="185"/>
    </row>
    <row r="28" spans="2:6" x14ac:dyDescent="0.15">
      <c r="B28" s="191"/>
      <c r="C28" s="191"/>
      <c r="D28" s="191"/>
      <c r="E28" s="191"/>
      <c r="F28" s="191"/>
    </row>
    <row r="29" spans="2:6" ht="16" x14ac:dyDescent="0.2">
      <c r="B29" s="119" t="s">
        <v>1122</v>
      </c>
      <c r="C29" s="119" t="s">
        <v>1123</v>
      </c>
      <c r="D29" s="119" t="s">
        <v>1124</v>
      </c>
      <c r="E29" s="119" t="s">
        <v>1125</v>
      </c>
      <c r="F29" s="119" t="s">
        <v>1126</v>
      </c>
    </row>
    <row r="30" spans="2:6" x14ac:dyDescent="0.15">
      <c r="B30" s="106" t="s">
        <v>1061</v>
      </c>
      <c r="C30" s="106">
        <v>800</v>
      </c>
      <c r="D30" s="106" t="s">
        <v>1129</v>
      </c>
      <c r="E30" s="107">
        <f>INGREDIENTS!F109</f>
        <v>0.02</v>
      </c>
      <c r="F30" s="107">
        <f>E30*C30</f>
        <v>16</v>
      </c>
    </row>
    <row r="31" spans="2:6" x14ac:dyDescent="0.15">
      <c r="B31" s="106" t="s">
        <v>1100</v>
      </c>
      <c r="C31" s="106">
        <v>200</v>
      </c>
      <c r="D31" s="106" t="s">
        <v>996</v>
      </c>
      <c r="E31" s="107">
        <f>INGREDIENTS!F138</f>
        <v>1.3819444444444443E-2</v>
      </c>
      <c r="F31" s="107">
        <f t="shared" ref="F31:F33" si="2">E31*C31</f>
        <v>2.7638888888888888</v>
      </c>
    </row>
    <row r="32" spans="2:6" x14ac:dyDescent="0.15">
      <c r="B32" s="106" t="s">
        <v>1082</v>
      </c>
      <c r="C32" s="106">
        <v>30</v>
      </c>
      <c r="D32" s="106" t="s">
        <v>996</v>
      </c>
      <c r="E32" s="107">
        <f>INGREDIENTS!F124</f>
        <v>4.7999999999999996E-3</v>
      </c>
      <c r="F32" s="107">
        <f t="shared" si="2"/>
        <v>0.14399999999999999</v>
      </c>
    </row>
    <row r="33" spans="2:6" x14ac:dyDescent="0.15">
      <c r="B33" s="106" t="s">
        <v>1090</v>
      </c>
      <c r="C33" s="106">
        <v>10</v>
      </c>
      <c r="D33" s="106" t="s">
        <v>1001</v>
      </c>
      <c r="E33" s="107">
        <f>INGREDIENTS!F131</f>
        <v>1.0571428571428572E-2</v>
      </c>
      <c r="F33" s="107">
        <f t="shared" si="2"/>
        <v>0.10571428571428572</v>
      </c>
    </row>
    <row r="34" spans="2:6" x14ac:dyDescent="0.15">
      <c r="B34" s="106"/>
      <c r="C34" s="106"/>
      <c r="D34" s="106"/>
      <c r="E34" s="107"/>
      <c r="F34" s="107"/>
    </row>
    <row r="35" spans="2:6" ht="18" x14ac:dyDescent="0.2">
      <c r="B35" t="s">
        <v>1199</v>
      </c>
      <c r="C35" s="105">
        <v>1000</v>
      </c>
      <c r="F35" s="110">
        <f>SUM(F30:F34)</f>
        <v>19.013603174603173</v>
      </c>
    </row>
    <row r="36" spans="2:6" x14ac:dyDescent="0.15">
      <c r="B36" t="s">
        <v>1206</v>
      </c>
      <c r="C36" s="114">
        <f>F35/C35</f>
        <v>1.9013603174603173E-2</v>
      </c>
    </row>
    <row r="37" spans="2:6" x14ac:dyDescent="0.15">
      <c r="B37" s="241"/>
      <c r="C37" s="241"/>
      <c r="D37" s="241"/>
      <c r="E37" s="241"/>
      <c r="F37" s="241"/>
    </row>
    <row r="38" spans="2:6" x14ac:dyDescent="0.15">
      <c r="B38" s="241"/>
      <c r="C38" s="241"/>
      <c r="D38" s="241"/>
      <c r="E38" s="241"/>
      <c r="F38" s="241"/>
    </row>
    <row r="39" spans="2:6" ht="23" x14ac:dyDescent="0.25">
      <c r="B39" s="185" t="s">
        <v>1295</v>
      </c>
      <c r="C39" s="185"/>
      <c r="D39" s="185"/>
      <c r="E39" s="185"/>
      <c r="F39" s="185"/>
    </row>
    <row r="40" spans="2:6" x14ac:dyDescent="0.15">
      <c r="B40" s="191"/>
      <c r="C40" s="191"/>
      <c r="D40" s="191"/>
      <c r="E40" s="191"/>
      <c r="F40" s="191"/>
    </row>
    <row r="41" spans="2:6" ht="16" x14ac:dyDescent="0.2">
      <c r="B41" s="119" t="s">
        <v>1122</v>
      </c>
      <c r="C41" s="119" t="s">
        <v>1123</v>
      </c>
      <c r="D41" s="119" t="s">
        <v>1124</v>
      </c>
      <c r="E41" s="119" t="s">
        <v>1125</v>
      </c>
      <c r="F41" s="119" t="s">
        <v>1126</v>
      </c>
    </row>
    <row r="42" spans="2:6" x14ac:dyDescent="0.15">
      <c r="B42" s="108" t="s">
        <v>1296</v>
      </c>
      <c r="C42" s="106">
        <v>30</v>
      </c>
      <c r="D42" s="106" t="s">
        <v>1129</v>
      </c>
      <c r="E42" s="107">
        <f>INGREDIENTS!F93</f>
        <v>7.0000000000000007E-2</v>
      </c>
      <c r="F42" s="107">
        <f>E42*C42</f>
        <v>2.1</v>
      </c>
    </row>
    <row r="43" spans="2:6" x14ac:dyDescent="0.15">
      <c r="B43" s="108" t="s">
        <v>1121</v>
      </c>
      <c r="C43" s="106">
        <v>120</v>
      </c>
      <c r="D43" s="106" t="s">
        <v>996</v>
      </c>
      <c r="E43" s="107">
        <f>INGREDIENTS!F158</f>
        <v>0.06</v>
      </c>
      <c r="F43" s="107">
        <f t="shared" ref="F43:F48" si="3">E43*C43</f>
        <v>7.1999999999999993</v>
      </c>
    </row>
    <row r="44" spans="2:6" x14ac:dyDescent="0.15">
      <c r="B44" s="108" t="s">
        <v>1297</v>
      </c>
      <c r="C44" s="106">
        <v>100</v>
      </c>
      <c r="D44" s="106" t="s">
        <v>996</v>
      </c>
      <c r="E44" s="107">
        <f>INGREDIENTS!F136</f>
        <v>8.5999999999999993E-2</v>
      </c>
      <c r="F44" s="107">
        <f t="shared" si="3"/>
        <v>8.6</v>
      </c>
    </row>
    <row r="45" spans="2:6" x14ac:dyDescent="0.15">
      <c r="B45" s="108" t="s">
        <v>1081</v>
      </c>
      <c r="C45" s="106">
        <v>30</v>
      </c>
      <c r="D45" s="108" t="s">
        <v>1129</v>
      </c>
      <c r="E45" s="107">
        <f>INGREDIENTS!F123</f>
        <v>0.01</v>
      </c>
      <c r="F45" s="107">
        <f t="shared" si="3"/>
        <v>0.3</v>
      </c>
    </row>
    <row r="46" spans="2:6" x14ac:dyDescent="0.15">
      <c r="B46" s="108" t="s">
        <v>1094</v>
      </c>
      <c r="C46" s="106">
        <v>3</v>
      </c>
      <c r="D46" s="108" t="s">
        <v>1129</v>
      </c>
      <c r="E46" s="107">
        <f>INGREDIENTS!F133</f>
        <v>0.01</v>
      </c>
      <c r="F46" s="107">
        <f t="shared" si="3"/>
        <v>0.03</v>
      </c>
    </row>
    <row r="47" spans="2:6" x14ac:dyDescent="0.15">
      <c r="B47" s="108" t="s">
        <v>1090</v>
      </c>
      <c r="C47" s="106">
        <v>200</v>
      </c>
      <c r="D47" s="108" t="s">
        <v>1001</v>
      </c>
      <c r="E47" s="107">
        <f>INGREDIENTS!F131</f>
        <v>1.0571428571428572E-2</v>
      </c>
      <c r="F47" s="107">
        <f t="shared" si="3"/>
        <v>2.1142857142857143</v>
      </c>
    </row>
    <row r="48" spans="2:6" x14ac:dyDescent="0.15">
      <c r="B48" s="108" t="s">
        <v>1178</v>
      </c>
      <c r="C48" s="106">
        <v>10</v>
      </c>
      <c r="D48" s="108" t="s">
        <v>1001</v>
      </c>
      <c r="E48" s="107">
        <f>INGREDIENTS!F108</f>
        <v>9.4999999999999998E-3</v>
      </c>
      <c r="F48" s="107">
        <f t="shared" si="3"/>
        <v>9.5000000000000001E-2</v>
      </c>
    </row>
    <row r="49" spans="2:6" ht="18" x14ac:dyDescent="0.2">
      <c r="B49" t="s">
        <v>1199</v>
      </c>
      <c r="C49" s="105">
        <v>400</v>
      </c>
      <c r="F49" s="118">
        <f>SUM(F42:F48)</f>
        <v>20.439285714285713</v>
      </c>
    </row>
    <row r="50" spans="2:6" x14ac:dyDescent="0.15">
      <c r="B50" t="s">
        <v>1206</v>
      </c>
      <c r="C50" s="114">
        <f>F49/C49</f>
        <v>5.1098214285714282E-2</v>
      </c>
    </row>
    <row r="51" spans="2:6" x14ac:dyDescent="0.15">
      <c r="B51" s="241"/>
      <c r="C51" s="241"/>
      <c r="D51" s="241"/>
      <c r="E51" s="241"/>
      <c r="F51" s="241"/>
    </row>
    <row r="52" spans="2:6" x14ac:dyDescent="0.15">
      <c r="B52" s="241"/>
      <c r="C52" s="241"/>
      <c r="D52" s="241"/>
      <c r="E52" s="241"/>
      <c r="F52" s="241"/>
    </row>
    <row r="53" spans="2:6" ht="23" x14ac:dyDescent="0.25">
      <c r="B53" s="185" t="s">
        <v>1101</v>
      </c>
      <c r="C53" s="185"/>
      <c r="D53" s="185"/>
      <c r="E53" s="185"/>
      <c r="F53" s="185"/>
    </row>
    <row r="54" spans="2:6" x14ac:dyDescent="0.15">
      <c r="B54" s="191"/>
      <c r="C54" s="191"/>
      <c r="D54" s="191"/>
      <c r="E54" s="191"/>
      <c r="F54" s="191"/>
    </row>
    <row r="55" spans="2:6" ht="16" x14ac:dyDescent="0.2">
      <c r="B55" s="119" t="s">
        <v>1122</v>
      </c>
      <c r="C55" s="119" t="s">
        <v>1123</v>
      </c>
      <c r="D55" s="119" t="s">
        <v>1124</v>
      </c>
      <c r="E55" s="119" t="s">
        <v>1125</v>
      </c>
      <c r="F55" s="119" t="s">
        <v>1126</v>
      </c>
    </row>
    <row r="56" spans="2:6" x14ac:dyDescent="0.15">
      <c r="B56" s="108" t="s">
        <v>1411</v>
      </c>
      <c r="C56" s="106">
        <v>250</v>
      </c>
      <c r="D56" s="108" t="s">
        <v>1129</v>
      </c>
      <c r="E56" s="107">
        <f>INGREDIENTS!F117</f>
        <v>4.4999999999999997E-3</v>
      </c>
      <c r="F56" s="107">
        <f>E56*C56</f>
        <v>1.125</v>
      </c>
    </row>
    <row r="57" spans="2:6" x14ac:dyDescent="0.15">
      <c r="B57" s="108" t="s">
        <v>1038</v>
      </c>
      <c r="C57" s="106">
        <v>125</v>
      </c>
      <c r="D57" s="108" t="s">
        <v>1129</v>
      </c>
      <c r="E57" s="107">
        <f>INGREDIENTS!F88</f>
        <v>1.8800000000000001E-2</v>
      </c>
      <c r="F57" s="107">
        <f t="shared" ref="F57:F66" si="4">E57*C57</f>
        <v>2.35</v>
      </c>
    </row>
    <row r="58" spans="2:6" x14ac:dyDescent="0.15">
      <c r="B58" s="108" t="s">
        <v>1062</v>
      </c>
      <c r="C58" s="106">
        <v>120</v>
      </c>
      <c r="D58" s="108" t="s">
        <v>1129</v>
      </c>
      <c r="E58" s="107">
        <f>INGREDIENTS!F110</f>
        <v>3.5000000000000001E-3</v>
      </c>
      <c r="F58" s="107">
        <f t="shared" si="4"/>
        <v>0.42</v>
      </c>
    </row>
    <row r="59" spans="2:6" x14ac:dyDescent="0.15">
      <c r="B59" s="108" t="s">
        <v>1081</v>
      </c>
      <c r="C59" s="106">
        <v>30</v>
      </c>
      <c r="D59" s="108" t="s">
        <v>1129</v>
      </c>
      <c r="E59" s="107">
        <f>INGREDIENTS!F123</f>
        <v>0.01</v>
      </c>
      <c r="F59" s="107">
        <f t="shared" si="4"/>
        <v>0.3</v>
      </c>
    </row>
    <row r="60" spans="2:6" x14ac:dyDescent="0.15">
      <c r="B60" s="108" t="s">
        <v>1094</v>
      </c>
      <c r="C60" s="106">
        <v>10</v>
      </c>
      <c r="D60" s="108" t="s">
        <v>1129</v>
      </c>
      <c r="E60" s="107">
        <f>INGREDIENTS!F133</f>
        <v>0.01</v>
      </c>
      <c r="F60" s="107">
        <f t="shared" si="4"/>
        <v>0.1</v>
      </c>
    </row>
    <row r="61" spans="2:6" x14ac:dyDescent="0.15">
      <c r="B61" s="108" t="s">
        <v>1412</v>
      </c>
      <c r="C61" s="106">
        <v>10</v>
      </c>
      <c r="D61" s="108" t="s">
        <v>1129</v>
      </c>
      <c r="E61" s="107">
        <f>INGREDIENTS!F165</f>
        <v>6.4000000000000001E-2</v>
      </c>
      <c r="F61" s="107">
        <f t="shared" si="4"/>
        <v>0.64</v>
      </c>
    </row>
    <row r="62" spans="2:6" x14ac:dyDescent="0.15">
      <c r="B62" s="108" t="s">
        <v>1413</v>
      </c>
      <c r="C62" s="106">
        <v>20</v>
      </c>
      <c r="D62" s="108" t="s">
        <v>1129</v>
      </c>
      <c r="E62" s="107">
        <f>INGREDIENTS!F89</f>
        <v>0.22</v>
      </c>
      <c r="F62" s="107">
        <f t="shared" si="4"/>
        <v>4.4000000000000004</v>
      </c>
    </row>
    <row r="63" spans="2:6" x14ac:dyDescent="0.15">
      <c r="B63" s="108" t="s">
        <v>1131</v>
      </c>
      <c r="C63" s="106">
        <v>10</v>
      </c>
      <c r="D63" s="108" t="s">
        <v>1129</v>
      </c>
      <c r="E63" s="107">
        <f>INGREDIENTS!F91</f>
        <v>7.5999999999999998E-2</v>
      </c>
      <c r="F63" s="107">
        <f t="shared" si="4"/>
        <v>0.76</v>
      </c>
    </row>
    <row r="64" spans="2:6" x14ac:dyDescent="0.15">
      <c r="B64" s="108" t="s">
        <v>1082</v>
      </c>
      <c r="C64" s="106">
        <v>10</v>
      </c>
      <c r="D64" s="108" t="s">
        <v>1129</v>
      </c>
      <c r="E64" s="107">
        <f>INGREDIENTS!F124</f>
        <v>4.7999999999999996E-3</v>
      </c>
      <c r="F64" s="107">
        <f t="shared" si="4"/>
        <v>4.7999999999999994E-2</v>
      </c>
    </row>
    <row r="65" spans="2:6" x14ac:dyDescent="0.15">
      <c r="B65" s="108" t="s">
        <v>1089</v>
      </c>
      <c r="C65" s="106">
        <v>3</v>
      </c>
      <c r="D65" s="108" t="s">
        <v>1129</v>
      </c>
      <c r="E65" s="107">
        <f>INGREDIENTS!F130</f>
        <v>4.9000000000000002E-2</v>
      </c>
      <c r="F65" s="107">
        <f t="shared" si="4"/>
        <v>0.14700000000000002</v>
      </c>
    </row>
    <row r="66" spans="2:6" x14ac:dyDescent="0.15">
      <c r="B66" s="108" t="s">
        <v>1414</v>
      </c>
      <c r="C66" s="106">
        <v>1</v>
      </c>
      <c r="D66" s="108" t="s">
        <v>1415</v>
      </c>
      <c r="E66" s="107">
        <f>0</f>
        <v>0</v>
      </c>
      <c r="F66" s="107">
        <f t="shared" si="4"/>
        <v>0</v>
      </c>
    </row>
    <row r="67" spans="2:6" ht="18" x14ac:dyDescent="0.2">
      <c r="B67" t="s">
        <v>1199</v>
      </c>
      <c r="C67" s="105">
        <v>1000</v>
      </c>
      <c r="F67" s="118">
        <f>SUM(F56:F66)</f>
        <v>10.290000000000001</v>
      </c>
    </row>
    <row r="68" spans="2:6" x14ac:dyDescent="0.15">
      <c r="B68" t="s">
        <v>1206</v>
      </c>
      <c r="C68" s="114">
        <f>F67/C67</f>
        <v>1.0290000000000001E-2</v>
      </c>
    </row>
    <row r="69" spans="2:6" x14ac:dyDescent="0.15">
      <c r="B69" s="241"/>
      <c r="C69" s="241"/>
      <c r="D69" s="241"/>
      <c r="E69" s="241"/>
      <c r="F69" s="241"/>
    </row>
    <row r="70" spans="2:6" x14ac:dyDescent="0.15">
      <c r="B70" s="241"/>
      <c r="C70" s="241"/>
      <c r="D70" s="241"/>
      <c r="E70" s="241"/>
      <c r="F70" s="241"/>
    </row>
    <row r="71" spans="2:6" ht="23" x14ac:dyDescent="0.25">
      <c r="B71" s="185" t="s">
        <v>1751</v>
      </c>
      <c r="C71" s="185"/>
      <c r="D71" s="185"/>
      <c r="E71" s="185"/>
      <c r="F71" s="185"/>
    </row>
    <row r="72" spans="2:6" x14ac:dyDescent="0.15">
      <c r="B72" s="191"/>
      <c r="C72" s="191"/>
      <c r="D72" s="191"/>
      <c r="E72" s="191"/>
      <c r="F72" s="191"/>
    </row>
    <row r="73" spans="2:6" ht="16" x14ac:dyDescent="0.2">
      <c r="B73" s="119" t="s">
        <v>1122</v>
      </c>
      <c r="C73" s="119" t="s">
        <v>1123</v>
      </c>
      <c r="D73" s="119" t="s">
        <v>1124</v>
      </c>
      <c r="E73" s="119" t="s">
        <v>1125</v>
      </c>
      <c r="F73" s="119" t="s">
        <v>1126</v>
      </c>
    </row>
    <row r="74" spans="2:6" x14ac:dyDescent="0.15">
      <c r="B74" s="108" t="s">
        <v>1655</v>
      </c>
      <c r="C74" s="106">
        <v>500</v>
      </c>
      <c r="D74" s="108" t="s">
        <v>1129</v>
      </c>
      <c r="E74" s="107" t="e">
        <f>INGREDIENTS!#REF!</f>
        <v>#REF!</v>
      </c>
      <c r="F74" s="107" t="e">
        <f>E74*C74</f>
        <v>#REF!</v>
      </c>
    </row>
    <row r="75" spans="2:6" x14ac:dyDescent="0.15">
      <c r="B75" s="108" t="s">
        <v>1055</v>
      </c>
      <c r="C75" s="106">
        <v>500</v>
      </c>
      <c r="D75" s="108" t="s">
        <v>1129</v>
      </c>
      <c r="E75" s="107" t="e">
        <f>INGREDIENTS!#REF!</f>
        <v>#REF!</v>
      </c>
      <c r="F75" s="107" t="e">
        <f>E75*C75</f>
        <v>#REF!</v>
      </c>
    </row>
    <row r="76" spans="2:6" x14ac:dyDescent="0.15">
      <c r="B76" s="108" t="s">
        <v>1162</v>
      </c>
      <c r="C76" s="106">
        <v>60</v>
      </c>
      <c r="D76" s="108" t="s">
        <v>1001</v>
      </c>
      <c r="E76" s="107">
        <f>INGREDIENTS!$F$132</f>
        <v>1.6E-2</v>
      </c>
      <c r="F76" s="107">
        <f>E76*C76</f>
        <v>0.96</v>
      </c>
    </row>
    <row r="77" spans="2:6" x14ac:dyDescent="0.15">
      <c r="B77" s="108" t="s">
        <v>1198</v>
      </c>
      <c r="C77" s="106">
        <v>150</v>
      </c>
      <c r="D77" s="108" t="s">
        <v>1129</v>
      </c>
      <c r="E77" s="107">
        <f>INGREDIENTS!$F$164</f>
        <v>4.7999999999999996E-3</v>
      </c>
      <c r="F77" s="107">
        <f>E77*C77</f>
        <v>0.72</v>
      </c>
    </row>
    <row r="78" spans="2:6" x14ac:dyDescent="0.15">
      <c r="B78" s="108" t="s">
        <v>1175</v>
      </c>
      <c r="C78" s="106">
        <v>50</v>
      </c>
      <c r="D78" s="108" t="s">
        <v>1001</v>
      </c>
      <c r="E78" s="107">
        <f>INGREDIENTS!$F$108</f>
        <v>9.4999999999999998E-3</v>
      </c>
      <c r="F78" s="107">
        <f>E78*C78</f>
        <v>0.47499999999999998</v>
      </c>
    </row>
    <row r="79" spans="2:6" x14ac:dyDescent="0.15">
      <c r="B79" s="108" t="s">
        <v>1094</v>
      </c>
      <c r="C79" s="106">
        <v>2</v>
      </c>
      <c r="D79" s="108" t="s">
        <v>1129</v>
      </c>
      <c r="E79" s="107">
        <f>INGREDIENTS!$F$133</f>
        <v>0.01</v>
      </c>
      <c r="F79" s="107">
        <f>E79*C79</f>
        <v>0.02</v>
      </c>
    </row>
    <row r="80" spans="2:6" x14ac:dyDescent="0.15">
      <c r="B80" s="108"/>
      <c r="C80" s="106"/>
      <c r="D80" s="108"/>
      <c r="E80" s="107">
        <v>0</v>
      </c>
      <c r="F80" s="107">
        <f>E80*C80</f>
        <v>0</v>
      </c>
    </row>
    <row r="81" spans="2:6" x14ac:dyDescent="0.15">
      <c r="B81" s="108"/>
      <c r="C81" s="106"/>
      <c r="D81" s="108"/>
      <c r="E81" s="107">
        <v>0</v>
      </c>
      <c r="F81" s="107">
        <f>E81*C81</f>
        <v>0</v>
      </c>
    </row>
    <row r="82" spans="2:6" x14ac:dyDescent="0.15">
      <c r="B82" s="108"/>
      <c r="C82" s="106"/>
      <c r="D82" s="108"/>
      <c r="E82" s="107">
        <v>0</v>
      </c>
      <c r="F82" s="107">
        <f>E82*C82</f>
        <v>0</v>
      </c>
    </row>
    <row r="83" spans="2:6" x14ac:dyDescent="0.15">
      <c r="B83" s="108"/>
      <c r="C83" s="106"/>
      <c r="D83" s="108"/>
      <c r="E83" s="107">
        <v>0</v>
      </c>
      <c r="F83" s="107">
        <f>E83*C83</f>
        <v>0</v>
      </c>
    </row>
    <row r="84" spans="2:6" x14ac:dyDescent="0.15">
      <c r="B84" s="108"/>
      <c r="C84" s="106"/>
      <c r="D84" s="108"/>
      <c r="E84" s="107">
        <f>0</f>
        <v>0</v>
      </c>
      <c r="F84" s="107">
        <f>E84*C84</f>
        <v>0</v>
      </c>
    </row>
    <row r="85" spans="2:6" ht="18" x14ac:dyDescent="0.2">
      <c r="B85" t="s">
        <v>1199</v>
      </c>
      <c r="C85" s="105">
        <v>660</v>
      </c>
      <c r="F85" s="118"/>
    </row>
    <row r="86" spans="2:6" x14ac:dyDescent="0.15">
      <c r="B86" s="54" t="s">
        <v>1663</v>
      </c>
      <c r="C86" s="105">
        <f>C85/15</f>
        <v>44</v>
      </c>
    </row>
    <row r="88" spans="2:6" x14ac:dyDescent="0.15">
      <c r="E88" s="129" t="s">
        <v>1490</v>
      </c>
      <c r="F88" s="114" t="e">
        <f>SUM(F74:F83)</f>
        <v>#REF!</v>
      </c>
    </row>
    <row r="89" spans="2:6" x14ac:dyDescent="0.15">
      <c r="C89" s="139" t="s">
        <v>1493</v>
      </c>
      <c r="D89" s="140" t="s">
        <v>1494</v>
      </c>
      <c r="E89" s="141" t="s">
        <v>1496</v>
      </c>
      <c r="F89" s="133" t="s">
        <v>1495</v>
      </c>
    </row>
    <row r="90" spans="2:6" x14ac:dyDescent="0.15">
      <c r="C90" s="129">
        <f>C85/10</f>
        <v>66</v>
      </c>
      <c r="D90" s="114">
        <v>1.5</v>
      </c>
      <c r="E90" s="138" t="e">
        <f>F88/F90</f>
        <v>#REF!</v>
      </c>
      <c r="F90" s="137" t="e">
        <f>(C90*D90)-F88</f>
        <v>#REF!</v>
      </c>
    </row>
    <row r="91" spans="2:6" x14ac:dyDescent="0.15">
      <c r="C91" s="129">
        <f>C85/15</f>
        <v>44</v>
      </c>
      <c r="D91" s="114">
        <v>1.5</v>
      </c>
      <c r="E91" s="138" t="e">
        <f>F88/F91</f>
        <v>#REF!</v>
      </c>
      <c r="F91" s="137" t="e">
        <f>(C91*D91)-F88</f>
        <v>#REF!</v>
      </c>
    </row>
    <row r="92" spans="2:6" x14ac:dyDescent="0.15">
      <c r="C92" s="129">
        <f>C85/20</f>
        <v>33</v>
      </c>
      <c r="D92" s="114">
        <v>1.5</v>
      </c>
      <c r="E92" s="138" t="e">
        <f>F88/F92</f>
        <v>#REF!</v>
      </c>
      <c r="F92" s="137" t="e">
        <f>(C92*D92)-F88</f>
        <v>#REF!</v>
      </c>
    </row>
    <row r="93" spans="2:6" x14ac:dyDescent="0.15">
      <c r="B93" s="241"/>
      <c r="C93" s="241"/>
      <c r="D93" s="241"/>
      <c r="E93" s="241"/>
      <c r="F93" s="241"/>
    </row>
    <row r="94" spans="2:6" x14ac:dyDescent="0.15">
      <c r="B94" s="241"/>
      <c r="C94" s="241"/>
      <c r="D94" s="241"/>
      <c r="E94" s="241"/>
      <c r="F94" s="241"/>
    </row>
    <row r="95" spans="2:6" x14ac:dyDescent="0.15">
      <c r="B95" s="239" t="s">
        <v>1739</v>
      </c>
      <c r="C95" s="239"/>
      <c r="D95" s="239"/>
      <c r="E95" s="239"/>
      <c r="F95" s="239"/>
    </row>
    <row r="96" spans="2:6" x14ac:dyDescent="0.15">
      <c r="B96" s="239"/>
      <c r="C96" s="239"/>
      <c r="D96" s="239"/>
      <c r="E96" s="239"/>
      <c r="F96" s="239"/>
    </row>
    <row r="97" spans="2:6" ht="16" x14ac:dyDescent="0.2">
      <c r="B97" s="235" t="s">
        <v>1122</v>
      </c>
      <c r="C97" s="235" t="s">
        <v>1123</v>
      </c>
      <c r="D97" s="235" t="s">
        <v>1124</v>
      </c>
      <c r="E97" s="235" t="s">
        <v>1125</v>
      </c>
      <c r="F97" s="235" t="s">
        <v>1126</v>
      </c>
    </row>
    <row r="98" spans="2:6" x14ac:dyDescent="0.15">
      <c r="B98" s="231"/>
      <c r="C98" s="231"/>
      <c r="D98" s="231"/>
      <c r="E98" s="233"/>
      <c r="F98" s="233">
        <f>E98*C98</f>
        <v>0</v>
      </c>
    </row>
    <row r="99" spans="2:6" x14ac:dyDescent="0.15">
      <c r="B99" s="231"/>
      <c r="C99" s="231"/>
      <c r="D99" s="231"/>
      <c r="E99" s="233"/>
      <c r="F99" s="233">
        <f>E99*C99</f>
        <v>0</v>
      </c>
    </row>
    <row r="100" spans="2:6" x14ac:dyDescent="0.15">
      <c r="B100" s="231"/>
      <c r="C100" s="231"/>
      <c r="D100" s="231"/>
      <c r="E100" s="233"/>
      <c r="F100" s="233">
        <f>E100*C100</f>
        <v>0</v>
      </c>
    </row>
    <row r="101" spans="2:6" x14ac:dyDescent="0.15">
      <c r="B101" s="231"/>
      <c r="C101" s="231"/>
      <c r="D101" s="231"/>
      <c r="E101" s="233"/>
      <c r="F101" s="233">
        <f>E101*C101</f>
        <v>0</v>
      </c>
    </row>
    <row r="102" spans="2:6" x14ac:dyDescent="0.15">
      <c r="B102" s="231"/>
      <c r="C102" s="231"/>
      <c r="D102" s="231"/>
      <c r="E102" s="233"/>
      <c r="F102" s="233">
        <f>E102*C102</f>
        <v>0</v>
      </c>
    </row>
    <row r="103" spans="2:6" x14ac:dyDescent="0.15">
      <c r="B103" s="231"/>
      <c r="C103" s="231"/>
      <c r="D103" s="231"/>
      <c r="E103" s="233"/>
      <c r="F103" s="233">
        <f>E103*C103</f>
        <v>0</v>
      </c>
    </row>
    <row r="104" spans="2:6" x14ac:dyDescent="0.15">
      <c r="B104" s="231"/>
      <c r="C104" s="231"/>
      <c r="D104" s="231"/>
      <c r="E104" s="233"/>
      <c r="F104" s="233">
        <f>E104*C104</f>
        <v>0</v>
      </c>
    </row>
    <row r="105" spans="2:6" x14ac:dyDescent="0.15">
      <c r="B105" s="231"/>
      <c r="C105" s="231"/>
      <c r="D105" s="231"/>
      <c r="E105" s="233"/>
      <c r="F105" s="233">
        <f>E105*C105</f>
        <v>0</v>
      </c>
    </row>
    <row r="106" spans="2:6" x14ac:dyDescent="0.15">
      <c r="B106" s="231"/>
      <c r="C106" s="231"/>
      <c r="D106" s="231"/>
      <c r="E106" s="233"/>
      <c r="F106" s="233">
        <f>E106*C106</f>
        <v>0</v>
      </c>
    </row>
    <row r="107" spans="2:6" ht="14" x14ac:dyDescent="0.15">
      <c r="B107" s="229"/>
      <c r="C107" s="229"/>
      <c r="D107" s="229"/>
      <c r="E107" s="229"/>
      <c r="F107" s="240">
        <f>SUM(F98:F106)</f>
        <v>0</v>
      </c>
    </row>
    <row r="108" spans="2:6" x14ac:dyDescent="0.15">
      <c r="B108" s="231" t="s">
        <v>1132</v>
      </c>
      <c r="C108" s="233">
        <v>18</v>
      </c>
      <c r="D108" s="229"/>
      <c r="F108" s="229"/>
    </row>
    <row r="109" spans="2:6" x14ac:dyDescent="0.15">
      <c r="B109" s="231" t="s">
        <v>1125</v>
      </c>
      <c r="C109" s="233">
        <f>F107</f>
        <v>0</v>
      </c>
      <c r="D109" s="232">
        <f>C109/C108</f>
        <v>0</v>
      </c>
      <c r="F109" s="229"/>
    </row>
    <row r="110" spans="2:6" x14ac:dyDescent="0.15">
      <c r="B110" s="231" t="s">
        <v>1133</v>
      </c>
      <c r="C110" s="230">
        <f>C108-C109</f>
        <v>18</v>
      </c>
      <c r="D110" s="229"/>
      <c r="F110" s="229"/>
    </row>
    <row r="111" spans="2:6" x14ac:dyDescent="0.15">
      <c r="B111" s="241"/>
      <c r="C111" s="241"/>
      <c r="D111" s="241"/>
      <c r="E111" s="241"/>
      <c r="F111" s="241"/>
    </row>
    <row r="112" spans="2:6" x14ac:dyDescent="0.15">
      <c r="B112" s="241"/>
      <c r="C112" s="241"/>
      <c r="D112" s="241"/>
      <c r="E112" s="241"/>
      <c r="F112" s="241"/>
    </row>
    <row r="113" spans="2:6" x14ac:dyDescent="0.15">
      <c r="B113" s="239" t="s">
        <v>1740</v>
      </c>
      <c r="C113" s="239"/>
      <c r="D113" s="239"/>
      <c r="E113" s="239"/>
      <c r="F113" s="239"/>
    </row>
    <row r="114" spans="2:6" x14ac:dyDescent="0.15">
      <c r="B114" s="239"/>
      <c r="C114" s="239"/>
      <c r="D114" s="239"/>
      <c r="E114" s="239"/>
      <c r="F114" s="239"/>
    </row>
    <row r="115" spans="2:6" ht="16" x14ac:dyDescent="0.2">
      <c r="B115" s="235" t="s">
        <v>1122</v>
      </c>
      <c r="C115" s="242" t="s">
        <v>1123</v>
      </c>
      <c r="D115" s="242" t="s">
        <v>1124</v>
      </c>
      <c r="E115" s="242" t="s">
        <v>1125</v>
      </c>
      <c r="F115" s="242" t="s">
        <v>1126</v>
      </c>
    </row>
    <row r="116" spans="2:6" x14ac:dyDescent="0.15">
      <c r="B116" s="231"/>
      <c r="C116" s="231"/>
      <c r="D116" s="231"/>
      <c r="E116" s="233"/>
      <c r="F116" s="233">
        <f>E116*C116</f>
        <v>0</v>
      </c>
    </row>
    <row r="117" spans="2:6" x14ac:dyDescent="0.15">
      <c r="B117" s="231"/>
      <c r="C117" s="231"/>
      <c r="D117" s="231"/>
      <c r="E117" s="233"/>
      <c r="F117" s="233">
        <f>E117*C117</f>
        <v>0</v>
      </c>
    </row>
    <row r="118" spans="2:6" x14ac:dyDescent="0.15">
      <c r="B118" s="231"/>
      <c r="C118" s="231"/>
      <c r="D118" s="231"/>
      <c r="E118" s="233"/>
      <c r="F118" s="233">
        <f>E118*C118</f>
        <v>0</v>
      </c>
    </row>
    <row r="119" spans="2:6" x14ac:dyDescent="0.15">
      <c r="B119" s="231"/>
      <c r="C119" s="231"/>
      <c r="D119" s="231"/>
      <c r="E119" s="233"/>
      <c r="F119" s="233">
        <f>E119*C119</f>
        <v>0</v>
      </c>
    </row>
    <row r="120" spans="2:6" x14ac:dyDescent="0.15">
      <c r="B120" s="231"/>
      <c r="C120" s="231"/>
      <c r="D120" s="231"/>
      <c r="E120" s="233"/>
      <c r="F120" s="233">
        <f>E120*C120</f>
        <v>0</v>
      </c>
    </row>
    <row r="121" spans="2:6" x14ac:dyDescent="0.15">
      <c r="B121" s="231"/>
      <c r="C121" s="231"/>
      <c r="D121" s="231"/>
      <c r="E121" s="233"/>
      <c r="F121" s="233">
        <f>E121*C121</f>
        <v>0</v>
      </c>
    </row>
    <row r="122" spans="2:6" x14ac:dyDescent="0.15">
      <c r="B122" s="231"/>
      <c r="C122" s="231"/>
      <c r="D122" s="231"/>
      <c r="E122" s="233"/>
      <c r="F122" s="233">
        <f>E122*C122</f>
        <v>0</v>
      </c>
    </row>
    <row r="123" spans="2:6" x14ac:dyDescent="0.15">
      <c r="B123" s="231"/>
      <c r="C123" s="231"/>
      <c r="D123" s="231"/>
      <c r="E123" s="233"/>
      <c r="F123" s="233">
        <f>E123*C123</f>
        <v>0</v>
      </c>
    </row>
    <row r="124" spans="2:6" x14ac:dyDescent="0.15">
      <c r="B124" s="231"/>
      <c r="C124" s="231"/>
      <c r="D124" s="231"/>
      <c r="E124" s="233"/>
      <c r="F124" s="233">
        <f>E124*C124</f>
        <v>0</v>
      </c>
    </row>
    <row r="125" spans="2:6" ht="14" x14ac:dyDescent="0.15">
      <c r="B125" s="229"/>
      <c r="C125" s="229"/>
      <c r="D125" s="229"/>
      <c r="E125" s="229"/>
      <c r="F125" s="240">
        <f>SUM(F116:F124)</f>
        <v>0</v>
      </c>
    </row>
    <row r="126" spans="2:6" x14ac:dyDescent="0.15">
      <c r="B126" s="231" t="s">
        <v>1132</v>
      </c>
      <c r="C126" s="233">
        <v>0</v>
      </c>
      <c r="D126" s="229"/>
      <c r="F126" s="229"/>
    </row>
    <row r="127" spans="2:6" x14ac:dyDescent="0.15">
      <c r="B127" s="231" t="s">
        <v>1125</v>
      </c>
      <c r="C127" s="233">
        <f>F125</f>
        <v>0</v>
      </c>
      <c r="D127" s="232" t="e">
        <f>C127/C126</f>
        <v>#DIV/0!</v>
      </c>
      <c r="F127" s="229"/>
    </row>
    <row r="128" spans="2:6" x14ac:dyDescent="0.15">
      <c r="B128" s="231" t="s">
        <v>1133</v>
      </c>
      <c r="C128" s="230">
        <f>C126-C127</f>
        <v>0</v>
      </c>
      <c r="D128" s="229"/>
      <c r="F128" s="229"/>
    </row>
    <row r="129" spans="2:6" x14ac:dyDescent="0.15">
      <c r="B129" s="237"/>
      <c r="C129" s="237"/>
      <c r="D129" s="237"/>
      <c r="E129" s="237"/>
      <c r="F129" s="238"/>
    </row>
    <row r="130" spans="2:6" x14ac:dyDescent="0.15">
      <c r="B130" s="237"/>
      <c r="C130" s="237"/>
      <c r="D130" s="237"/>
      <c r="E130" s="237"/>
      <c r="F130" s="238"/>
    </row>
    <row r="131" spans="2:6" x14ac:dyDescent="0.15">
      <c r="B131" s="239" t="s">
        <v>1752</v>
      </c>
      <c r="C131" s="239"/>
      <c r="D131" s="239"/>
      <c r="E131" s="239"/>
      <c r="F131" s="239"/>
    </row>
    <row r="132" spans="2:6" x14ac:dyDescent="0.15">
      <c r="B132" s="239"/>
      <c r="C132" s="239"/>
      <c r="D132" s="239"/>
      <c r="E132" s="239"/>
      <c r="F132" s="239"/>
    </row>
    <row r="133" spans="2:6" ht="16" x14ac:dyDescent="0.2">
      <c r="B133" s="235" t="s">
        <v>1122</v>
      </c>
      <c r="C133" s="242" t="s">
        <v>1123</v>
      </c>
      <c r="D133" s="242" t="s">
        <v>1124</v>
      </c>
      <c r="E133" s="242" t="s">
        <v>1125</v>
      </c>
      <c r="F133" s="242" t="s">
        <v>1126</v>
      </c>
    </row>
    <row r="134" spans="2:6" x14ac:dyDescent="0.15">
      <c r="B134" s="231"/>
      <c r="C134" s="231"/>
      <c r="D134" s="231"/>
      <c r="E134" s="233"/>
      <c r="F134" s="233">
        <f>E134*C134</f>
        <v>0</v>
      </c>
    </row>
    <row r="135" spans="2:6" x14ac:dyDescent="0.15">
      <c r="B135" s="231"/>
      <c r="C135" s="231"/>
      <c r="D135" s="231"/>
      <c r="E135" s="233"/>
      <c r="F135" s="233">
        <f>E135*C135</f>
        <v>0</v>
      </c>
    </row>
    <row r="136" spans="2:6" x14ac:dyDescent="0.15">
      <c r="B136" s="231"/>
      <c r="C136" s="231"/>
      <c r="D136" s="231"/>
      <c r="E136" s="233"/>
      <c r="F136" s="233">
        <f>E136*C136</f>
        <v>0</v>
      </c>
    </row>
    <row r="137" spans="2:6" x14ac:dyDescent="0.15">
      <c r="B137" s="231"/>
      <c r="C137" s="231"/>
      <c r="D137" s="231"/>
      <c r="E137" s="233"/>
      <c r="F137" s="233">
        <f>E137*C137</f>
        <v>0</v>
      </c>
    </row>
    <row r="138" spans="2:6" x14ac:dyDescent="0.15">
      <c r="B138" s="231"/>
      <c r="C138" s="231"/>
      <c r="D138" s="231"/>
      <c r="E138" s="233"/>
      <c r="F138" s="233">
        <f>E138*C138</f>
        <v>0</v>
      </c>
    </row>
    <row r="139" spans="2:6" x14ac:dyDescent="0.15">
      <c r="B139" s="231"/>
      <c r="C139" s="231"/>
      <c r="D139" s="231"/>
      <c r="E139" s="233"/>
      <c r="F139" s="233">
        <f>E139*C139</f>
        <v>0</v>
      </c>
    </row>
    <row r="140" spans="2:6" x14ac:dyDescent="0.15">
      <c r="B140" s="231"/>
      <c r="C140" s="231"/>
      <c r="D140" s="231"/>
      <c r="E140" s="233"/>
      <c r="F140" s="233">
        <f>E140*C140</f>
        <v>0</v>
      </c>
    </row>
    <row r="141" spans="2:6" x14ac:dyDescent="0.15">
      <c r="B141" s="231"/>
      <c r="C141" s="231"/>
      <c r="D141" s="231"/>
      <c r="E141" s="233"/>
      <c r="F141" s="233">
        <f>E141*C141</f>
        <v>0</v>
      </c>
    </row>
    <row r="142" spans="2:6" x14ac:dyDescent="0.15">
      <c r="B142" s="231"/>
      <c r="C142" s="231"/>
      <c r="D142" s="231"/>
      <c r="E142" s="233"/>
      <c r="F142" s="233">
        <f>E142*C142</f>
        <v>0</v>
      </c>
    </row>
    <row r="143" spans="2:6" ht="14" x14ac:dyDescent="0.15">
      <c r="B143" s="229"/>
      <c r="C143" s="229"/>
      <c r="D143" s="229"/>
      <c r="E143" s="229"/>
      <c r="F143" s="240">
        <f>SUM(F134:F142)</f>
        <v>0</v>
      </c>
    </row>
    <row r="144" spans="2:6" x14ac:dyDescent="0.15">
      <c r="B144" s="231" t="s">
        <v>1132</v>
      </c>
      <c r="C144" s="233">
        <v>0</v>
      </c>
      <c r="D144" s="229"/>
      <c r="F144" s="229"/>
    </row>
    <row r="145" spans="2:6" x14ac:dyDescent="0.15">
      <c r="B145" s="231" t="s">
        <v>1125</v>
      </c>
      <c r="C145" s="233">
        <f>F143</f>
        <v>0</v>
      </c>
      <c r="D145" s="232" t="e">
        <f>C145/C144</f>
        <v>#DIV/0!</v>
      </c>
      <c r="F145" s="229"/>
    </row>
    <row r="146" spans="2:6" x14ac:dyDescent="0.15">
      <c r="B146" s="231" t="s">
        <v>1133</v>
      </c>
      <c r="C146" s="230">
        <f>C144-C145</f>
        <v>0</v>
      </c>
      <c r="D146" s="229"/>
      <c r="F146" s="229"/>
    </row>
    <row r="147" spans="2:6" x14ac:dyDescent="0.15">
      <c r="B147" s="237"/>
      <c r="C147" s="237"/>
      <c r="D147" s="237"/>
      <c r="E147" s="237"/>
      <c r="F147" s="238"/>
    </row>
    <row r="148" spans="2:6" x14ac:dyDescent="0.15">
      <c r="B148" s="237"/>
      <c r="C148" s="237"/>
      <c r="D148" s="237"/>
      <c r="E148" s="237"/>
      <c r="F148" s="238"/>
    </row>
    <row r="149" spans="2:6" x14ac:dyDescent="0.15">
      <c r="B149" s="239" t="s">
        <v>1756</v>
      </c>
      <c r="C149" s="239"/>
      <c r="D149" s="239"/>
      <c r="E149" s="239"/>
      <c r="F149" s="239"/>
    </row>
    <row r="150" spans="2:6" x14ac:dyDescent="0.15">
      <c r="B150" s="239"/>
      <c r="C150" s="239"/>
      <c r="D150" s="239"/>
      <c r="E150" s="239"/>
      <c r="F150" s="239"/>
    </row>
    <row r="151" spans="2:6" ht="16" x14ac:dyDescent="0.2">
      <c r="B151" s="235" t="s">
        <v>1122</v>
      </c>
      <c r="C151" s="242" t="s">
        <v>1123</v>
      </c>
      <c r="D151" s="242" t="s">
        <v>1124</v>
      </c>
      <c r="E151" s="242" t="s">
        <v>1125</v>
      </c>
      <c r="F151" s="242" t="s">
        <v>1126</v>
      </c>
    </row>
    <row r="152" spans="2:6" x14ac:dyDescent="0.15">
      <c r="B152" s="231" t="s">
        <v>1484</v>
      </c>
      <c r="C152" s="231">
        <v>15</v>
      </c>
      <c r="D152" s="231" t="s">
        <v>1486</v>
      </c>
      <c r="E152" s="233"/>
      <c r="F152" s="233">
        <f>E152*C152</f>
        <v>0</v>
      </c>
    </row>
    <row r="153" spans="2:6" x14ac:dyDescent="0.15">
      <c r="B153" s="231" t="s">
        <v>1382</v>
      </c>
      <c r="C153" s="231">
        <v>150</v>
      </c>
      <c r="D153" s="231" t="s">
        <v>1757</v>
      </c>
      <c r="E153" s="233"/>
      <c r="F153" s="233">
        <f>E153*C153</f>
        <v>0</v>
      </c>
    </row>
    <row r="154" spans="2:6" x14ac:dyDescent="0.15">
      <c r="B154" s="231"/>
      <c r="C154" s="231"/>
      <c r="D154" s="231"/>
      <c r="E154" s="233"/>
      <c r="F154" s="233">
        <f>E154*C154</f>
        <v>0</v>
      </c>
    </row>
    <row r="155" spans="2:6" x14ac:dyDescent="0.15">
      <c r="B155" s="231"/>
      <c r="C155" s="231"/>
      <c r="D155" s="231"/>
      <c r="E155" s="233"/>
      <c r="F155" s="233">
        <f>E155*C155</f>
        <v>0</v>
      </c>
    </row>
    <row r="156" spans="2:6" x14ac:dyDescent="0.15">
      <c r="B156" s="231"/>
      <c r="C156" s="231"/>
      <c r="D156" s="231"/>
      <c r="E156" s="233"/>
      <c r="F156" s="233">
        <f>E156*C156</f>
        <v>0</v>
      </c>
    </row>
    <row r="157" spans="2:6" x14ac:dyDescent="0.15">
      <c r="B157" s="231"/>
      <c r="C157" s="231"/>
      <c r="D157" s="231"/>
      <c r="E157" s="233"/>
      <c r="F157" s="233">
        <f>E157*C157</f>
        <v>0</v>
      </c>
    </row>
    <row r="158" spans="2:6" x14ac:dyDescent="0.15">
      <c r="B158" s="231"/>
      <c r="C158" s="231"/>
      <c r="D158" s="231"/>
      <c r="E158" s="233"/>
      <c r="F158" s="233">
        <f>E158*C158</f>
        <v>0</v>
      </c>
    </row>
    <row r="159" spans="2:6" x14ac:dyDescent="0.15">
      <c r="B159" s="231"/>
      <c r="C159" s="231"/>
      <c r="D159" s="231"/>
      <c r="E159" s="233"/>
      <c r="F159" s="233">
        <f>E159*C159</f>
        <v>0</v>
      </c>
    </row>
    <row r="160" spans="2:6" x14ac:dyDescent="0.15">
      <c r="B160" s="231"/>
      <c r="C160" s="231"/>
      <c r="D160" s="231"/>
      <c r="E160" s="233"/>
      <c r="F160" s="233">
        <f>E160*C160</f>
        <v>0</v>
      </c>
    </row>
    <row r="161" spans="2:6" ht="14" x14ac:dyDescent="0.15">
      <c r="B161" s="229"/>
      <c r="C161" s="229"/>
      <c r="D161" s="229"/>
      <c r="E161" s="229"/>
      <c r="F161" s="240">
        <f>SUM(F152:F160)</f>
        <v>0</v>
      </c>
    </row>
    <row r="162" spans="2:6" x14ac:dyDescent="0.15">
      <c r="B162" s="231" t="s">
        <v>1132</v>
      </c>
      <c r="C162" s="233">
        <v>0</v>
      </c>
      <c r="D162" s="229"/>
      <c r="F162" s="229"/>
    </row>
    <row r="163" spans="2:6" x14ac:dyDescent="0.15">
      <c r="B163" s="231" t="s">
        <v>1125</v>
      </c>
      <c r="C163" s="233">
        <f>F161</f>
        <v>0</v>
      </c>
      <c r="D163" s="232" t="e">
        <f>C163/C162</f>
        <v>#DIV/0!</v>
      </c>
      <c r="F163" s="229"/>
    </row>
    <row r="164" spans="2:6" x14ac:dyDescent="0.15">
      <c r="B164" s="231" t="s">
        <v>1133</v>
      </c>
      <c r="C164" s="230">
        <f>C162-C163</f>
        <v>0</v>
      </c>
      <c r="D164" s="229"/>
      <c r="F164" s="229"/>
    </row>
    <row r="165" spans="2:6" x14ac:dyDescent="0.15">
      <c r="B165" s="237"/>
      <c r="C165" s="237"/>
      <c r="D165" s="237"/>
      <c r="E165" s="237"/>
      <c r="F165" s="238"/>
    </row>
    <row r="166" spans="2:6" x14ac:dyDescent="0.15">
      <c r="B166" s="237"/>
      <c r="C166" s="237"/>
      <c r="D166" s="237"/>
      <c r="E166" s="237"/>
      <c r="F166" s="238"/>
    </row>
    <row r="167" spans="2:6" x14ac:dyDescent="0.15">
      <c r="B167" s="239" t="s">
        <v>1777</v>
      </c>
      <c r="C167" s="239"/>
      <c r="D167" s="239"/>
      <c r="E167" s="239"/>
      <c r="F167" s="239"/>
    </row>
    <row r="168" spans="2:6" x14ac:dyDescent="0.15">
      <c r="B168" s="239"/>
      <c r="C168" s="239"/>
      <c r="D168" s="239"/>
      <c r="E168" s="239"/>
      <c r="F168" s="239"/>
    </row>
    <row r="169" spans="2:6" ht="16" x14ac:dyDescent="0.2">
      <c r="B169" s="235" t="s">
        <v>1122</v>
      </c>
      <c r="C169" s="242" t="s">
        <v>1123</v>
      </c>
      <c r="D169" s="242" t="s">
        <v>1124</v>
      </c>
      <c r="E169" s="242" t="s">
        <v>1125</v>
      </c>
      <c r="F169" s="242" t="s">
        <v>1126</v>
      </c>
    </row>
    <row r="170" spans="2:6" x14ac:dyDescent="0.15">
      <c r="B170" s="231" t="s">
        <v>1484</v>
      </c>
      <c r="C170" s="231">
        <v>15</v>
      </c>
      <c r="D170" s="231" t="s">
        <v>1486</v>
      </c>
      <c r="E170" s="233"/>
      <c r="F170" s="233">
        <f>E170*C170</f>
        <v>0</v>
      </c>
    </row>
    <row r="171" spans="2:6" x14ac:dyDescent="0.15">
      <c r="B171" s="231" t="s">
        <v>1382</v>
      </c>
      <c r="C171" s="231">
        <v>150</v>
      </c>
      <c r="D171" s="231" t="s">
        <v>1757</v>
      </c>
      <c r="E171" s="233"/>
      <c r="F171" s="233">
        <f>E171*C171</f>
        <v>0</v>
      </c>
    </row>
    <row r="172" spans="2:6" x14ac:dyDescent="0.15">
      <c r="B172" s="231"/>
      <c r="C172" s="231"/>
      <c r="D172" s="231"/>
      <c r="E172" s="233"/>
      <c r="F172" s="233">
        <f>E172*C172</f>
        <v>0</v>
      </c>
    </row>
    <row r="173" spans="2:6" x14ac:dyDescent="0.15">
      <c r="B173" s="231"/>
      <c r="C173" s="231"/>
      <c r="D173" s="231"/>
      <c r="E173" s="233"/>
      <c r="F173" s="233">
        <f>E173*C173</f>
        <v>0</v>
      </c>
    </row>
    <row r="174" spans="2:6" x14ac:dyDescent="0.15">
      <c r="B174" s="231"/>
      <c r="C174" s="231"/>
      <c r="D174" s="231"/>
      <c r="E174" s="233"/>
      <c r="F174" s="233">
        <f>E174*C174</f>
        <v>0</v>
      </c>
    </row>
    <row r="175" spans="2:6" x14ac:dyDescent="0.15">
      <c r="B175" s="231"/>
      <c r="C175" s="231"/>
      <c r="D175" s="231"/>
      <c r="E175" s="233"/>
      <c r="F175" s="233">
        <f>E175*C175</f>
        <v>0</v>
      </c>
    </row>
    <row r="176" spans="2:6" x14ac:dyDescent="0.15">
      <c r="B176" s="231"/>
      <c r="C176" s="231"/>
      <c r="D176" s="231"/>
      <c r="E176" s="233"/>
      <c r="F176" s="233">
        <f>E176*C176</f>
        <v>0</v>
      </c>
    </row>
    <row r="177" spans="2:6" x14ac:dyDescent="0.15">
      <c r="B177" s="231"/>
      <c r="C177" s="231"/>
      <c r="D177" s="231"/>
      <c r="E177" s="233"/>
      <c r="F177" s="233">
        <f>E177*C177</f>
        <v>0</v>
      </c>
    </row>
    <row r="178" spans="2:6" x14ac:dyDescent="0.15">
      <c r="B178" s="231"/>
      <c r="C178" s="231"/>
      <c r="D178" s="231"/>
      <c r="E178" s="233"/>
      <c r="F178" s="233">
        <f>E178*C178</f>
        <v>0</v>
      </c>
    </row>
    <row r="179" spans="2:6" ht="14" x14ac:dyDescent="0.15">
      <c r="B179" s="229"/>
      <c r="C179" s="229"/>
      <c r="D179" s="229"/>
      <c r="E179" s="229"/>
      <c r="F179" s="240">
        <f>SUM(F170:F178)</f>
        <v>0</v>
      </c>
    </row>
    <row r="180" spans="2:6" x14ac:dyDescent="0.15">
      <c r="B180" s="231" t="s">
        <v>1132</v>
      </c>
      <c r="C180" s="233">
        <v>0</v>
      </c>
      <c r="D180" s="229"/>
      <c r="F180" s="229"/>
    </row>
    <row r="181" spans="2:6" x14ac:dyDescent="0.15">
      <c r="B181" s="231" t="s">
        <v>1125</v>
      </c>
      <c r="C181" s="233">
        <f>F179</f>
        <v>0</v>
      </c>
      <c r="D181" s="232" t="e">
        <f>C181/C180</f>
        <v>#DIV/0!</v>
      </c>
      <c r="F181" s="229"/>
    </row>
    <row r="182" spans="2:6" x14ac:dyDescent="0.15">
      <c r="B182" s="231" t="s">
        <v>1133</v>
      </c>
      <c r="C182" s="230">
        <f>C180-C181</f>
        <v>0</v>
      </c>
      <c r="D182" s="229"/>
      <c r="F182" s="229"/>
    </row>
    <row r="183" spans="2:6" x14ac:dyDescent="0.15">
      <c r="B183" s="237"/>
      <c r="C183" s="237"/>
      <c r="D183" s="237"/>
      <c r="E183" s="237"/>
      <c r="F183" s="238"/>
    </row>
    <row r="184" spans="2:6" x14ac:dyDescent="0.15">
      <c r="B184" s="237"/>
      <c r="C184" s="237"/>
      <c r="D184" s="237"/>
      <c r="E184" s="237"/>
      <c r="F184" s="238"/>
    </row>
    <row r="185" spans="2:6" x14ac:dyDescent="0.15">
      <c r="B185" s="239" t="s">
        <v>1791</v>
      </c>
      <c r="C185" s="239"/>
      <c r="D185" s="239"/>
      <c r="E185" s="239"/>
      <c r="F185" s="239"/>
    </row>
    <row r="186" spans="2:6" x14ac:dyDescent="0.15">
      <c r="B186" s="239"/>
      <c r="C186" s="239"/>
      <c r="D186" s="239"/>
      <c r="E186" s="239"/>
      <c r="F186" s="239"/>
    </row>
    <row r="187" spans="2:6" ht="16" x14ac:dyDescent="0.2">
      <c r="B187" s="235" t="s">
        <v>1122</v>
      </c>
      <c r="C187" s="242" t="s">
        <v>1123</v>
      </c>
      <c r="D187" s="242" t="s">
        <v>1124</v>
      </c>
      <c r="E187" s="242" t="s">
        <v>1125</v>
      </c>
      <c r="F187" s="242" t="s">
        <v>1126</v>
      </c>
    </row>
    <row r="188" spans="2:6" x14ac:dyDescent="0.15">
      <c r="B188" s="231" t="s">
        <v>1792</v>
      </c>
      <c r="C188" s="231"/>
      <c r="D188" s="231"/>
      <c r="E188" s="233"/>
      <c r="F188" s="233">
        <f>E188*C188</f>
        <v>0</v>
      </c>
    </row>
    <row r="189" spans="2:6" x14ac:dyDescent="0.15">
      <c r="B189" s="231" t="s">
        <v>1593</v>
      </c>
      <c r="C189" s="231"/>
      <c r="D189" s="231"/>
      <c r="E189" s="233"/>
      <c r="F189" s="233">
        <f>E189*C189</f>
        <v>0</v>
      </c>
    </row>
    <row r="190" spans="2:6" x14ac:dyDescent="0.15">
      <c r="B190" s="231" t="s">
        <v>1478</v>
      </c>
      <c r="C190" s="231"/>
      <c r="D190" s="231"/>
      <c r="E190" s="233"/>
      <c r="F190" s="233">
        <f>E190*C190</f>
        <v>0</v>
      </c>
    </row>
    <row r="191" spans="2:6" x14ac:dyDescent="0.15">
      <c r="B191" s="231"/>
      <c r="C191" s="231"/>
      <c r="D191" s="231"/>
      <c r="E191" s="233"/>
      <c r="F191" s="233">
        <f>E191*C191</f>
        <v>0</v>
      </c>
    </row>
    <row r="192" spans="2:6" x14ac:dyDescent="0.15">
      <c r="B192" s="231"/>
      <c r="C192" s="231"/>
      <c r="D192" s="231"/>
      <c r="E192" s="233"/>
      <c r="F192" s="233">
        <f>E192*C192</f>
        <v>0</v>
      </c>
    </row>
    <row r="193" spans="2:6" x14ac:dyDescent="0.15">
      <c r="B193" s="231"/>
      <c r="C193" s="231"/>
      <c r="D193" s="231"/>
      <c r="E193" s="233"/>
      <c r="F193" s="233">
        <f>E193*C193</f>
        <v>0</v>
      </c>
    </row>
    <row r="194" spans="2:6" x14ac:dyDescent="0.15">
      <c r="B194" s="231"/>
      <c r="C194" s="231"/>
      <c r="D194" s="231"/>
      <c r="E194" s="233"/>
      <c r="F194" s="233">
        <f>E194*C194</f>
        <v>0</v>
      </c>
    </row>
    <row r="195" spans="2:6" x14ac:dyDescent="0.15">
      <c r="B195" s="231"/>
      <c r="C195" s="231"/>
      <c r="D195" s="231"/>
      <c r="E195" s="233"/>
      <c r="F195" s="233">
        <f>E195*C195</f>
        <v>0</v>
      </c>
    </row>
    <row r="196" spans="2:6" x14ac:dyDescent="0.15">
      <c r="B196" s="231"/>
      <c r="C196" s="231"/>
      <c r="D196" s="231"/>
      <c r="E196" s="233"/>
      <c r="F196" s="233">
        <f>E196*C196</f>
        <v>0</v>
      </c>
    </row>
    <row r="197" spans="2:6" ht="14" x14ac:dyDescent="0.15">
      <c r="B197" s="229"/>
      <c r="C197" s="229"/>
      <c r="D197" s="229"/>
      <c r="E197" s="229"/>
      <c r="F197" s="240">
        <f>SUM(F188:F196)</f>
        <v>0</v>
      </c>
    </row>
    <row r="198" spans="2:6" x14ac:dyDescent="0.15">
      <c r="B198" s="231" t="s">
        <v>1132</v>
      </c>
      <c r="C198" s="233">
        <v>0</v>
      </c>
      <c r="D198" s="229"/>
      <c r="F198" s="229"/>
    </row>
    <row r="199" spans="2:6" x14ac:dyDescent="0.15">
      <c r="B199" s="231" t="s">
        <v>1125</v>
      </c>
      <c r="C199" s="233">
        <f>F197</f>
        <v>0</v>
      </c>
      <c r="D199" s="232" t="e">
        <f>C199/C198</f>
        <v>#DIV/0!</v>
      </c>
      <c r="F199" s="229"/>
    </row>
    <row r="200" spans="2:6" x14ac:dyDescent="0.15">
      <c r="B200" s="231" t="s">
        <v>1133</v>
      </c>
      <c r="C200" s="230">
        <f>C198-C199</f>
        <v>0</v>
      </c>
      <c r="D200" s="229"/>
      <c r="F200" s="229"/>
    </row>
    <row r="201" spans="2:6" x14ac:dyDescent="0.15">
      <c r="B201" s="237"/>
      <c r="C201" s="237"/>
      <c r="D201" s="237"/>
      <c r="E201" s="237"/>
      <c r="F201" s="238"/>
    </row>
    <row r="202" spans="2:6" x14ac:dyDescent="0.15">
      <c r="B202" s="237"/>
      <c r="C202" s="237"/>
      <c r="D202" s="237"/>
      <c r="E202" s="237"/>
      <c r="F202" s="238"/>
    </row>
  </sheetData>
  <mergeCells count="26">
    <mergeCell ref="B167:F168"/>
    <mergeCell ref="B185:F186"/>
    <mergeCell ref="B95:F96"/>
    <mergeCell ref="B111:F112"/>
    <mergeCell ref="B113:F114"/>
    <mergeCell ref="B131:F132"/>
    <mergeCell ref="B149:F150"/>
    <mergeCell ref="B71:F71"/>
    <mergeCell ref="B72:F72"/>
    <mergeCell ref="B69:F70"/>
    <mergeCell ref="B93:F94"/>
    <mergeCell ref="B1:F2"/>
    <mergeCell ref="B37:F38"/>
    <mergeCell ref="B28:F28"/>
    <mergeCell ref="B3:F3"/>
    <mergeCell ref="B4:F4"/>
    <mergeCell ref="B15:F15"/>
    <mergeCell ref="B16:F16"/>
    <mergeCell ref="B27:F27"/>
    <mergeCell ref="B13:F14"/>
    <mergeCell ref="B25:F26"/>
    <mergeCell ref="B51:F52"/>
    <mergeCell ref="B53:F53"/>
    <mergeCell ref="B54:F54"/>
    <mergeCell ref="B39:F39"/>
    <mergeCell ref="B40:F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EFCD-4A71-D547-804E-52599E2A737B}">
  <dimension ref="B1:F253"/>
  <sheetViews>
    <sheetView tabSelected="1" topLeftCell="A137" zoomScale="125" workbookViewId="0">
      <selection activeCell="C141" sqref="C141"/>
    </sheetView>
  </sheetViews>
  <sheetFormatPr baseColWidth="10" defaultRowHeight="13" x14ac:dyDescent="0.15"/>
  <cols>
    <col min="1" max="1" width="3.33203125" customWidth="1"/>
    <col min="2" max="2" width="22.1640625" customWidth="1"/>
    <col min="6" max="6" width="12.1640625" bestFit="1" customWidth="1"/>
  </cols>
  <sheetData>
    <row r="1" spans="2:6" x14ac:dyDescent="0.15">
      <c r="B1" s="237"/>
      <c r="C1" s="237"/>
      <c r="D1" s="237"/>
      <c r="E1" s="237"/>
      <c r="F1" s="238"/>
    </row>
    <row r="2" spans="2:6" x14ac:dyDescent="0.15">
      <c r="B2" s="237"/>
      <c r="C2" s="237"/>
      <c r="D2" s="237"/>
      <c r="E2" s="237"/>
      <c r="F2" s="238"/>
    </row>
    <row r="3" spans="2:6" x14ac:dyDescent="0.15">
      <c r="B3" s="239" t="s">
        <v>1771</v>
      </c>
      <c r="C3" s="239"/>
      <c r="D3" s="239"/>
      <c r="E3" s="239"/>
      <c r="F3" s="239"/>
    </row>
    <row r="4" spans="2:6" x14ac:dyDescent="0.15">
      <c r="B4" s="239"/>
      <c r="C4" s="239"/>
      <c r="D4" s="239"/>
      <c r="E4" s="239"/>
      <c r="F4" s="239"/>
    </row>
    <row r="5" spans="2:6" ht="16" x14ac:dyDescent="0.2">
      <c r="B5" s="235" t="s">
        <v>1122</v>
      </c>
      <c r="C5" s="242" t="s">
        <v>1123</v>
      </c>
      <c r="D5" s="242" t="s">
        <v>1124</v>
      </c>
      <c r="E5" s="242" t="s">
        <v>1125</v>
      </c>
      <c r="F5" s="242" t="s">
        <v>1126</v>
      </c>
    </row>
    <row r="6" spans="2:6" x14ac:dyDescent="0.15">
      <c r="B6" s="231" t="s">
        <v>1766</v>
      </c>
      <c r="C6" s="231">
        <v>1</v>
      </c>
      <c r="D6" s="231" t="s">
        <v>1759</v>
      </c>
      <c r="E6" s="233">
        <f>INGREDIENTS!$F$288</f>
        <v>0.62857142857142867</v>
      </c>
      <c r="F6" s="233">
        <f>E6*C6</f>
        <v>0.62857142857142867</v>
      </c>
    </row>
    <row r="7" spans="2:6" x14ac:dyDescent="0.15">
      <c r="B7" s="231" t="s">
        <v>1767</v>
      </c>
      <c r="C7" s="231">
        <v>1</v>
      </c>
      <c r="D7" s="231" t="s">
        <v>1737</v>
      </c>
      <c r="E7" s="233">
        <f>INGREDIENTS!$F$51</f>
        <v>0.41428571428571426</v>
      </c>
      <c r="F7" s="233">
        <f>E7*C7</f>
        <v>0.41428571428571426</v>
      </c>
    </row>
    <row r="8" spans="2:6" x14ac:dyDescent="0.15">
      <c r="B8" s="231" t="s">
        <v>1770</v>
      </c>
      <c r="C8" s="231"/>
      <c r="D8" s="231"/>
      <c r="E8" s="233"/>
      <c r="F8" s="233">
        <f>E8*C8</f>
        <v>0</v>
      </c>
    </row>
    <row r="9" spans="2:6" x14ac:dyDescent="0.15">
      <c r="B9" s="231" t="s">
        <v>1781</v>
      </c>
      <c r="C9" s="231">
        <v>1</v>
      </c>
      <c r="D9" s="231"/>
      <c r="E9" s="233">
        <v>0.25</v>
      </c>
      <c r="F9" s="233">
        <f>E9*C9</f>
        <v>0.25</v>
      </c>
    </row>
    <row r="10" spans="2:6" x14ac:dyDescent="0.15">
      <c r="B10" s="231"/>
      <c r="C10" s="231"/>
      <c r="D10" s="231"/>
      <c r="E10" s="233"/>
      <c r="F10" s="233">
        <f>E10*C10</f>
        <v>0</v>
      </c>
    </row>
    <row r="11" spans="2:6" x14ac:dyDescent="0.15">
      <c r="B11" s="231"/>
      <c r="C11" s="231"/>
      <c r="D11" s="231"/>
      <c r="E11" s="233"/>
      <c r="F11" s="233">
        <f>E11*C11</f>
        <v>0</v>
      </c>
    </row>
    <row r="12" spans="2:6" x14ac:dyDescent="0.15">
      <c r="B12" s="231"/>
      <c r="C12" s="231"/>
      <c r="D12" s="231"/>
      <c r="E12" s="233"/>
      <c r="F12" s="233">
        <f>E12*C12</f>
        <v>0</v>
      </c>
    </row>
    <row r="13" spans="2:6" x14ac:dyDescent="0.15">
      <c r="B13" s="231"/>
      <c r="C13" s="231"/>
      <c r="D13" s="231"/>
      <c r="E13" s="233"/>
      <c r="F13" s="233">
        <f>E13*C13</f>
        <v>0</v>
      </c>
    </row>
    <row r="14" spans="2:6" x14ac:dyDescent="0.15">
      <c r="B14" s="231"/>
      <c r="C14" s="231"/>
      <c r="D14" s="231"/>
      <c r="E14" s="233"/>
      <c r="F14" s="233">
        <f>E14*C14</f>
        <v>0</v>
      </c>
    </row>
    <row r="15" spans="2:6" ht="14" x14ac:dyDescent="0.15">
      <c r="B15" s="229"/>
      <c r="C15" s="229"/>
      <c r="D15" s="229"/>
      <c r="E15" s="229"/>
      <c r="F15" s="240">
        <f>SUM(F6:F14)</f>
        <v>1.2928571428571429</v>
      </c>
    </row>
    <row r="16" spans="2:6" x14ac:dyDescent="0.15">
      <c r="B16" s="231" t="s">
        <v>1132</v>
      </c>
      <c r="C16" s="233">
        <v>5.9</v>
      </c>
      <c r="D16" s="229"/>
      <c r="F16" s="229"/>
    </row>
    <row r="17" spans="2:6" x14ac:dyDescent="0.15">
      <c r="B17" s="231" t="s">
        <v>1125</v>
      </c>
      <c r="C17" s="233">
        <f>F15</f>
        <v>1.2928571428571429</v>
      </c>
      <c r="D17" s="243">
        <f>C17/C16</f>
        <v>0.21912832929782083</v>
      </c>
      <c r="F17" s="229"/>
    </row>
    <row r="18" spans="2:6" x14ac:dyDescent="0.15">
      <c r="B18" s="231" t="s">
        <v>1133</v>
      </c>
      <c r="C18" s="230">
        <f>C16-C17</f>
        <v>4.6071428571428577</v>
      </c>
      <c r="D18" s="229"/>
      <c r="F18" s="229"/>
    </row>
    <row r="19" spans="2:6" x14ac:dyDescent="0.15">
      <c r="B19" s="237"/>
      <c r="C19" s="237"/>
      <c r="D19" s="237"/>
      <c r="E19" s="237"/>
      <c r="F19" s="238"/>
    </row>
    <row r="20" spans="2:6" x14ac:dyDescent="0.15">
      <c r="B20" s="237"/>
      <c r="C20" s="237"/>
      <c r="D20" s="237"/>
      <c r="E20" s="237"/>
      <c r="F20" s="238"/>
    </row>
    <row r="21" spans="2:6" x14ac:dyDescent="0.15">
      <c r="B21" s="239" t="s">
        <v>1772</v>
      </c>
      <c r="C21" s="239"/>
      <c r="D21" s="239"/>
      <c r="E21" s="239"/>
      <c r="F21" s="239"/>
    </row>
    <row r="22" spans="2:6" x14ac:dyDescent="0.15">
      <c r="B22" s="239"/>
      <c r="C22" s="239"/>
      <c r="D22" s="239"/>
      <c r="E22" s="239"/>
      <c r="F22" s="239"/>
    </row>
    <row r="23" spans="2:6" ht="16" x14ac:dyDescent="0.2">
      <c r="B23" s="235" t="s">
        <v>1122</v>
      </c>
      <c r="C23" s="242" t="s">
        <v>1123</v>
      </c>
      <c r="D23" s="242" t="s">
        <v>1124</v>
      </c>
      <c r="E23" s="242" t="s">
        <v>1125</v>
      </c>
      <c r="F23" s="242" t="s">
        <v>1126</v>
      </c>
    </row>
    <row r="24" spans="2:6" x14ac:dyDescent="0.15">
      <c r="B24" s="231" t="s">
        <v>1766</v>
      </c>
      <c r="C24" s="231">
        <v>1</v>
      </c>
      <c r="D24" s="231" t="s">
        <v>1759</v>
      </c>
      <c r="E24" s="233">
        <f>INGREDIENTS!$F$288</f>
        <v>0.62857142857142867</v>
      </c>
      <c r="F24" s="233">
        <f>E24*C24</f>
        <v>0.62857142857142867</v>
      </c>
    </row>
    <row r="25" spans="2:6" x14ac:dyDescent="0.15">
      <c r="B25" s="231" t="s">
        <v>1767</v>
      </c>
      <c r="C25" s="231">
        <v>1</v>
      </c>
      <c r="D25" s="231" t="s">
        <v>1737</v>
      </c>
      <c r="E25" s="233">
        <f>INGREDIENTS!$F$51</f>
        <v>0.41428571428571426</v>
      </c>
      <c r="F25" s="233">
        <f>E25*C25</f>
        <v>0.41428571428571426</v>
      </c>
    </row>
    <row r="26" spans="2:6" x14ac:dyDescent="0.15">
      <c r="B26" s="231" t="s">
        <v>1315</v>
      </c>
      <c r="C26" s="231">
        <v>50</v>
      </c>
      <c r="D26" s="231" t="s">
        <v>1782</v>
      </c>
      <c r="E26" s="233">
        <f>INGREDIENTS!$F$117</f>
        <v>4.4999999999999997E-3</v>
      </c>
      <c r="F26" s="233">
        <f>E26*C26</f>
        <v>0.22499999999999998</v>
      </c>
    </row>
    <row r="27" spans="2:6" x14ac:dyDescent="0.15">
      <c r="B27" s="231" t="s">
        <v>1770</v>
      </c>
      <c r="C27" s="231"/>
      <c r="D27" s="231"/>
      <c r="E27" s="233"/>
      <c r="F27" s="233">
        <f>E27*C27</f>
        <v>0</v>
      </c>
    </row>
    <row r="28" spans="2:6" x14ac:dyDescent="0.15">
      <c r="B28" s="231"/>
      <c r="C28" s="231"/>
      <c r="D28" s="231"/>
      <c r="E28" s="233"/>
      <c r="F28" s="233">
        <f>E28*C28</f>
        <v>0</v>
      </c>
    </row>
    <row r="29" spans="2:6" x14ac:dyDescent="0.15">
      <c r="B29" s="231" t="s">
        <v>1781</v>
      </c>
      <c r="C29" s="231">
        <v>1</v>
      </c>
      <c r="D29" s="231"/>
      <c r="E29" s="233">
        <v>0.25</v>
      </c>
      <c r="F29" s="233">
        <f>E29*C29</f>
        <v>0.25</v>
      </c>
    </row>
    <row r="30" spans="2:6" x14ac:dyDescent="0.15">
      <c r="B30" s="231"/>
      <c r="C30" s="231"/>
      <c r="D30" s="231"/>
      <c r="E30" s="233"/>
      <c r="F30" s="233">
        <f>E30*C30</f>
        <v>0</v>
      </c>
    </row>
    <row r="31" spans="2:6" x14ac:dyDescent="0.15">
      <c r="B31" s="231"/>
      <c r="C31" s="231"/>
      <c r="D31" s="231"/>
      <c r="E31" s="233"/>
      <c r="F31" s="233">
        <f>E31*C31</f>
        <v>0</v>
      </c>
    </row>
    <row r="32" spans="2:6" x14ac:dyDescent="0.15">
      <c r="B32" s="231"/>
      <c r="C32" s="231"/>
      <c r="D32" s="231"/>
      <c r="E32" s="233"/>
      <c r="F32" s="233">
        <f>E32*C32</f>
        <v>0</v>
      </c>
    </row>
    <row r="33" spans="2:6" ht="14" x14ac:dyDescent="0.15">
      <c r="B33" s="229"/>
      <c r="C33" s="229"/>
      <c r="D33" s="229"/>
      <c r="E33" s="229"/>
      <c r="F33" s="240">
        <f>SUM(F24:F32)</f>
        <v>1.5178571428571428</v>
      </c>
    </row>
    <row r="34" spans="2:6" x14ac:dyDescent="0.15">
      <c r="B34" s="231" t="s">
        <v>1132</v>
      </c>
      <c r="C34" s="233">
        <v>6.9</v>
      </c>
      <c r="D34" s="229"/>
      <c r="F34" s="229"/>
    </row>
    <row r="35" spans="2:6" x14ac:dyDescent="0.15">
      <c r="B35" s="231" t="s">
        <v>1125</v>
      </c>
      <c r="C35" s="233">
        <f>F33</f>
        <v>1.5178571428571428</v>
      </c>
      <c r="D35" s="243">
        <f>C35/C34</f>
        <v>0.21997929606625258</v>
      </c>
      <c r="F35" s="229"/>
    </row>
    <row r="36" spans="2:6" x14ac:dyDescent="0.15">
      <c r="B36" s="231" t="s">
        <v>1133</v>
      </c>
      <c r="C36" s="230">
        <f>C34-C35</f>
        <v>5.382142857142858</v>
      </c>
      <c r="D36" s="229"/>
      <c r="F36" s="229"/>
    </row>
    <row r="37" spans="2:6" x14ac:dyDescent="0.15">
      <c r="B37" s="237"/>
      <c r="C37" s="237"/>
      <c r="D37" s="237"/>
      <c r="E37" s="237"/>
      <c r="F37" s="238"/>
    </row>
    <row r="38" spans="2:6" x14ac:dyDescent="0.15">
      <c r="B38" s="237"/>
      <c r="C38" s="237"/>
      <c r="D38" s="237"/>
      <c r="E38" s="237"/>
      <c r="F38" s="238"/>
    </row>
    <row r="39" spans="2:6" x14ac:dyDescent="0.15">
      <c r="B39" s="239" t="s">
        <v>1783</v>
      </c>
      <c r="C39" s="239"/>
      <c r="D39" s="239"/>
      <c r="E39" s="239"/>
      <c r="F39" s="239"/>
    </row>
    <row r="40" spans="2:6" x14ac:dyDescent="0.15">
      <c r="B40" s="239"/>
      <c r="C40" s="239"/>
      <c r="D40" s="239"/>
      <c r="E40" s="239"/>
      <c r="F40" s="239"/>
    </row>
    <row r="41" spans="2:6" ht="16" x14ac:dyDescent="0.2">
      <c r="B41" s="235" t="s">
        <v>1122</v>
      </c>
      <c r="C41" s="242" t="s">
        <v>1123</v>
      </c>
      <c r="D41" s="242" t="s">
        <v>1124</v>
      </c>
      <c r="E41" s="242" t="s">
        <v>1125</v>
      </c>
      <c r="F41" s="242" t="s">
        <v>1126</v>
      </c>
    </row>
    <row r="42" spans="2:6" x14ac:dyDescent="0.15">
      <c r="B42" s="231" t="s">
        <v>1766</v>
      </c>
      <c r="C42" s="231">
        <v>1</v>
      </c>
      <c r="D42" s="231" t="s">
        <v>1759</v>
      </c>
      <c r="E42" s="233">
        <f>INGREDIENTS!$F$288</f>
        <v>0.62857142857142867</v>
      </c>
      <c r="F42" s="233">
        <f>E42*C42</f>
        <v>0.62857142857142867</v>
      </c>
    </row>
    <row r="43" spans="2:6" x14ac:dyDescent="0.15">
      <c r="B43" s="231" t="s">
        <v>1767</v>
      </c>
      <c r="C43" s="231">
        <v>1</v>
      </c>
      <c r="D43" s="231" t="s">
        <v>1737</v>
      </c>
      <c r="E43" s="233">
        <f>INGREDIENTS!$F$51</f>
        <v>0.41428571428571426</v>
      </c>
      <c r="F43" s="233">
        <f>E43*C43</f>
        <v>0.41428571428571426</v>
      </c>
    </row>
    <row r="44" spans="2:6" x14ac:dyDescent="0.15">
      <c r="B44" s="231" t="s">
        <v>1127</v>
      </c>
      <c r="C44" s="231">
        <v>1</v>
      </c>
      <c r="D44" s="231" t="s">
        <v>1486</v>
      </c>
      <c r="E44" s="233">
        <f>INGREDIENTS!$F$50</f>
        <v>0.65333333333333343</v>
      </c>
      <c r="F44" s="233">
        <f>E44*C44</f>
        <v>0.65333333333333343</v>
      </c>
    </row>
    <row r="45" spans="2:6" x14ac:dyDescent="0.15">
      <c r="B45" s="231" t="s">
        <v>1770</v>
      </c>
      <c r="C45" s="231"/>
      <c r="D45" s="231"/>
      <c r="E45" s="233"/>
      <c r="F45" s="233">
        <f>E45*C45</f>
        <v>0</v>
      </c>
    </row>
    <row r="46" spans="2:6" x14ac:dyDescent="0.15">
      <c r="B46" s="231"/>
      <c r="C46" s="231"/>
      <c r="D46" s="231"/>
      <c r="E46" s="233"/>
      <c r="F46" s="233">
        <f>E46*C46</f>
        <v>0</v>
      </c>
    </row>
    <row r="47" spans="2:6" x14ac:dyDescent="0.15">
      <c r="B47" s="231" t="s">
        <v>1781</v>
      </c>
      <c r="C47" s="231">
        <v>1</v>
      </c>
      <c r="D47" s="231"/>
      <c r="E47" s="233">
        <v>0.25</v>
      </c>
      <c r="F47" s="233">
        <f>E47*C47</f>
        <v>0.25</v>
      </c>
    </row>
    <row r="48" spans="2:6" x14ac:dyDescent="0.15">
      <c r="B48" s="231"/>
      <c r="C48" s="231"/>
      <c r="D48" s="231"/>
      <c r="E48" s="233"/>
      <c r="F48" s="233">
        <f>E48*C48</f>
        <v>0</v>
      </c>
    </row>
    <row r="49" spans="2:6" x14ac:dyDescent="0.15">
      <c r="B49" s="231"/>
      <c r="C49" s="231"/>
      <c r="D49" s="231"/>
      <c r="E49" s="233"/>
      <c r="F49" s="233">
        <f>E49*C49</f>
        <v>0</v>
      </c>
    </row>
    <row r="50" spans="2:6" x14ac:dyDescent="0.15">
      <c r="B50" s="231"/>
      <c r="C50" s="231"/>
      <c r="D50" s="231"/>
      <c r="E50" s="233"/>
      <c r="F50" s="233">
        <f>E50*C50</f>
        <v>0</v>
      </c>
    </row>
    <row r="51" spans="2:6" ht="14" x14ac:dyDescent="0.15">
      <c r="B51" s="229"/>
      <c r="C51" s="229"/>
      <c r="D51" s="229"/>
      <c r="E51" s="229"/>
      <c r="F51" s="240">
        <f>SUM(F42:F50)</f>
        <v>1.9461904761904765</v>
      </c>
    </row>
    <row r="52" spans="2:6" x14ac:dyDescent="0.15">
      <c r="B52" s="231" t="s">
        <v>1132</v>
      </c>
      <c r="C52" s="233">
        <v>7.9</v>
      </c>
      <c r="D52" s="229"/>
      <c r="F52" s="229"/>
    </row>
    <row r="53" spans="2:6" x14ac:dyDescent="0.15">
      <c r="B53" s="231" t="s">
        <v>1125</v>
      </c>
      <c r="C53" s="233">
        <f>F51</f>
        <v>1.9461904761904765</v>
      </c>
      <c r="D53" s="243">
        <f>C53/C52</f>
        <v>0.24635322483423752</v>
      </c>
      <c r="F53" s="229"/>
    </row>
    <row r="54" spans="2:6" x14ac:dyDescent="0.15">
      <c r="B54" s="231" t="s">
        <v>1133</v>
      </c>
      <c r="C54" s="230">
        <f>C52-C53</f>
        <v>5.9538095238095234</v>
      </c>
      <c r="D54" s="229"/>
      <c r="F54" s="229"/>
    </row>
    <row r="55" spans="2:6" x14ac:dyDescent="0.15">
      <c r="B55" s="237"/>
      <c r="C55" s="237"/>
      <c r="D55" s="237"/>
      <c r="E55" s="237"/>
      <c r="F55" s="238"/>
    </row>
    <row r="56" spans="2:6" x14ac:dyDescent="0.15">
      <c r="B56" s="237"/>
      <c r="C56" s="237"/>
      <c r="D56" s="237"/>
      <c r="E56" s="237"/>
      <c r="F56" s="238"/>
    </row>
    <row r="57" spans="2:6" x14ac:dyDescent="0.15">
      <c r="B57" s="239" t="s">
        <v>1773</v>
      </c>
      <c r="C57" s="239"/>
      <c r="D57" s="239"/>
      <c r="E57" s="239"/>
      <c r="F57" s="239"/>
    </row>
    <row r="58" spans="2:6" x14ac:dyDescent="0.15">
      <c r="B58" s="239"/>
      <c r="C58" s="239"/>
      <c r="D58" s="239"/>
      <c r="E58" s="239"/>
      <c r="F58" s="239"/>
    </row>
    <row r="59" spans="2:6" ht="16" x14ac:dyDescent="0.2">
      <c r="B59" s="235" t="s">
        <v>1122</v>
      </c>
      <c r="C59" s="242" t="s">
        <v>1123</v>
      </c>
      <c r="D59" s="242" t="s">
        <v>1124</v>
      </c>
      <c r="E59" s="242" t="s">
        <v>1125</v>
      </c>
      <c r="F59" s="242" t="s">
        <v>1126</v>
      </c>
    </row>
    <row r="60" spans="2:6" x14ac:dyDescent="0.15">
      <c r="B60" s="231" t="s">
        <v>1766</v>
      </c>
      <c r="C60" s="231">
        <v>1</v>
      </c>
      <c r="D60" s="231" t="s">
        <v>1759</v>
      </c>
      <c r="E60" s="233">
        <f>INGREDIENTS!$F$288</f>
        <v>0.62857142857142867</v>
      </c>
      <c r="F60" s="233">
        <f>E60*C60</f>
        <v>0.62857142857142867</v>
      </c>
    </row>
    <row r="61" spans="2:6" x14ac:dyDescent="0.15">
      <c r="B61" s="231" t="s">
        <v>1767</v>
      </c>
      <c r="C61" s="231">
        <v>1</v>
      </c>
      <c r="D61" s="231" t="s">
        <v>1737</v>
      </c>
      <c r="E61" s="233">
        <f>INGREDIENTS!$F$51</f>
        <v>0.41428571428571426</v>
      </c>
      <c r="F61" s="233">
        <f>E61*C61</f>
        <v>0.41428571428571426</v>
      </c>
    </row>
    <row r="62" spans="2:6" x14ac:dyDescent="0.15">
      <c r="B62" s="231" t="s">
        <v>1315</v>
      </c>
      <c r="C62" s="231">
        <v>50</v>
      </c>
      <c r="D62" s="231" t="s">
        <v>1782</v>
      </c>
      <c r="E62" s="233">
        <f>INGREDIENTS!$F$117</f>
        <v>4.4999999999999997E-3</v>
      </c>
      <c r="F62" s="233">
        <f>E62*C62</f>
        <v>0.22499999999999998</v>
      </c>
    </row>
    <row r="63" spans="2:6" x14ac:dyDescent="0.15">
      <c r="B63" s="231" t="s">
        <v>1127</v>
      </c>
      <c r="C63" s="231">
        <v>1</v>
      </c>
      <c r="D63" s="231" t="s">
        <v>1486</v>
      </c>
      <c r="E63" s="233">
        <f>INGREDIENTS!$F$50</f>
        <v>0.65333333333333343</v>
      </c>
      <c r="F63" s="233">
        <f>E63*C63</f>
        <v>0.65333333333333343</v>
      </c>
    </row>
    <row r="64" spans="2:6" x14ac:dyDescent="0.15">
      <c r="B64" s="231" t="s">
        <v>1770</v>
      </c>
      <c r="C64" s="231"/>
      <c r="D64" s="231"/>
      <c r="E64" s="233"/>
      <c r="F64" s="233">
        <f>E64*C64</f>
        <v>0</v>
      </c>
    </row>
    <row r="65" spans="2:6" x14ac:dyDescent="0.15">
      <c r="B65" s="231"/>
      <c r="C65" s="231"/>
      <c r="D65" s="231"/>
      <c r="E65" s="233"/>
      <c r="F65" s="233">
        <f>E65*C65</f>
        <v>0</v>
      </c>
    </row>
    <row r="66" spans="2:6" x14ac:dyDescent="0.15">
      <c r="B66" s="231" t="s">
        <v>1781</v>
      </c>
      <c r="C66" s="231">
        <v>1</v>
      </c>
      <c r="D66" s="231"/>
      <c r="E66" s="233">
        <v>0.25</v>
      </c>
      <c r="F66" s="233">
        <f>E66*C66</f>
        <v>0.25</v>
      </c>
    </row>
    <row r="67" spans="2:6" x14ac:dyDescent="0.15">
      <c r="B67" s="231"/>
      <c r="C67" s="231"/>
      <c r="D67" s="231"/>
      <c r="E67" s="233"/>
      <c r="F67" s="233">
        <f>E67*C67</f>
        <v>0</v>
      </c>
    </row>
    <row r="68" spans="2:6" x14ac:dyDescent="0.15">
      <c r="B68" s="231"/>
      <c r="C68" s="231"/>
      <c r="D68" s="231"/>
      <c r="E68" s="233"/>
      <c r="F68" s="233">
        <f>E68*C68</f>
        <v>0</v>
      </c>
    </row>
    <row r="69" spans="2:6" ht="14" x14ac:dyDescent="0.15">
      <c r="B69" s="229"/>
      <c r="C69" s="229"/>
      <c r="D69" s="229"/>
      <c r="E69" s="229"/>
      <c r="F69" s="240">
        <f>SUM(F60:F68)</f>
        <v>2.1711904761904761</v>
      </c>
    </row>
    <row r="70" spans="2:6" x14ac:dyDescent="0.15">
      <c r="B70" s="231" t="s">
        <v>1132</v>
      </c>
      <c r="C70" s="233">
        <v>8.9</v>
      </c>
      <c r="D70" s="229"/>
      <c r="F70" s="229"/>
    </row>
    <row r="71" spans="2:6" x14ac:dyDescent="0.15">
      <c r="B71" s="231" t="s">
        <v>1125</v>
      </c>
      <c r="C71" s="233">
        <f>F69</f>
        <v>2.1711904761904761</v>
      </c>
      <c r="D71" s="243">
        <f>C71/C70</f>
        <v>0.24395398608881752</v>
      </c>
      <c r="F71" s="229"/>
    </row>
    <row r="72" spans="2:6" x14ac:dyDescent="0.15">
      <c r="B72" s="231" t="s">
        <v>1133</v>
      </c>
      <c r="C72" s="230">
        <f>C70-C71</f>
        <v>6.7288095238095238</v>
      </c>
      <c r="D72" s="229"/>
      <c r="F72" s="229"/>
    </row>
    <row r="73" spans="2:6" x14ac:dyDescent="0.15">
      <c r="B73" s="237"/>
      <c r="C73" s="237"/>
      <c r="D73" s="237"/>
      <c r="E73" s="237"/>
      <c r="F73" s="238"/>
    </row>
    <row r="74" spans="2:6" x14ac:dyDescent="0.15">
      <c r="B74" s="237"/>
      <c r="C74" s="237"/>
      <c r="D74" s="237"/>
      <c r="E74" s="237"/>
      <c r="F74" s="238"/>
    </row>
    <row r="75" spans="2:6" x14ac:dyDescent="0.15">
      <c r="B75" s="239" t="s">
        <v>1787</v>
      </c>
      <c r="C75" s="239"/>
      <c r="D75" s="239"/>
      <c r="E75" s="239"/>
      <c r="F75" s="239"/>
    </row>
    <row r="76" spans="2:6" x14ac:dyDescent="0.15">
      <c r="B76" s="239"/>
      <c r="C76" s="239"/>
      <c r="D76" s="239"/>
      <c r="E76" s="239"/>
      <c r="F76" s="239"/>
    </row>
    <row r="77" spans="2:6" ht="16" x14ac:dyDescent="0.2">
      <c r="B77" s="235" t="s">
        <v>1122</v>
      </c>
      <c r="C77" s="242" t="s">
        <v>1123</v>
      </c>
      <c r="D77" s="242" t="s">
        <v>1124</v>
      </c>
      <c r="E77" s="242" t="s">
        <v>1125</v>
      </c>
      <c r="F77" s="242" t="s">
        <v>1126</v>
      </c>
    </row>
    <row r="78" spans="2:6" x14ac:dyDescent="0.15">
      <c r="B78" s="231" t="s">
        <v>1643</v>
      </c>
      <c r="C78" s="231">
        <v>50</v>
      </c>
      <c r="D78" s="231" t="s">
        <v>1745</v>
      </c>
      <c r="E78" s="233"/>
      <c r="F78" s="233">
        <f>E78*C78</f>
        <v>0</v>
      </c>
    </row>
    <row r="79" spans="2:6" x14ac:dyDescent="0.15">
      <c r="B79" s="231" t="s">
        <v>1785</v>
      </c>
      <c r="C79" s="231">
        <v>5</v>
      </c>
      <c r="D79" s="231" t="s">
        <v>1745</v>
      </c>
      <c r="E79" s="233"/>
      <c r="F79" s="233">
        <f>E79*C79</f>
        <v>0</v>
      </c>
    </row>
    <row r="80" spans="2:6" x14ac:dyDescent="0.15">
      <c r="B80" s="231" t="s">
        <v>1786</v>
      </c>
      <c r="C80" s="231">
        <v>50</v>
      </c>
      <c r="D80" s="231" t="s">
        <v>1745</v>
      </c>
      <c r="E80" s="233"/>
      <c r="F80" s="233">
        <f>E80*C80</f>
        <v>0</v>
      </c>
    </row>
    <row r="81" spans="2:6" x14ac:dyDescent="0.15">
      <c r="B81" s="231" t="s">
        <v>1382</v>
      </c>
      <c r="C81" s="231">
        <v>120</v>
      </c>
      <c r="D81" s="231" t="s">
        <v>1757</v>
      </c>
      <c r="E81" s="233"/>
      <c r="F81" s="233">
        <f>E81*C81</f>
        <v>0</v>
      </c>
    </row>
    <row r="82" spans="2:6" x14ac:dyDescent="0.15">
      <c r="B82" s="231" t="s">
        <v>1788</v>
      </c>
      <c r="C82" s="231"/>
      <c r="D82" s="231" t="s">
        <v>1745</v>
      </c>
      <c r="E82" s="233"/>
      <c r="F82" s="233">
        <f>E82*C82</f>
        <v>0</v>
      </c>
    </row>
    <row r="83" spans="2:6" x14ac:dyDescent="0.15">
      <c r="B83" s="231" t="s">
        <v>1789</v>
      </c>
      <c r="C83" s="231"/>
      <c r="D83" s="231" t="s">
        <v>1745</v>
      </c>
      <c r="E83" s="233"/>
      <c r="F83" s="233">
        <f>E83*C83</f>
        <v>0</v>
      </c>
    </row>
    <row r="84" spans="2:6" x14ac:dyDescent="0.15">
      <c r="B84" s="231"/>
      <c r="C84" s="231"/>
      <c r="D84" s="231"/>
      <c r="E84" s="233"/>
      <c r="F84" s="233">
        <f>E84*C84</f>
        <v>0</v>
      </c>
    </row>
    <row r="85" spans="2:6" x14ac:dyDescent="0.15">
      <c r="B85" s="231"/>
      <c r="C85" s="231"/>
      <c r="D85" s="231"/>
      <c r="E85" s="233"/>
      <c r="F85" s="233">
        <f>E85*C85</f>
        <v>0</v>
      </c>
    </row>
    <row r="86" spans="2:6" x14ac:dyDescent="0.15">
      <c r="B86" s="231" t="s">
        <v>1781</v>
      </c>
      <c r="C86" s="231">
        <v>1</v>
      </c>
      <c r="D86" s="231"/>
      <c r="E86" s="233">
        <v>3.5</v>
      </c>
      <c r="F86" s="233">
        <f>E86*C86</f>
        <v>3.5</v>
      </c>
    </row>
    <row r="87" spans="2:6" ht="14" x14ac:dyDescent="0.15">
      <c r="B87" s="229"/>
      <c r="C87" s="229"/>
      <c r="D87" s="229"/>
      <c r="E87" s="229"/>
      <c r="F87" s="240">
        <f>SUM(F78:F86)</f>
        <v>3.5</v>
      </c>
    </row>
    <row r="88" spans="2:6" x14ac:dyDescent="0.15">
      <c r="B88" s="231" t="s">
        <v>1132</v>
      </c>
      <c r="C88" s="233">
        <v>9.5</v>
      </c>
      <c r="D88" s="229"/>
      <c r="F88" s="229"/>
    </row>
    <row r="89" spans="2:6" x14ac:dyDescent="0.15">
      <c r="B89" s="231" t="s">
        <v>1125</v>
      </c>
      <c r="C89" s="233">
        <f>F87</f>
        <v>3.5</v>
      </c>
      <c r="D89" s="232">
        <f>C89/C88</f>
        <v>0.36842105263157893</v>
      </c>
      <c r="F89" s="229"/>
    </row>
    <row r="90" spans="2:6" x14ac:dyDescent="0.15">
      <c r="B90" s="231" t="s">
        <v>1133</v>
      </c>
      <c r="C90" s="230">
        <f>C88-C89</f>
        <v>6</v>
      </c>
      <c r="D90" s="229"/>
      <c r="F90" s="229"/>
    </row>
    <row r="91" spans="2:6" x14ac:dyDescent="0.15">
      <c r="B91" s="237"/>
      <c r="C91" s="237"/>
      <c r="D91" s="237"/>
      <c r="E91" s="237"/>
      <c r="F91" s="238"/>
    </row>
    <row r="92" spans="2:6" x14ac:dyDescent="0.15">
      <c r="B92" s="237"/>
      <c r="C92" s="237"/>
      <c r="D92" s="237"/>
      <c r="E92" s="237"/>
      <c r="F92" s="238"/>
    </row>
    <row r="93" spans="2:6" x14ac:dyDescent="0.15">
      <c r="B93" s="239" t="s">
        <v>1790</v>
      </c>
      <c r="C93" s="239"/>
      <c r="D93" s="239"/>
      <c r="E93" s="239"/>
      <c r="F93" s="239"/>
    </row>
    <row r="94" spans="2:6" x14ac:dyDescent="0.15">
      <c r="B94" s="239"/>
      <c r="C94" s="239"/>
      <c r="D94" s="239"/>
      <c r="E94" s="239"/>
      <c r="F94" s="239"/>
    </row>
    <row r="95" spans="2:6" ht="16" x14ac:dyDescent="0.2">
      <c r="B95" s="235" t="s">
        <v>1122</v>
      </c>
      <c r="C95" s="242" t="s">
        <v>1123</v>
      </c>
      <c r="D95" s="242" t="s">
        <v>1124</v>
      </c>
      <c r="E95" s="242" t="s">
        <v>1125</v>
      </c>
      <c r="F95" s="242" t="s">
        <v>1126</v>
      </c>
    </row>
    <row r="96" spans="2:6" x14ac:dyDescent="0.15">
      <c r="B96" s="231" t="s">
        <v>1643</v>
      </c>
      <c r="C96" s="231">
        <v>50</v>
      </c>
      <c r="D96" s="231" t="s">
        <v>1745</v>
      </c>
      <c r="E96" s="233"/>
      <c r="F96" s="233">
        <f>E96*C96</f>
        <v>0</v>
      </c>
    </row>
    <row r="97" spans="2:6" x14ac:dyDescent="0.15">
      <c r="B97" s="231" t="s">
        <v>1785</v>
      </c>
      <c r="C97" s="231">
        <v>5</v>
      </c>
      <c r="D97" s="231" t="s">
        <v>1745</v>
      </c>
      <c r="E97" s="233"/>
      <c r="F97" s="233">
        <f>E97*C97</f>
        <v>0</v>
      </c>
    </row>
    <row r="98" spans="2:6" x14ac:dyDescent="0.15">
      <c r="B98" s="231" t="s">
        <v>1786</v>
      </c>
      <c r="C98" s="231">
        <v>50</v>
      </c>
      <c r="D98" s="231" t="s">
        <v>1745</v>
      </c>
      <c r="E98" s="233"/>
      <c r="F98" s="233">
        <f>E98*C98</f>
        <v>0</v>
      </c>
    </row>
    <row r="99" spans="2:6" x14ac:dyDescent="0.15">
      <c r="B99" s="231" t="s">
        <v>1382</v>
      </c>
      <c r="C99" s="231">
        <v>120</v>
      </c>
      <c r="D99" s="231" t="s">
        <v>1757</v>
      </c>
      <c r="E99" s="233"/>
      <c r="F99" s="233">
        <f>E99*C99</f>
        <v>0</v>
      </c>
    </row>
    <row r="100" spans="2:6" x14ac:dyDescent="0.15">
      <c r="B100" s="231" t="s">
        <v>1791</v>
      </c>
      <c r="C100" s="231"/>
      <c r="D100" s="231"/>
      <c r="E100" s="233"/>
      <c r="F100" s="233">
        <f>E100*C100</f>
        <v>0</v>
      </c>
    </row>
    <row r="101" spans="2:6" x14ac:dyDescent="0.15">
      <c r="B101" s="231"/>
      <c r="C101" s="231"/>
      <c r="D101" s="231"/>
      <c r="E101" s="233"/>
      <c r="F101" s="233">
        <f>E101*C101</f>
        <v>0</v>
      </c>
    </row>
    <row r="102" spans="2:6" x14ac:dyDescent="0.15">
      <c r="B102" s="231"/>
      <c r="C102" s="231"/>
      <c r="D102" s="231"/>
      <c r="E102" s="233"/>
      <c r="F102" s="233">
        <f>E102*C102</f>
        <v>0</v>
      </c>
    </row>
    <row r="103" spans="2:6" x14ac:dyDescent="0.15">
      <c r="B103" s="231"/>
      <c r="C103" s="231"/>
      <c r="D103" s="231"/>
      <c r="E103" s="233"/>
      <c r="F103" s="233">
        <f>E103*C103</f>
        <v>0</v>
      </c>
    </row>
    <row r="104" spans="2:6" x14ac:dyDescent="0.15">
      <c r="B104" s="231" t="s">
        <v>1781</v>
      </c>
      <c r="C104" s="231">
        <v>1</v>
      </c>
      <c r="D104" s="231"/>
      <c r="E104" s="233">
        <v>3.5</v>
      </c>
      <c r="F104" s="233">
        <f>E104*C104</f>
        <v>3.5</v>
      </c>
    </row>
    <row r="105" spans="2:6" ht="14" x14ac:dyDescent="0.15">
      <c r="B105" s="229"/>
      <c r="C105" s="229"/>
      <c r="D105" s="229"/>
      <c r="E105" s="229"/>
      <c r="F105" s="240">
        <f>SUM(F96:F104)</f>
        <v>3.5</v>
      </c>
    </row>
    <row r="106" spans="2:6" x14ac:dyDescent="0.15">
      <c r="B106" s="231" t="s">
        <v>1132</v>
      </c>
      <c r="C106" s="233">
        <v>9.5</v>
      </c>
      <c r="D106" s="229"/>
      <c r="F106" s="229"/>
    </row>
    <row r="107" spans="2:6" x14ac:dyDescent="0.15">
      <c r="B107" s="231" t="s">
        <v>1125</v>
      </c>
      <c r="C107" s="233">
        <f>F105</f>
        <v>3.5</v>
      </c>
      <c r="D107" s="232">
        <f>C107/C106</f>
        <v>0.36842105263157893</v>
      </c>
      <c r="F107" s="229"/>
    </row>
    <row r="108" spans="2:6" x14ac:dyDescent="0.15">
      <c r="B108" s="231" t="s">
        <v>1133</v>
      </c>
      <c r="C108" s="230">
        <f>C106-C107</f>
        <v>6</v>
      </c>
      <c r="D108" s="229"/>
      <c r="F108" s="229"/>
    </row>
    <row r="109" spans="2:6" x14ac:dyDescent="0.15">
      <c r="B109" s="237"/>
      <c r="C109" s="237"/>
      <c r="D109" s="237"/>
      <c r="E109" s="237"/>
      <c r="F109" s="238"/>
    </row>
    <row r="110" spans="2:6" x14ac:dyDescent="0.15">
      <c r="B110" s="237"/>
      <c r="C110" s="237"/>
      <c r="D110" s="237"/>
      <c r="E110" s="237"/>
      <c r="F110" s="238"/>
    </row>
    <row r="111" spans="2:6" x14ac:dyDescent="0.15">
      <c r="B111" s="239" t="s">
        <v>1793</v>
      </c>
      <c r="C111" s="239"/>
      <c r="D111" s="239"/>
      <c r="E111" s="239"/>
      <c r="F111" s="239"/>
    </row>
    <row r="112" spans="2:6" x14ac:dyDescent="0.15">
      <c r="B112" s="239"/>
      <c r="C112" s="239"/>
      <c r="D112" s="239"/>
      <c r="E112" s="239"/>
      <c r="F112" s="239"/>
    </row>
    <row r="113" spans="2:6" ht="16" x14ac:dyDescent="0.2">
      <c r="B113" s="235" t="s">
        <v>1122</v>
      </c>
      <c r="C113" s="242" t="s">
        <v>1123</v>
      </c>
      <c r="D113" s="242" t="s">
        <v>1124</v>
      </c>
      <c r="E113" s="242" t="s">
        <v>1125</v>
      </c>
      <c r="F113" s="242" t="s">
        <v>1126</v>
      </c>
    </row>
    <row r="114" spans="2:6" x14ac:dyDescent="0.15">
      <c r="B114" s="231" t="s">
        <v>1643</v>
      </c>
      <c r="C114" s="231">
        <v>50</v>
      </c>
      <c r="D114" s="231" t="s">
        <v>1745</v>
      </c>
      <c r="E114" s="233"/>
      <c r="F114" s="233">
        <f>E114*C114</f>
        <v>0</v>
      </c>
    </row>
    <row r="115" spans="2:6" x14ac:dyDescent="0.15">
      <c r="B115" s="231" t="s">
        <v>1785</v>
      </c>
      <c r="C115" s="231">
        <v>5</v>
      </c>
      <c r="D115" s="231" t="s">
        <v>1745</v>
      </c>
      <c r="E115" s="233"/>
      <c r="F115" s="233">
        <f>E115*C115</f>
        <v>0</v>
      </c>
    </row>
    <row r="116" spans="2:6" x14ac:dyDescent="0.15">
      <c r="B116" s="231" t="s">
        <v>1786</v>
      </c>
      <c r="C116" s="231">
        <v>50</v>
      </c>
      <c r="D116" s="231" t="s">
        <v>1745</v>
      </c>
      <c r="E116" s="233"/>
      <c r="F116" s="233">
        <f>E116*C116</f>
        <v>0</v>
      </c>
    </row>
    <row r="117" spans="2:6" x14ac:dyDescent="0.15">
      <c r="B117" s="231" t="s">
        <v>1382</v>
      </c>
      <c r="C117" s="231">
        <v>120</v>
      </c>
      <c r="D117" s="231" t="s">
        <v>1757</v>
      </c>
      <c r="E117" s="233"/>
      <c r="F117" s="233">
        <f>E117*C117</f>
        <v>0</v>
      </c>
    </row>
    <row r="118" spans="2:6" x14ac:dyDescent="0.15">
      <c r="B118" s="231" t="s">
        <v>1794</v>
      </c>
      <c r="C118" s="231">
        <v>20</v>
      </c>
      <c r="D118" s="231" t="s">
        <v>1745</v>
      </c>
      <c r="E118" s="233"/>
      <c r="F118" s="233">
        <f>E118*C118</f>
        <v>0</v>
      </c>
    </row>
    <row r="119" spans="2:6" x14ac:dyDescent="0.15">
      <c r="B119" s="231" t="s">
        <v>1479</v>
      </c>
      <c r="C119" s="231">
        <v>5</v>
      </c>
      <c r="D119" s="231" t="s">
        <v>1745</v>
      </c>
      <c r="E119" s="233"/>
      <c r="F119" s="233">
        <f>E119*C119</f>
        <v>0</v>
      </c>
    </row>
    <row r="120" spans="2:6" x14ac:dyDescent="0.15">
      <c r="B120" s="231" t="s">
        <v>1795</v>
      </c>
      <c r="C120" s="231">
        <v>20</v>
      </c>
      <c r="D120" s="231" t="s">
        <v>1757</v>
      </c>
      <c r="E120" s="233"/>
      <c r="F120" s="233">
        <f>E120*C120</f>
        <v>0</v>
      </c>
    </row>
    <row r="121" spans="2:6" x14ac:dyDescent="0.15">
      <c r="B121" s="231"/>
      <c r="C121" s="231"/>
      <c r="D121" s="231"/>
      <c r="E121" s="233"/>
      <c r="F121" s="233">
        <f>E121*C121</f>
        <v>0</v>
      </c>
    </row>
    <row r="122" spans="2:6" x14ac:dyDescent="0.15">
      <c r="B122" s="231" t="s">
        <v>1781</v>
      </c>
      <c r="C122" s="231">
        <v>1</v>
      </c>
      <c r="D122" s="231"/>
      <c r="E122" s="233">
        <v>3.5</v>
      </c>
      <c r="F122" s="233">
        <f>E122*C122</f>
        <v>3.5</v>
      </c>
    </row>
    <row r="123" spans="2:6" ht="14" x14ac:dyDescent="0.15">
      <c r="B123" s="229"/>
      <c r="C123" s="229"/>
      <c r="D123" s="229"/>
      <c r="E123" s="229"/>
      <c r="F123" s="240">
        <f>SUM(F114:F122)</f>
        <v>3.5</v>
      </c>
    </row>
    <row r="124" spans="2:6" x14ac:dyDescent="0.15">
      <c r="B124" s="231" t="s">
        <v>1132</v>
      </c>
      <c r="C124" s="233">
        <v>9.5</v>
      </c>
      <c r="D124" s="229"/>
      <c r="F124" s="229"/>
    </row>
    <row r="125" spans="2:6" x14ac:dyDescent="0.15">
      <c r="B125" s="231" t="s">
        <v>1125</v>
      </c>
      <c r="C125" s="233">
        <f>F123</f>
        <v>3.5</v>
      </c>
      <c r="D125" s="232">
        <f>C125/C124</f>
        <v>0.36842105263157893</v>
      </c>
      <c r="F125" s="229"/>
    </row>
    <row r="126" spans="2:6" x14ac:dyDescent="0.15">
      <c r="B126" s="231" t="s">
        <v>1133</v>
      </c>
      <c r="C126" s="230">
        <f>C124-C125</f>
        <v>6</v>
      </c>
      <c r="D126" s="229"/>
      <c r="F126" s="229"/>
    </row>
    <row r="127" spans="2:6" x14ac:dyDescent="0.15">
      <c r="B127" s="237"/>
      <c r="C127" s="237"/>
      <c r="D127" s="237"/>
      <c r="E127" s="237"/>
      <c r="F127" s="238"/>
    </row>
    <row r="128" spans="2:6" x14ac:dyDescent="0.15">
      <c r="B128" s="237"/>
      <c r="C128" s="237"/>
      <c r="D128" s="237"/>
      <c r="E128" s="237"/>
      <c r="F128" s="238"/>
    </row>
    <row r="129" spans="2:6" x14ac:dyDescent="0.15">
      <c r="B129" s="239" t="s">
        <v>1796</v>
      </c>
      <c r="C129" s="239"/>
      <c r="D129" s="239"/>
      <c r="E129" s="239"/>
      <c r="F129" s="239"/>
    </row>
    <row r="130" spans="2:6" x14ac:dyDescent="0.15">
      <c r="B130" s="239"/>
      <c r="C130" s="239"/>
      <c r="D130" s="239"/>
      <c r="E130" s="239"/>
      <c r="F130" s="239"/>
    </row>
    <row r="131" spans="2:6" ht="16" x14ac:dyDescent="0.2">
      <c r="B131" s="235" t="s">
        <v>1122</v>
      </c>
      <c r="C131" s="242" t="s">
        <v>1123</v>
      </c>
      <c r="D131" s="242" t="s">
        <v>1124</v>
      </c>
      <c r="E131" s="242" t="s">
        <v>1125</v>
      </c>
      <c r="F131" s="242" t="s">
        <v>1126</v>
      </c>
    </row>
    <row r="132" spans="2:6" x14ac:dyDescent="0.15">
      <c r="B132" s="231" t="s">
        <v>1643</v>
      </c>
      <c r="C132" s="231">
        <v>50</v>
      </c>
      <c r="D132" s="231" t="s">
        <v>1745</v>
      </c>
      <c r="E132" s="233"/>
      <c r="F132" s="233">
        <f>E132*C132</f>
        <v>0</v>
      </c>
    </row>
    <row r="133" spans="2:6" x14ac:dyDescent="0.15">
      <c r="B133" s="231" t="s">
        <v>1785</v>
      </c>
      <c r="C133" s="231">
        <v>5</v>
      </c>
      <c r="D133" s="231" t="s">
        <v>1745</v>
      </c>
      <c r="E133" s="233"/>
      <c r="F133" s="233">
        <f>E133*C133</f>
        <v>0</v>
      </c>
    </row>
    <row r="134" spans="2:6" x14ac:dyDescent="0.15">
      <c r="B134" s="231" t="s">
        <v>1786</v>
      </c>
      <c r="C134" s="231">
        <v>50</v>
      </c>
      <c r="D134" s="231" t="s">
        <v>1745</v>
      </c>
      <c r="E134" s="233"/>
      <c r="F134" s="233">
        <f>E134*C134</f>
        <v>0</v>
      </c>
    </row>
    <row r="135" spans="2:6" x14ac:dyDescent="0.15">
      <c r="B135" s="231" t="s">
        <v>1797</v>
      </c>
      <c r="C135" s="231">
        <v>120</v>
      </c>
      <c r="D135" s="231" t="s">
        <v>1757</v>
      </c>
      <c r="E135" s="233"/>
      <c r="F135" s="233">
        <f>E135*C135</f>
        <v>0</v>
      </c>
    </row>
    <row r="136" spans="2:6" x14ac:dyDescent="0.15">
      <c r="B136" s="231" t="s">
        <v>1798</v>
      </c>
      <c r="C136" s="231">
        <v>25</v>
      </c>
      <c r="D136" s="231" t="s">
        <v>1745</v>
      </c>
      <c r="E136" s="233"/>
      <c r="F136" s="233">
        <f>E136*C136</f>
        <v>0</v>
      </c>
    </row>
    <row r="137" spans="2:6" x14ac:dyDescent="0.15">
      <c r="B137" s="231" t="s">
        <v>1795</v>
      </c>
      <c r="C137" s="231">
        <v>20</v>
      </c>
      <c r="D137" s="231" t="s">
        <v>1757</v>
      </c>
      <c r="E137" s="233"/>
      <c r="F137" s="233">
        <f>E137*C137</f>
        <v>0</v>
      </c>
    </row>
    <row r="138" spans="2:6" x14ac:dyDescent="0.15">
      <c r="B138" s="231"/>
      <c r="C138" s="231"/>
      <c r="D138" s="231"/>
      <c r="E138" s="233"/>
      <c r="F138" s="233">
        <f>E138*C138</f>
        <v>0</v>
      </c>
    </row>
    <row r="139" spans="2:6" x14ac:dyDescent="0.15">
      <c r="B139" s="231" t="s">
        <v>1781</v>
      </c>
      <c r="C139" s="231">
        <v>1</v>
      </c>
      <c r="D139" s="231"/>
      <c r="E139" s="233">
        <v>3.5</v>
      </c>
      <c r="F139" s="233">
        <f>E139*C139</f>
        <v>3.5</v>
      </c>
    </row>
    <row r="140" spans="2:6" ht="14" x14ac:dyDescent="0.15">
      <c r="B140" s="229"/>
      <c r="C140" s="229"/>
      <c r="D140" s="229"/>
      <c r="E140" s="229"/>
      <c r="F140" s="240">
        <f>SUM(F132:F139)</f>
        <v>3.5</v>
      </c>
    </row>
    <row r="141" spans="2:6" x14ac:dyDescent="0.15">
      <c r="B141" s="231" t="s">
        <v>1132</v>
      </c>
      <c r="C141" s="233">
        <v>9.5</v>
      </c>
      <c r="D141" s="229"/>
      <c r="F141" s="229"/>
    </row>
    <row r="142" spans="2:6" x14ac:dyDescent="0.15">
      <c r="B142" s="231" t="s">
        <v>1125</v>
      </c>
      <c r="C142" s="233">
        <f>F140</f>
        <v>3.5</v>
      </c>
      <c r="D142" s="232">
        <f>C142/C141</f>
        <v>0.36842105263157893</v>
      </c>
      <c r="F142" s="229"/>
    </row>
    <row r="143" spans="2:6" x14ac:dyDescent="0.15">
      <c r="B143" s="231" t="s">
        <v>1133</v>
      </c>
      <c r="C143" s="230">
        <f>C141-C142</f>
        <v>6</v>
      </c>
      <c r="D143" s="229"/>
      <c r="F143" s="229"/>
    </row>
    <row r="144" spans="2:6" x14ac:dyDescent="0.15">
      <c r="B144" s="237"/>
      <c r="C144" s="237"/>
      <c r="D144" s="237"/>
      <c r="E144" s="237"/>
      <c r="F144" s="238"/>
    </row>
    <row r="145" spans="2:6" x14ac:dyDescent="0.15">
      <c r="B145" s="237"/>
      <c r="C145" s="237"/>
      <c r="D145" s="237"/>
      <c r="E145" s="237"/>
      <c r="F145" s="238"/>
    </row>
    <row r="146" spans="2:6" x14ac:dyDescent="0.15">
      <c r="B146" s="239" t="s">
        <v>1740</v>
      </c>
      <c r="C146" s="239"/>
      <c r="D146" s="239"/>
      <c r="E146" s="239"/>
      <c r="F146" s="239"/>
    </row>
    <row r="147" spans="2:6" x14ac:dyDescent="0.15">
      <c r="B147" s="239"/>
      <c r="C147" s="239"/>
      <c r="D147" s="239"/>
      <c r="E147" s="239"/>
      <c r="F147" s="239"/>
    </row>
    <row r="148" spans="2:6" ht="16" x14ac:dyDescent="0.2">
      <c r="B148" s="235" t="s">
        <v>1122</v>
      </c>
      <c r="C148" s="242" t="s">
        <v>1123</v>
      </c>
      <c r="D148" s="242" t="s">
        <v>1124</v>
      </c>
      <c r="E148" s="242" t="s">
        <v>1125</v>
      </c>
      <c r="F148" s="242" t="s">
        <v>1126</v>
      </c>
    </row>
    <row r="149" spans="2:6" x14ac:dyDescent="0.15">
      <c r="B149" s="231"/>
      <c r="C149" s="231"/>
      <c r="D149" s="231"/>
      <c r="E149" s="233"/>
      <c r="F149" s="233">
        <f>E149*C149</f>
        <v>0</v>
      </c>
    </row>
    <row r="150" spans="2:6" x14ac:dyDescent="0.15">
      <c r="B150" s="231"/>
      <c r="C150" s="231"/>
      <c r="D150" s="231"/>
      <c r="E150" s="233"/>
      <c r="F150" s="233">
        <f>E150*C150</f>
        <v>0</v>
      </c>
    </row>
    <row r="151" spans="2:6" x14ac:dyDescent="0.15">
      <c r="B151" s="231"/>
      <c r="C151" s="231"/>
      <c r="D151" s="231"/>
      <c r="E151" s="233"/>
      <c r="F151" s="233">
        <f>E151*C151</f>
        <v>0</v>
      </c>
    </row>
    <row r="152" spans="2:6" x14ac:dyDescent="0.15">
      <c r="B152" s="231"/>
      <c r="C152" s="231"/>
      <c r="D152" s="231"/>
      <c r="E152" s="233"/>
      <c r="F152" s="233">
        <f>E152*C152</f>
        <v>0</v>
      </c>
    </row>
    <row r="153" spans="2:6" x14ac:dyDescent="0.15">
      <c r="B153" s="231"/>
      <c r="C153" s="231"/>
      <c r="D153" s="231"/>
      <c r="E153" s="233"/>
      <c r="F153" s="233">
        <f>E153*C153</f>
        <v>0</v>
      </c>
    </row>
    <row r="154" spans="2:6" x14ac:dyDescent="0.15">
      <c r="B154" s="231"/>
      <c r="C154" s="231"/>
      <c r="D154" s="231"/>
      <c r="E154" s="233"/>
      <c r="F154" s="233">
        <f>E154*C154</f>
        <v>0</v>
      </c>
    </row>
    <row r="155" spans="2:6" x14ac:dyDescent="0.15">
      <c r="B155" s="231"/>
      <c r="C155" s="231"/>
      <c r="D155" s="231"/>
      <c r="E155" s="233"/>
      <c r="F155" s="233">
        <f>E155*C155</f>
        <v>0</v>
      </c>
    </row>
    <row r="156" spans="2:6" x14ac:dyDescent="0.15">
      <c r="B156" s="231"/>
      <c r="C156" s="231"/>
      <c r="D156" s="231"/>
      <c r="E156" s="233"/>
      <c r="F156" s="233">
        <f>E156*C156</f>
        <v>0</v>
      </c>
    </row>
    <row r="157" spans="2:6" x14ac:dyDescent="0.15">
      <c r="B157" s="231"/>
      <c r="C157" s="231"/>
      <c r="D157" s="231"/>
      <c r="E157" s="233"/>
      <c r="F157" s="233">
        <f>E157*C157</f>
        <v>0</v>
      </c>
    </row>
    <row r="158" spans="2:6" ht="14" x14ac:dyDescent="0.15">
      <c r="B158" s="229"/>
      <c r="C158" s="229"/>
      <c r="D158" s="229"/>
      <c r="E158" s="229"/>
      <c r="F158" s="240">
        <f>SUM(F149:F157)</f>
        <v>0</v>
      </c>
    </row>
    <row r="159" spans="2:6" x14ac:dyDescent="0.15">
      <c r="B159" s="231" t="s">
        <v>1132</v>
      </c>
      <c r="C159" s="233">
        <v>0</v>
      </c>
      <c r="D159" s="229"/>
      <c r="F159" s="229"/>
    </row>
    <row r="160" spans="2:6" x14ac:dyDescent="0.15">
      <c r="B160" s="231" t="s">
        <v>1125</v>
      </c>
      <c r="C160" s="233">
        <f>F158</f>
        <v>0</v>
      </c>
      <c r="D160" s="232" t="e">
        <f>C160/C159</f>
        <v>#DIV/0!</v>
      </c>
      <c r="F160" s="229"/>
    </row>
    <row r="161" spans="2:6" x14ac:dyDescent="0.15">
      <c r="B161" s="231" t="s">
        <v>1133</v>
      </c>
      <c r="C161" s="230">
        <f>C159-C160</f>
        <v>0</v>
      </c>
      <c r="D161" s="229"/>
      <c r="F161" s="229"/>
    </row>
    <row r="162" spans="2:6" x14ac:dyDescent="0.15">
      <c r="B162" s="237"/>
      <c r="C162" s="237"/>
      <c r="D162" s="237"/>
      <c r="E162" s="237"/>
      <c r="F162" s="238"/>
    </row>
    <row r="163" spans="2:6" x14ac:dyDescent="0.15">
      <c r="B163" s="237"/>
      <c r="C163" s="237"/>
      <c r="D163" s="237"/>
      <c r="E163" s="237"/>
      <c r="F163" s="238"/>
    </row>
    <row r="164" spans="2:6" x14ac:dyDescent="0.15">
      <c r="B164" s="239" t="s">
        <v>1752</v>
      </c>
      <c r="C164" s="239"/>
      <c r="D164" s="239"/>
      <c r="E164" s="239"/>
      <c r="F164" s="239"/>
    </row>
    <row r="165" spans="2:6" x14ac:dyDescent="0.15">
      <c r="B165" s="239"/>
      <c r="C165" s="239"/>
      <c r="D165" s="239"/>
      <c r="E165" s="239"/>
      <c r="F165" s="239"/>
    </row>
    <row r="166" spans="2:6" ht="16" x14ac:dyDescent="0.2">
      <c r="B166" s="235" t="s">
        <v>1122</v>
      </c>
      <c r="C166" s="242" t="s">
        <v>1123</v>
      </c>
      <c r="D166" s="242" t="s">
        <v>1124</v>
      </c>
      <c r="E166" s="242" t="s">
        <v>1125</v>
      </c>
      <c r="F166" s="242" t="s">
        <v>1126</v>
      </c>
    </row>
    <row r="167" spans="2:6" x14ac:dyDescent="0.15">
      <c r="B167" s="231"/>
      <c r="C167" s="231"/>
      <c r="D167" s="231"/>
      <c r="E167" s="233"/>
      <c r="F167" s="233">
        <f>E167*C167</f>
        <v>0</v>
      </c>
    </row>
    <row r="168" spans="2:6" x14ac:dyDescent="0.15">
      <c r="B168" s="231"/>
      <c r="C168" s="231"/>
      <c r="D168" s="231"/>
      <c r="E168" s="233"/>
      <c r="F168" s="233">
        <f>E168*C168</f>
        <v>0</v>
      </c>
    </row>
    <row r="169" spans="2:6" x14ac:dyDescent="0.15">
      <c r="B169" s="231"/>
      <c r="C169" s="231"/>
      <c r="D169" s="231"/>
      <c r="E169" s="233"/>
      <c r="F169" s="233">
        <f>E169*C169</f>
        <v>0</v>
      </c>
    </row>
    <row r="170" spans="2:6" x14ac:dyDescent="0.15">
      <c r="B170" s="231"/>
      <c r="C170" s="231"/>
      <c r="D170" s="231"/>
      <c r="E170" s="233"/>
      <c r="F170" s="233">
        <f>E170*C170</f>
        <v>0</v>
      </c>
    </row>
    <row r="171" spans="2:6" x14ac:dyDescent="0.15">
      <c r="B171" s="231"/>
      <c r="C171" s="231"/>
      <c r="D171" s="231"/>
      <c r="E171" s="233"/>
      <c r="F171" s="233">
        <f>E171*C171</f>
        <v>0</v>
      </c>
    </row>
    <row r="172" spans="2:6" x14ac:dyDescent="0.15">
      <c r="B172" s="231"/>
      <c r="C172" s="231"/>
      <c r="D172" s="231"/>
      <c r="E172" s="233"/>
      <c r="F172" s="233">
        <f>E172*C172</f>
        <v>0</v>
      </c>
    </row>
    <row r="173" spans="2:6" x14ac:dyDescent="0.15">
      <c r="B173" s="231"/>
      <c r="C173" s="231"/>
      <c r="D173" s="231"/>
      <c r="E173" s="233"/>
      <c r="F173" s="233">
        <f>E173*C173</f>
        <v>0</v>
      </c>
    </row>
    <row r="174" spans="2:6" x14ac:dyDescent="0.15">
      <c r="B174" s="231"/>
      <c r="C174" s="231"/>
      <c r="D174" s="231"/>
      <c r="E174" s="233"/>
      <c r="F174" s="233">
        <f>E174*C174</f>
        <v>0</v>
      </c>
    </row>
    <row r="175" spans="2:6" x14ac:dyDescent="0.15">
      <c r="B175" s="231"/>
      <c r="C175" s="231"/>
      <c r="D175" s="231"/>
      <c r="E175" s="233"/>
      <c r="F175" s="233">
        <f>E175*C175</f>
        <v>0</v>
      </c>
    </row>
    <row r="176" spans="2:6" ht="14" x14ac:dyDescent="0.15">
      <c r="B176" s="229"/>
      <c r="C176" s="229"/>
      <c r="D176" s="229"/>
      <c r="E176" s="229"/>
      <c r="F176" s="240">
        <f>SUM(F167:F175)</f>
        <v>0</v>
      </c>
    </row>
    <row r="177" spans="2:6" x14ac:dyDescent="0.15">
      <c r="B177" s="231" t="s">
        <v>1132</v>
      </c>
      <c r="C177" s="233">
        <v>0</v>
      </c>
      <c r="D177" s="229"/>
      <c r="F177" s="229"/>
    </row>
    <row r="178" spans="2:6" x14ac:dyDescent="0.15">
      <c r="B178" s="231" t="s">
        <v>1125</v>
      </c>
      <c r="C178" s="233">
        <f>F176</f>
        <v>0</v>
      </c>
      <c r="D178" s="232" t="e">
        <f>C178/C177</f>
        <v>#DIV/0!</v>
      </c>
      <c r="F178" s="229"/>
    </row>
    <row r="179" spans="2:6" x14ac:dyDescent="0.15">
      <c r="B179" s="231" t="s">
        <v>1133</v>
      </c>
      <c r="C179" s="230">
        <f>C177-C178</f>
        <v>0</v>
      </c>
      <c r="D179" s="229"/>
      <c r="F179" s="229"/>
    </row>
    <row r="180" spans="2:6" x14ac:dyDescent="0.15">
      <c r="B180" s="237"/>
      <c r="C180" s="237"/>
      <c r="D180" s="237"/>
      <c r="E180" s="237"/>
      <c r="F180" s="238"/>
    </row>
    <row r="181" spans="2:6" x14ac:dyDescent="0.15">
      <c r="B181" s="237"/>
      <c r="C181" s="237"/>
      <c r="D181" s="237"/>
      <c r="E181" s="237"/>
      <c r="F181" s="238"/>
    </row>
    <row r="182" spans="2:6" x14ac:dyDescent="0.15">
      <c r="B182" s="239" t="s">
        <v>1748</v>
      </c>
      <c r="C182" s="239"/>
      <c r="D182" s="239"/>
      <c r="E182" s="239"/>
      <c r="F182" s="239"/>
    </row>
    <row r="183" spans="2:6" x14ac:dyDescent="0.15">
      <c r="B183" s="239"/>
      <c r="C183" s="239"/>
      <c r="D183" s="239"/>
      <c r="E183" s="239"/>
      <c r="F183" s="239"/>
    </row>
    <row r="184" spans="2:6" ht="16" x14ac:dyDescent="0.2">
      <c r="B184" s="235" t="s">
        <v>1122</v>
      </c>
      <c r="C184" s="242" t="s">
        <v>1123</v>
      </c>
      <c r="D184" s="242" t="s">
        <v>1124</v>
      </c>
      <c r="E184" s="242" t="s">
        <v>1125</v>
      </c>
      <c r="F184" s="242" t="s">
        <v>1126</v>
      </c>
    </row>
    <row r="185" spans="2:6" x14ac:dyDescent="0.15">
      <c r="B185" s="231" t="s">
        <v>1484</v>
      </c>
      <c r="C185" s="231">
        <v>2</v>
      </c>
      <c r="D185" s="231" t="s">
        <v>1486</v>
      </c>
      <c r="E185" s="233">
        <f>INGREDIENTS!$F$112*C185</f>
        <v>1.06</v>
      </c>
      <c r="F185" s="233">
        <f>E185*C185</f>
        <v>2.12</v>
      </c>
    </row>
    <row r="186" spans="2:6" x14ac:dyDescent="0.15">
      <c r="B186" s="231" t="s">
        <v>1758</v>
      </c>
      <c r="C186" s="231">
        <v>1</v>
      </c>
      <c r="D186" s="231" t="s">
        <v>1759</v>
      </c>
      <c r="E186" s="233">
        <f>INGREDIENTS!F81</f>
        <v>2</v>
      </c>
      <c r="F186" s="233">
        <f>E186*C186</f>
        <v>2</v>
      </c>
    </row>
    <row r="187" spans="2:6" x14ac:dyDescent="0.15">
      <c r="B187" s="231" t="s">
        <v>1753</v>
      </c>
      <c r="C187" s="231">
        <v>1</v>
      </c>
      <c r="D187" s="231" t="s">
        <v>1486</v>
      </c>
      <c r="E187" s="233"/>
      <c r="F187" s="233">
        <f>E187*C187</f>
        <v>0</v>
      </c>
    </row>
    <row r="188" spans="2:6" x14ac:dyDescent="0.15">
      <c r="B188" s="231"/>
      <c r="C188" s="231"/>
      <c r="D188" s="231"/>
      <c r="E188" s="233"/>
      <c r="F188" s="233">
        <f>E188*C188</f>
        <v>0</v>
      </c>
    </row>
    <row r="189" spans="2:6" x14ac:dyDescent="0.15">
      <c r="B189" s="231"/>
      <c r="C189" s="231"/>
      <c r="D189" s="231"/>
      <c r="E189" s="233"/>
      <c r="F189" s="233">
        <f>E189*C189</f>
        <v>0</v>
      </c>
    </row>
    <row r="190" spans="2:6" x14ac:dyDescent="0.15">
      <c r="B190" s="231"/>
      <c r="C190" s="231"/>
      <c r="D190" s="231"/>
      <c r="E190" s="233"/>
      <c r="F190" s="233">
        <f>E190*C190</f>
        <v>0</v>
      </c>
    </row>
    <row r="191" spans="2:6" x14ac:dyDescent="0.15">
      <c r="B191" s="231"/>
      <c r="C191" s="231"/>
      <c r="D191" s="231"/>
      <c r="E191" s="233"/>
      <c r="F191" s="233">
        <f>E191*C191</f>
        <v>0</v>
      </c>
    </row>
    <row r="192" spans="2:6" x14ac:dyDescent="0.15">
      <c r="B192" s="231"/>
      <c r="C192" s="231"/>
      <c r="D192" s="231"/>
      <c r="E192" s="233"/>
      <c r="F192" s="233">
        <f>E192*C192</f>
        <v>0</v>
      </c>
    </row>
    <row r="193" spans="2:6" x14ac:dyDescent="0.15">
      <c r="B193" s="231"/>
      <c r="C193" s="231"/>
      <c r="D193" s="231"/>
      <c r="E193" s="233"/>
      <c r="F193" s="233">
        <f>E193*C193</f>
        <v>0</v>
      </c>
    </row>
    <row r="194" spans="2:6" ht="14" x14ac:dyDescent="0.15">
      <c r="B194" s="229"/>
      <c r="C194" s="229"/>
      <c r="D194" s="229"/>
      <c r="E194" s="229"/>
      <c r="F194" s="240">
        <f>SUM(F185:F193)</f>
        <v>4.12</v>
      </c>
    </row>
    <row r="195" spans="2:6" x14ac:dyDescent="0.15">
      <c r="B195" s="231" t="s">
        <v>1132</v>
      </c>
      <c r="C195" s="233">
        <v>9.9</v>
      </c>
      <c r="D195" s="229"/>
      <c r="F195" s="229"/>
    </row>
    <row r="196" spans="2:6" x14ac:dyDescent="0.15">
      <c r="B196" s="231" t="s">
        <v>1125</v>
      </c>
      <c r="C196" s="233">
        <f>F194</f>
        <v>4.12</v>
      </c>
      <c r="D196" s="232">
        <f>C196/C195</f>
        <v>0.41616161616161618</v>
      </c>
      <c r="F196" s="229"/>
    </row>
    <row r="197" spans="2:6" x14ac:dyDescent="0.15">
      <c r="B197" s="231" t="s">
        <v>1133</v>
      </c>
      <c r="C197" s="230">
        <f>C195-C196</f>
        <v>5.78</v>
      </c>
      <c r="D197" s="229"/>
      <c r="F197" s="229"/>
    </row>
    <row r="198" spans="2:6" x14ac:dyDescent="0.15">
      <c r="B198" s="237"/>
      <c r="C198" s="237"/>
      <c r="D198" s="237"/>
      <c r="E198" s="237"/>
      <c r="F198" s="238"/>
    </row>
    <row r="199" spans="2:6" x14ac:dyDescent="0.15">
      <c r="B199" s="237"/>
      <c r="C199" s="237"/>
      <c r="D199" s="237"/>
      <c r="E199" s="237"/>
      <c r="F199" s="238"/>
    </row>
    <row r="200" spans="2:6" x14ac:dyDescent="0.15">
      <c r="B200" s="239" t="s">
        <v>1754</v>
      </c>
      <c r="C200" s="239"/>
      <c r="D200" s="239"/>
      <c r="E200" s="239"/>
      <c r="F200" s="239"/>
    </row>
    <row r="201" spans="2:6" x14ac:dyDescent="0.15">
      <c r="B201" s="239"/>
      <c r="C201" s="239"/>
      <c r="D201" s="239"/>
      <c r="E201" s="239"/>
      <c r="F201" s="239"/>
    </row>
    <row r="202" spans="2:6" ht="16" x14ac:dyDescent="0.2">
      <c r="B202" s="235" t="s">
        <v>1122</v>
      </c>
      <c r="C202" s="242" t="s">
        <v>1123</v>
      </c>
      <c r="D202" s="242" t="s">
        <v>1124</v>
      </c>
      <c r="E202" s="242" t="s">
        <v>1125</v>
      </c>
      <c r="F202" s="242" t="s">
        <v>1126</v>
      </c>
    </row>
    <row r="203" spans="2:6" x14ac:dyDescent="0.15">
      <c r="B203" s="231" t="s">
        <v>1755</v>
      </c>
      <c r="C203" s="231">
        <v>2</v>
      </c>
      <c r="D203" s="231" t="s">
        <v>1486</v>
      </c>
      <c r="E203" s="233"/>
      <c r="F203" s="233">
        <f>E203*C203</f>
        <v>0</v>
      </c>
    </row>
    <row r="204" spans="2:6" x14ac:dyDescent="0.15">
      <c r="B204" s="231" t="s">
        <v>1758</v>
      </c>
      <c r="C204" s="231">
        <v>2</v>
      </c>
      <c r="D204" s="231" t="s">
        <v>1737</v>
      </c>
      <c r="E204" s="233"/>
      <c r="F204" s="233">
        <f>E204*C204</f>
        <v>0</v>
      </c>
    </row>
    <row r="205" spans="2:6" x14ac:dyDescent="0.15">
      <c r="B205" s="231" t="s">
        <v>1753</v>
      </c>
      <c r="C205" s="231">
        <v>1</v>
      </c>
      <c r="D205" s="231" t="s">
        <v>1486</v>
      </c>
      <c r="E205" s="233"/>
      <c r="F205" s="233">
        <f>E205*C205</f>
        <v>0</v>
      </c>
    </row>
    <row r="206" spans="2:6" x14ac:dyDescent="0.15">
      <c r="B206" s="231"/>
      <c r="C206" s="231"/>
      <c r="D206" s="231"/>
      <c r="E206" s="233"/>
      <c r="F206" s="233">
        <f>E206*C206</f>
        <v>0</v>
      </c>
    </row>
    <row r="207" spans="2:6" x14ac:dyDescent="0.15">
      <c r="B207" s="231"/>
      <c r="C207" s="231"/>
      <c r="D207" s="231"/>
      <c r="E207" s="233"/>
      <c r="F207" s="233">
        <f>E207*C207</f>
        <v>0</v>
      </c>
    </row>
    <row r="208" spans="2:6" x14ac:dyDescent="0.15">
      <c r="B208" s="231"/>
      <c r="C208" s="231"/>
      <c r="D208" s="231"/>
      <c r="E208" s="233"/>
      <c r="F208" s="233">
        <f>E208*C208</f>
        <v>0</v>
      </c>
    </row>
    <row r="209" spans="2:6" x14ac:dyDescent="0.15">
      <c r="B209" s="231"/>
      <c r="C209" s="231"/>
      <c r="D209" s="231"/>
      <c r="E209" s="233"/>
      <c r="F209" s="233">
        <f>E209*C209</f>
        <v>0</v>
      </c>
    </row>
    <row r="210" spans="2:6" x14ac:dyDescent="0.15">
      <c r="B210" s="231"/>
      <c r="C210" s="231"/>
      <c r="D210" s="231"/>
      <c r="E210" s="233"/>
      <c r="F210" s="233">
        <f>E210*C210</f>
        <v>0</v>
      </c>
    </row>
    <row r="211" spans="2:6" x14ac:dyDescent="0.15">
      <c r="B211" s="231"/>
      <c r="C211" s="231"/>
      <c r="D211" s="231"/>
      <c r="E211" s="233"/>
      <c r="F211" s="233">
        <f>E211*C211</f>
        <v>0</v>
      </c>
    </row>
    <row r="212" spans="2:6" ht="14" x14ac:dyDescent="0.15">
      <c r="B212" s="229"/>
      <c r="C212" s="229"/>
      <c r="D212" s="229"/>
      <c r="E212" s="229"/>
      <c r="F212" s="240">
        <f>SUM(F203:F211)</f>
        <v>0</v>
      </c>
    </row>
    <row r="213" spans="2:6" x14ac:dyDescent="0.15">
      <c r="B213" s="231" t="s">
        <v>1132</v>
      </c>
      <c r="C213" s="233">
        <v>0</v>
      </c>
      <c r="D213" s="229"/>
      <c r="F213" s="229"/>
    </row>
    <row r="214" spans="2:6" x14ac:dyDescent="0.15">
      <c r="B214" s="231" t="s">
        <v>1125</v>
      </c>
      <c r="C214" s="233">
        <f>F212</f>
        <v>0</v>
      </c>
      <c r="D214" s="232" t="e">
        <f>C214/C213</f>
        <v>#DIV/0!</v>
      </c>
      <c r="F214" s="229"/>
    </row>
    <row r="215" spans="2:6" x14ac:dyDescent="0.15">
      <c r="B215" s="231" t="s">
        <v>1133</v>
      </c>
      <c r="C215" s="230">
        <f>C213-C214</f>
        <v>0</v>
      </c>
      <c r="D215" s="229"/>
      <c r="F215" s="229"/>
    </row>
    <row r="216" spans="2:6" x14ac:dyDescent="0.15">
      <c r="B216" s="237"/>
      <c r="C216" s="237"/>
      <c r="D216" s="237"/>
      <c r="E216" s="237"/>
      <c r="F216" s="238"/>
    </row>
    <row r="217" spans="2:6" x14ac:dyDescent="0.15">
      <c r="B217" s="237"/>
      <c r="C217" s="237"/>
      <c r="D217" s="237"/>
      <c r="E217" s="237"/>
      <c r="F217" s="238"/>
    </row>
    <row r="218" spans="2:6" x14ac:dyDescent="0.15">
      <c r="B218" s="239" t="s">
        <v>1784</v>
      </c>
      <c r="C218" s="239"/>
      <c r="D218" s="239"/>
      <c r="E218" s="239"/>
      <c r="F218" s="239"/>
    </row>
    <row r="219" spans="2:6" x14ac:dyDescent="0.15">
      <c r="B219" s="239"/>
      <c r="C219" s="239"/>
      <c r="D219" s="239"/>
      <c r="E219" s="239"/>
      <c r="F219" s="239"/>
    </row>
    <row r="220" spans="2:6" ht="16" x14ac:dyDescent="0.2">
      <c r="B220" s="235" t="s">
        <v>1122</v>
      </c>
      <c r="C220" s="242" t="s">
        <v>1123</v>
      </c>
      <c r="D220" s="242" t="s">
        <v>1124</v>
      </c>
      <c r="E220" s="242" t="s">
        <v>1125</v>
      </c>
      <c r="F220" s="242" t="s">
        <v>1126</v>
      </c>
    </row>
    <row r="221" spans="2:6" x14ac:dyDescent="0.15">
      <c r="B221" s="231" t="s">
        <v>1749</v>
      </c>
      <c r="C221" s="231">
        <v>1</v>
      </c>
      <c r="D221" s="231" t="s">
        <v>1759</v>
      </c>
      <c r="E221" s="233"/>
      <c r="F221" s="233">
        <f>E221*C221</f>
        <v>0</v>
      </c>
    </row>
    <row r="222" spans="2:6" x14ac:dyDescent="0.15">
      <c r="B222" s="231" t="s">
        <v>1768</v>
      </c>
      <c r="C222" s="231">
        <v>1</v>
      </c>
      <c r="D222" s="231" t="s">
        <v>1737</v>
      </c>
      <c r="E222" s="233"/>
      <c r="F222" s="233">
        <f>E222*C222</f>
        <v>0</v>
      </c>
    </row>
    <row r="223" spans="2:6" x14ac:dyDescent="0.15">
      <c r="B223" s="231" t="s">
        <v>1064</v>
      </c>
      <c r="C223" s="231">
        <v>1</v>
      </c>
      <c r="D223" s="231" t="s">
        <v>1486</v>
      </c>
      <c r="E223" s="233"/>
      <c r="F223" s="233">
        <f>E223*C223</f>
        <v>0</v>
      </c>
    </row>
    <row r="224" spans="2:6" x14ac:dyDescent="0.15">
      <c r="B224" s="231" t="s">
        <v>1127</v>
      </c>
      <c r="C224" s="231">
        <v>1</v>
      </c>
      <c r="D224" s="231" t="s">
        <v>1486</v>
      </c>
      <c r="E224" s="233"/>
      <c r="F224" s="233">
        <f>E224*C224</f>
        <v>0</v>
      </c>
    </row>
    <row r="225" spans="2:6" x14ac:dyDescent="0.15">
      <c r="B225" s="231" t="s">
        <v>1769</v>
      </c>
      <c r="C225" s="231">
        <v>20</v>
      </c>
      <c r="D225" s="231" t="s">
        <v>1745</v>
      </c>
      <c r="E225" s="233"/>
      <c r="F225" s="233">
        <f>E225*C225</f>
        <v>0</v>
      </c>
    </row>
    <row r="226" spans="2:6" x14ac:dyDescent="0.15">
      <c r="B226" s="231"/>
      <c r="C226" s="231"/>
      <c r="D226" s="231"/>
      <c r="E226" s="233"/>
      <c r="F226" s="233">
        <f>E226*C226</f>
        <v>0</v>
      </c>
    </row>
    <row r="227" spans="2:6" x14ac:dyDescent="0.15">
      <c r="B227" s="231"/>
      <c r="C227" s="231"/>
      <c r="D227" s="231"/>
      <c r="E227" s="233"/>
      <c r="F227" s="233">
        <f>E227*C227</f>
        <v>0</v>
      </c>
    </row>
    <row r="228" spans="2:6" x14ac:dyDescent="0.15">
      <c r="B228" s="231"/>
      <c r="C228" s="231"/>
      <c r="D228" s="231"/>
      <c r="E228" s="233"/>
      <c r="F228" s="233">
        <f>E228*C228</f>
        <v>0</v>
      </c>
    </row>
    <row r="229" spans="2:6" x14ac:dyDescent="0.15">
      <c r="B229" s="231"/>
      <c r="C229" s="231"/>
      <c r="D229" s="231"/>
      <c r="E229" s="233"/>
      <c r="F229" s="233">
        <f>E229*C229</f>
        <v>0</v>
      </c>
    </row>
    <row r="230" spans="2:6" ht="14" x14ac:dyDescent="0.15">
      <c r="B230" s="229"/>
      <c r="C230" s="229"/>
      <c r="D230" s="229"/>
      <c r="E230" s="229"/>
      <c r="F230" s="240">
        <f>SUM(F221:F229)</f>
        <v>0</v>
      </c>
    </row>
    <row r="231" spans="2:6" x14ac:dyDescent="0.15">
      <c r="B231" s="231" t="s">
        <v>1132</v>
      </c>
      <c r="C231" s="233">
        <v>0</v>
      </c>
      <c r="D231" s="229"/>
      <c r="F231" s="229"/>
    </row>
    <row r="232" spans="2:6" x14ac:dyDescent="0.15">
      <c r="B232" s="231" t="s">
        <v>1125</v>
      </c>
      <c r="C232" s="233">
        <f>F230</f>
        <v>0</v>
      </c>
      <c r="D232" s="232" t="e">
        <f>C232/C231</f>
        <v>#DIV/0!</v>
      </c>
      <c r="F232" s="229"/>
    </row>
    <row r="233" spans="2:6" x14ac:dyDescent="0.15">
      <c r="B233" s="231" t="s">
        <v>1133</v>
      </c>
      <c r="C233" s="230">
        <f>C231-C232</f>
        <v>0</v>
      </c>
      <c r="D233" s="229"/>
      <c r="F233" s="229"/>
    </row>
    <row r="234" spans="2:6" x14ac:dyDescent="0.15">
      <c r="B234" s="237"/>
      <c r="C234" s="237"/>
      <c r="D234" s="237"/>
      <c r="E234" s="237"/>
      <c r="F234" s="238"/>
    </row>
    <row r="235" spans="2:6" x14ac:dyDescent="0.15">
      <c r="B235" s="237"/>
      <c r="C235" s="237"/>
      <c r="D235" s="237"/>
      <c r="E235" s="237"/>
      <c r="F235" s="238"/>
    </row>
    <row r="236" spans="2:6" x14ac:dyDescent="0.15">
      <c r="B236" s="239" t="s">
        <v>1774</v>
      </c>
      <c r="C236" s="239"/>
      <c r="D236" s="239"/>
      <c r="E236" s="239"/>
      <c r="F236" s="239"/>
    </row>
    <row r="237" spans="2:6" x14ac:dyDescent="0.15">
      <c r="B237" s="239"/>
      <c r="C237" s="239"/>
      <c r="D237" s="239"/>
      <c r="E237" s="239"/>
      <c r="F237" s="239"/>
    </row>
    <row r="238" spans="2:6" ht="16" x14ac:dyDescent="0.2">
      <c r="B238" s="235" t="s">
        <v>1122</v>
      </c>
      <c r="C238" s="242" t="s">
        <v>1123</v>
      </c>
      <c r="D238" s="242" t="s">
        <v>1124</v>
      </c>
      <c r="E238" s="242" t="s">
        <v>1125</v>
      </c>
      <c r="F238" s="242" t="s">
        <v>1126</v>
      </c>
    </row>
    <row r="239" spans="2:6" x14ac:dyDescent="0.15">
      <c r="B239" s="231" t="s">
        <v>1775</v>
      </c>
      <c r="C239" s="231">
        <v>1</v>
      </c>
      <c r="D239" s="231" t="s">
        <v>1486</v>
      </c>
      <c r="E239" s="233"/>
      <c r="F239" s="233">
        <f>E239*C239</f>
        <v>0</v>
      </c>
    </row>
    <row r="240" spans="2:6" x14ac:dyDescent="0.15">
      <c r="B240" s="231" t="s">
        <v>1776</v>
      </c>
      <c r="C240" s="231">
        <v>1</v>
      </c>
      <c r="D240" s="231" t="s">
        <v>1759</v>
      </c>
      <c r="E240" s="233"/>
      <c r="F240" s="233">
        <f>E240*C240</f>
        <v>0</v>
      </c>
    </row>
    <row r="241" spans="2:6" x14ac:dyDescent="0.15">
      <c r="B241" s="231" t="s">
        <v>1778</v>
      </c>
      <c r="C241" s="231">
        <v>1</v>
      </c>
      <c r="D241" s="231" t="s">
        <v>1486</v>
      </c>
      <c r="E241" s="233"/>
      <c r="F241" s="233">
        <f>E241*C241</f>
        <v>0</v>
      </c>
    </row>
    <row r="242" spans="2:6" x14ac:dyDescent="0.15">
      <c r="B242" s="231" t="s">
        <v>1779</v>
      </c>
      <c r="C242" s="231"/>
      <c r="D242" s="231" t="s">
        <v>1745</v>
      </c>
      <c r="E242" s="233"/>
      <c r="F242" s="233">
        <f>E242*C242</f>
        <v>0</v>
      </c>
    </row>
    <row r="243" spans="2:6" x14ac:dyDescent="0.15">
      <c r="B243" s="231" t="s">
        <v>1769</v>
      </c>
      <c r="C243" s="231">
        <v>20</v>
      </c>
      <c r="D243" s="231" t="s">
        <v>1745</v>
      </c>
      <c r="E243" s="233"/>
      <c r="F243" s="233">
        <f>E243*C243</f>
        <v>0</v>
      </c>
    </row>
    <row r="244" spans="2:6" x14ac:dyDescent="0.15">
      <c r="B244" s="231" t="s">
        <v>1780</v>
      </c>
      <c r="C244" s="231"/>
      <c r="D244" s="231" t="s">
        <v>1757</v>
      </c>
      <c r="E244" s="233"/>
      <c r="F244" s="233">
        <f>E244*C244</f>
        <v>0</v>
      </c>
    </row>
    <row r="245" spans="2:6" x14ac:dyDescent="0.15">
      <c r="B245" s="231"/>
      <c r="C245" s="231"/>
      <c r="D245" s="231"/>
      <c r="E245" s="233"/>
      <c r="F245" s="233">
        <f>E245*C245</f>
        <v>0</v>
      </c>
    </row>
    <row r="246" spans="2:6" x14ac:dyDescent="0.15">
      <c r="B246" s="231"/>
      <c r="C246" s="231"/>
      <c r="D246" s="231"/>
      <c r="E246" s="233"/>
      <c r="F246" s="233">
        <f>E246*C246</f>
        <v>0</v>
      </c>
    </row>
    <row r="247" spans="2:6" x14ac:dyDescent="0.15">
      <c r="B247" s="231"/>
      <c r="C247" s="231"/>
      <c r="D247" s="231"/>
      <c r="E247" s="233"/>
      <c r="F247" s="233">
        <f>E247*C247</f>
        <v>0</v>
      </c>
    </row>
    <row r="248" spans="2:6" ht="14" x14ac:dyDescent="0.15">
      <c r="B248" s="229"/>
      <c r="C248" s="229"/>
      <c r="D248" s="229"/>
      <c r="E248" s="229"/>
      <c r="F248" s="240">
        <f>SUM(F239:F247)</f>
        <v>0</v>
      </c>
    </row>
    <row r="249" spans="2:6" x14ac:dyDescent="0.15">
      <c r="B249" s="231" t="s">
        <v>1132</v>
      </c>
      <c r="C249" s="233">
        <v>0</v>
      </c>
      <c r="D249" s="229"/>
      <c r="F249" s="229"/>
    </row>
    <row r="250" spans="2:6" x14ac:dyDescent="0.15">
      <c r="B250" s="231" t="s">
        <v>1125</v>
      </c>
      <c r="C250" s="233">
        <f>F248</f>
        <v>0</v>
      </c>
      <c r="D250" s="232" t="e">
        <f>C250/C249</f>
        <v>#DIV/0!</v>
      </c>
      <c r="F250" s="229"/>
    </row>
    <row r="251" spans="2:6" x14ac:dyDescent="0.15">
      <c r="B251" s="231" t="s">
        <v>1133</v>
      </c>
      <c r="C251" s="230">
        <f>C249-C250</f>
        <v>0</v>
      </c>
      <c r="D251" s="229"/>
      <c r="F251" s="229"/>
    </row>
    <row r="252" spans="2:6" x14ac:dyDescent="0.15">
      <c r="B252" s="237"/>
      <c r="C252" s="237"/>
      <c r="D252" s="237"/>
      <c r="E252" s="237"/>
      <c r="F252" s="238"/>
    </row>
    <row r="253" spans="2:6" x14ac:dyDescent="0.15">
      <c r="B253" s="237"/>
      <c r="C253" s="237"/>
      <c r="D253" s="237"/>
      <c r="E253" s="237"/>
      <c r="F253" s="238"/>
    </row>
  </sheetData>
  <mergeCells count="14">
    <mergeCell ref="B21:F22"/>
    <mergeCell ref="B57:F58"/>
    <mergeCell ref="B218:F219"/>
    <mergeCell ref="B236:F237"/>
    <mergeCell ref="B39:F40"/>
    <mergeCell ref="B93:F94"/>
    <mergeCell ref="B75:F76"/>
    <mergeCell ref="B129:F130"/>
    <mergeCell ref="B111:F112"/>
    <mergeCell ref="B146:F147"/>
    <mergeCell ref="B164:F165"/>
    <mergeCell ref="B182:F183"/>
    <mergeCell ref="B200:F201"/>
    <mergeCell ref="B3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D1C9-0718-42DB-A78D-A0898CB99CAA}">
  <dimension ref="B2:G106"/>
  <sheetViews>
    <sheetView zoomScale="89" workbookViewId="0">
      <selection activeCell="I31" sqref="I31"/>
    </sheetView>
  </sheetViews>
  <sheetFormatPr baseColWidth="10" defaultColWidth="8.83203125" defaultRowHeight="13" x14ac:dyDescent="0.15"/>
  <cols>
    <col min="1" max="1" width="5.5" customWidth="1"/>
    <col min="2" max="2" width="31.83203125" bestFit="1" customWidth="1"/>
    <col min="3" max="3" width="13" bestFit="1" customWidth="1"/>
    <col min="4" max="4" width="11.6640625" bestFit="1" customWidth="1"/>
    <col min="5" max="5" width="10.5" bestFit="1" customWidth="1"/>
    <col min="6" max="6" width="17" bestFit="1" customWidth="1"/>
  </cols>
  <sheetData>
    <row r="2" spans="2:6" ht="16" customHeight="1" x14ac:dyDescent="0.15">
      <c r="B2" s="167" t="s">
        <v>1316</v>
      </c>
      <c r="C2" s="167"/>
      <c r="D2" s="167"/>
      <c r="E2" s="167"/>
      <c r="F2" s="167"/>
    </row>
    <row r="3" spans="2:6" x14ac:dyDescent="0.15">
      <c r="B3" s="167"/>
      <c r="C3" s="167"/>
      <c r="D3" s="167"/>
      <c r="E3" s="167"/>
      <c r="F3" s="167"/>
    </row>
    <row r="4" spans="2:6" ht="16" x14ac:dyDescent="0.2">
      <c r="B4" s="119" t="s">
        <v>1122</v>
      </c>
      <c r="C4" s="119" t="s">
        <v>1123</v>
      </c>
      <c r="D4" s="119" t="s">
        <v>1124</v>
      </c>
      <c r="E4" s="119" t="s">
        <v>1125</v>
      </c>
      <c r="F4" s="119" t="s">
        <v>1126</v>
      </c>
    </row>
    <row r="5" spans="2:6" x14ac:dyDescent="0.15">
      <c r="B5" s="106" t="s">
        <v>1127</v>
      </c>
      <c r="C5" s="106">
        <v>1</v>
      </c>
      <c r="D5" s="106" t="s">
        <v>1036</v>
      </c>
      <c r="E5" s="107">
        <f>INGREDIENTS!$F$50</f>
        <v>0.65333333333333343</v>
      </c>
      <c r="F5" s="107">
        <f>E5*C5</f>
        <v>0.65333333333333343</v>
      </c>
    </row>
    <row r="6" spans="2:6" x14ac:dyDescent="0.15">
      <c r="B6" s="106" t="s">
        <v>1006</v>
      </c>
      <c r="C6" s="106">
        <v>1</v>
      </c>
      <c r="D6" s="106" t="s">
        <v>1036</v>
      </c>
      <c r="E6" s="107">
        <f>INGREDIENTS!$F$51</f>
        <v>0.41428571428571426</v>
      </c>
      <c r="F6" s="107">
        <f>E6*C6</f>
        <v>0.41428571428571426</v>
      </c>
    </row>
    <row r="7" spans="2:6" x14ac:dyDescent="0.15">
      <c r="B7" s="108" t="s">
        <v>1064</v>
      </c>
      <c r="C7" s="106">
        <v>3</v>
      </c>
      <c r="D7" s="106" t="s">
        <v>1036</v>
      </c>
      <c r="E7" s="107">
        <f>INGREDIENTS!$F$112</f>
        <v>0.53</v>
      </c>
      <c r="F7" s="107">
        <f t="shared" ref="F7:F12" si="0">E7*C7</f>
        <v>1.59</v>
      </c>
    </row>
    <row r="8" spans="2:6" x14ac:dyDescent="0.15">
      <c r="B8" s="108" t="s">
        <v>1128</v>
      </c>
      <c r="C8" s="106">
        <v>20</v>
      </c>
      <c r="D8" s="106" t="s">
        <v>1129</v>
      </c>
      <c r="E8" s="107">
        <f>INGREDIENTS!$F$38</f>
        <v>1.426E-2</v>
      </c>
      <c r="F8" s="107">
        <f t="shared" si="0"/>
        <v>0.28520000000000001</v>
      </c>
    </row>
    <row r="9" spans="2:6" x14ac:dyDescent="0.15">
      <c r="B9" s="106" t="s">
        <v>1130</v>
      </c>
      <c r="C9" s="106">
        <v>1</v>
      </c>
      <c r="D9" s="106" t="s">
        <v>1036</v>
      </c>
      <c r="E9" s="107">
        <f>INGREDIENTS!$F$77</f>
        <v>2.2857142857142856</v>
      </c>
      <c r="F9" s="107">
        <f t="shared" si="0"/>
        <v>2.2857142857142856</v>
      </c>
    </row>
    <row r="10" spans="2:6" x14ac:dyDescent="0.15">
      <c r="B10" s="106" t="s">
        <v>1094</v>
      </c>
      <c r="C10" s="106">
        <v>1</v>
      </c>
      <c r="D10" s="106" t="s">
        <v>1129</v>
      </c>
      <c r="E10" s="107">
        <f>INGREDIENTS!F133</f>
        <v>0.01</v>
      </c>
      <c r="F10" s="107">
        <f t="shared" si="0"/>
        <v>0.01</v>
      </c>
    </row>
    <row r="11" spans="2:6" x14ac:dyDescent="0.15">
      <c r="B11" s="106" t="s">
        <v>1131</v>
      </c>
      <c r="C11" s="106">
        <v>1</v>
      </c>
      <c r="D11" s="106" t="s">
        <v>1129</v>
      </c>
      <c r="E11" s="107">
        <f>INGREDIENTS!F91</f>
        <v>7.5999999999999998E-2</v>
      </c>
      <c r="F11" s="107">
        <f t="shared" si="0"/>
        <v>7.5999999999999998E-2</v>
      </c>
    </row>
    <row r="12" spans="2:6" x14ac:dyDescent="0.15">
      <c r="B12" s="106" t="s">
        <v>1090</v>
      </c>
      <c r="C12" s="106">
        <v>15</v>
      </c>
      <c r="D12" s="106" t="s">
        <v>1001</v>
      </c>
      <c r="E12" s="107">
        <f>INGREDIENTS!F131</f>
        <v>1.0571428571428572E-2</v>
      </c>
      <c r="F12" s="107">
        <f t="shared" si="0"/>
        <v>0.15857142857142859</v>
      </c>
    </row>
    <row r="13" spans="2:6" x14ac:dyDescent="0.15">
      <c r="B13" s="106"/>
      <c r="C13" s="106"/>
      <c r="D13" s="106"/>
      <c r="E13" s="107"/>
      <c r="F13" s="107"/>
    </row>
    <row r="14" spans="2:6" ht="18" x14ac:dyDescent="0.2">
      <c r="F14" s="110">
        <f>SUM(F5:F13)</f>
        <v>5.4731047619047608</v>
      </c>
    </row>
    <row r="15" spans="2:6" x14ac:dyDescent="0.15">
      <c r="B15" t="s">
        <v>1132</v>
      </c>
      <c r="C15" s="58">
        <v>18</v>
      </c>
    </row>
    <row r="16" spans="2:6" ht="18" x14ac:dyDescent="0.2">
      <c r="B16" t="s">
        <v>1125</v>
      </c>
      <c r="C16" s="58">
        <f>F14+5%</f>
        <v>5.5231047619047606</v>
      </c>
      <c r="D16" s="111">
        <f>C16/C15</f>
        <v>0.30683915343915336</v>
      </c>
    </row>
    <row r="17" spans="2:6" x14ac:dyDescent="0.15">
      <c r="B17" t="s">
        <v>1133</v>
      </c>
      <c r="C17" s="58">
        <f>C15-C16</f>
        <v>12.476895238095238</v>
      </c>
      <c r="D17" s="112"/>
    </row>
    <row r="18" spans="2:6" x14ac:dyDescent="0.15">
      <c r="B18" s="184"/>
      <c r="C18" s="184"/>
      <c r="D18" s="184"/>
      <c r="E18" s="184"/>
      <c r="F18" s="184"/>
    </row>
    <row r="19" spans="2:6" x14ac:dyDescent="0.15">
      <c r="B19" s="184"/>
      <c r="C19" s="184"/>
      <c r="D19" s="184"/>
      <c r="E19" s="184"/>
      <c r="F19" s="184"/>
    </row>
    <row r="20" spans="2:6" ht="16" customHeight="1" x14ac:dyDescent="0.15">
      <c r="B20" s="167" t="s">
        <v>1135</v>
      </c>
      <c r="C20" s="167"/>
      <c r="D20" s="167"/>
      <c r="E20" s="167"/>
      <c r="F20" s="167"/>
    </row>
    <row r="21" spans="2:6" x14ac:dyDescent="0.15">
      <c r="B21" s="167"/>
      <c r="C21" s="167"/>
      <c r="D21" s="167"/>
      <c r="E21" s="167"/>
      <c r="F21" s="167"/>
    </row>
    <row r="22" spans="2:6" ht="16" x14ac:dyDescent="0.2">
      <c r="B22" s="119" t="s">
        <v>1122</v>
      </c>
      <c r="C22" s="119" t="s">
        <v>1123</v>
      </c>
      <c r="D22" s="119" t="s">
        <v>1124</v>
      </c>
      <c r="E22" s="119" t="s">
        <v>1125</v>
      </c>
      <c r="F22" s="119" t="s">
        <v>1126</v>
      </c>
    </row>
    <row r="23" spans="2:6" x14ac:dyDescent="0.15">
      <c r="B23" s="106" t="s">
        <v>1006</v>
      </c>
      <c r="C23" s="106">
        <v>1</v>
      </c>
      <c r="D23" s="106" t="s">
        <v>1036</v>
      </c>
      <c r="E23" s="107">
        <f>INGREDIENTS!$F$51</f>
        <v>0.41428571428571426</v>
      </c>
      <c r="F23" s="107">
        <f>E23*C23</f>
        <v>0.41428571428571426</v>
      </c>
    </row>
    <row r="24" spans="2:6" x14ac:dyDescent="0.15">
      <c r="B24" s="108" t="s">
        <v>1064</v>
      </c>
      <c r="C24" s="106">
        <v>3</v>
      </c>
      <c r="D24" s="106" t="s">
        <v>1036</v>
      </c>
      <c r="E24" s="107">
        <f>INGREDIENTS!$F$112</f>
        <v>0.53</v>
      </c>
      <c r="F24" s="107">
        <f t="shared" ref="F24:F25" si="1">E24*C24</f>
        <v>1.59</v>
      </c>
    </row>
    <row r="25" spans="2:6" x14ac:dyDescent="0.15">
      <c r="B25" s="106" t="s">
        <v>1130</v>
      </c>
      <c r="C25" s="106">
        <v>0.5</v>
      </c>
      <c r="D25" s="106" t="s">
        <v>1036</v>
      </c>
      <c r="E25" s="107">
        <f>INGREDIENTS!$F$77</f>
        <v>2.2857142857142856</v>
      </c>
      <c r="F25" s="107">
        <f t="shared" si="1"/>
        <v>1.1428571428571428</v>
      </c>
    </row>
    <row r="26" spans="2:6" x14ac:dyDescent="0.15">
      <c r="B26" s="106" t="s">
        <v>1127</v>
      </c>
      <c r="C26" s="106">
        <v>2</v>
      </c>
      <c r="D26" s="106" t="s">
        <v>1036</v>
      </c>
      <c r="E26" s="107">
        <f>INGREDIENTS!$F$50</f>
        <v>0.65333333333333343</v>
      </c>
      <c r="F26" s="107">
        <f>E26*C26</f>
        <v>1.3066666666666669</v>
      </c>
    </row>
    <row r="27" spans="2:6" x14ac:dyDescent="0.15">
      <c r="B27" s="106" t="s">
        <v>1136</v>
      </c>
      <c r="C27" s="106">
        <v>5</v>
      </c>
      <c r="D27" s="106" t="s">
        <v>1129</v>
      </c>
      <c r="E27" s="107">
        <f>INGREDIENTS!F110</f>
        <v>3.5000000000000001E-3</v>
      </c>
      <c r="F27" s="107">
        <f>E27*C27</f>
        <v>1.7500000000000002E-2</v>
      </c>
    </row>
    <row r="28" spans="2:6" x14ac:dyDescent="0.15">
      <c r="B28" s="106" t="s">
        <v>1085</v>
      </c>
      <c r="C28" s="106">
        <v>5</v>
      </c>
      <c r="D28" s="106" t="s">
        <v>1129</v>
      </c>
      <c r="E28" s="107">
        <f>INGREDIENTS!F127</f>
        <v>1.2999999999999999E-2</v>
      </c>
      <c r="F28" s="107">
        <f>E28*C28</f>
        <v>6.5000000000000002E-2</v>
      </c>
    </row>
    <row r="29" spans="2:6" x14ac:dyDescent="0.15">
      <c r="B29" s="106" t="s">
        <v>1094</v>
      </c>
      <c r="C29" s="106">
        <v>1</v>
      </c>
      <c r="D29" s="106" t="s">
        <v>1129</v>
      </c>
      <c r="E29" s="107">
        <f>INGREDIENTS!$F$133</f>
        <v>0.01</v>
      </c>
      <c r="F29" s="107">
        <f t="shared" ref="F29:F31" si="2">E29*C29</f>
        <v>0.01</v>
      </c>
    </row>
    <row r="30" spans="2:6" x14ac:dyDescent="0.15">
      <c r="B30" s="106" t="s">
        <v>1131</v>
      </c>
      <c r="C30" s="106">
        <v>1</v>
      </c>
      <c r="D30" s="106" t="s">
        <v>1129</v>
      </c>
      <c r="E30" s="107">
        <f>INGREDIENTS!$F$115</f>
        <v>4.3E-3</v>
      </c>
      <c r="F30" s="107">
        <f t="shared" si="2"/>
        <v>4.3E-3</v>
      </c>
    </row>
    <row r="31" spans="2:6" x14ac:dyDescent="0.15">
      <c r="B31" s="106" t="s">
        <v>1090</v>
      </c>
      <c r="C31" s="106">
        <v>15</v>
      </c>
      <c r="D31" s="106" t="s">
        <v>1001</v>
      </c>
      <c r="E31" s="107">
        <f>INGREDIENTS!$F$131</f>
        <v>1.0571428571428572E-2</v>
      </c>
      <c r="F31" s="107">
        <f t="shared" si="2"/>
        <v>0.15857142857142859</v>
      </c>
    </row>
    <row r="32" spans="2:6" ht="18" x14ac:dyDescent="0.2">
      <c r="F32" s="110">
        <f>SUM(F23:F31)</f>
        <v>4.7091809523809527</v>
      </c>
    </row>
    <row r="33" spans="2:6" x14ac:dyDescent="0.15">
      <c r="B33" t="s">
        <v>1132</v>
      </c>
      <c r="C33" s="58">
        <v>18</v>
      </c>
    </row>
    <row r="34" spans="2:6" ht="18" x14ac:dyDescent="0.2">
      <c r="B34" t="s">
        <v>1125</v>
      </c>
      <c r="C34" s="58">
        <f>F32+5%</f>
        <v>4.7591809523809525</v>
      </c>
      <c r="D34" s="111">
        <f>C34/C33</f>
        <v>0.2643989417989418</v>
      </c>
    </row>
    <row r="35" spans="2:6" x14ac:dyDescent="0.15">
      <c r="B35" t="s">
        <v>1133</v>
      </c>
      <c r="C35" s="58">
        <f>C33-C34</f>
        <v>13.240819047619048</v>
      </c>
      <c r="D35" s="112"/>
    </row>
    <row r="36" spans="2:6" x14ac:dyDescent="0.15">
      <c r="B36" s="184"/>
      <c r="C36" s="184"/>
      <c r="D36" s="184"/>
      <c r="E36" s="184"/>
      <c r="F36" s="184"/>
    </row>
    <row r="37" spans="2:6" x14ac:dyDescent="0.15">
      <c r="B37" s="184"/>
      <c r="C37" s="184"/>
      <c r="D37" s="184"/>
      <c r="E37" s="184"/>
      <c r="F37" s="184"/>
    </row>
    <row r="38" spans="2:6" ht="16" customHeight="1" x14ac:dyDescent="0.15">
      <c r="B38" s="167" t="s">
        <v>1137</v>
      </c>
      <c r="C38" s="167"/>
      <c r="D38" s="167"/>
      <c r="E38" s="167"/>
      <c r="F38" s="167"/>
    </row>
    <row r="39" spans="2:6" x14ac:dyDescent="0.15">
      <c r="B39" s="167"/>
      <c r="C39" s="167"/>
      <c r="D39" s="167"/>
      <c r="E39" s="167"/>
      <c r="F39" s="167"/>
    </row>
    <row r="40" spans="2:6" ht="16" x14ac:dyDescent="0.2">
      <c r="B40" s="119" t="s">
        <v>1122</v>
      </c>
      <c r="C40" s="119" t="s">
        <v>1123</v>
      </c>
      <c r="D40" s="119" t="s">
        <v>1124</v>
      </c>
      <c r="E40" s="119" t="s">
        <v>1125</v>
      </c>
      <c r="F40" s="119" t="s">
        <v>1126</v>
      </c>
    </row>
    <row r="41" spans="2:6" x14ac:dyDescent="0.15">
      <c r="B41" s="106" t="s">
        <v>1006</v>
      </c>
      <c r="C41" s="106">
        <v>1</v>
      </c>
      <c r="D41" s="106" t="s">
        <v>1036</v>
      </c>
      <c r="E41" s="107">
        <f>INGREDIENTS!F51</f>
        <v>0.41428571428571426</v>
      </c>
      <c r="F41" s="107">
        <f>E41*C41</f>
        <v>0.41428571428571426</v>
      </c>
    </row>
    <row r="42" spans="2:6" x14ac:dyDescent="0.15">
      <c r="B42" s="108" t="s">
        <v>1064</v>
      </c>
      <c r="C42" s="106">
        <v>3</v>
      </c>
      <c r="D42" s="106" t="s">
        <v>1036</v>
      </c>
      <c r="E42" s="107">
        <f>INGREDIENTS!$F$112</f>
        <v>0.53</v>
      </c>
      <c r="F42" s="107">
        <f t="shared" ref="F42:F43" si="3">E42*C42</f>
        <v>1.59</v>
      </c>
    </row>
    <row r="43" spans="2:6" x14ac:dyDescent="0.15">
      <c r="B43" s="106" t="s">
        <v>1130</v>
      </c>
      <c r="C43" s="106">
        <v>0.5</v>
      </c>
      <c r="D43" s="106" t="s">
        <v>1036</v>
      </c>
      <c r="E43" s="107">
        <f>INGREDIENTS!$F$77</f>
        <v>2.2857142857142856</v>
      </c>
      <c r="F43" s="107">
        <f t="shared" si="3"/>
        <v>1.1428571428571428</v>
      </c>
    </row>
    <row r="44" spans="2:6" x14ac:dyDescent="0.15">
      <c r="B44" s="106" t="s">
        <v>1138</v>
      </c>
      <c r="C44" s="106">
        <v>80</v>
      </c>
      <c r="D44" s="106" t="s">
        <v>1129</v>
      </c>
      <c r="E44" s="107">
        <f>INGREDIENTS!F128</f>
        <v>1.9E-2</v>
      </c>
      <c r="F44" s="107">
        <f>E44*C44</f>
        <v>1.52</v>
      </c>
    </row>
    <row r="45" spans="2:6" x14ac:dyDescent="0.15">
      <c r="B45" s="106" t="s">
        <v>1085</v>
      </c>
      <c r="C45" s="106">
        <v>0</v>
      </c>
      <c r="D45" s="106" t="s">
        <v>1129</v>
      </c>
      <c r="E45" s="107">
        <f>INGREDIENTS!F163</f>
        <v>5.0799999999999998E-2</v>
      </c>
      <c r="F45" s="107">
        <f>E45*C45</f>
        <v>0</v>
      </c>
    </row>
    <row r="46" spans="2:6" x14ac:dyDescent="0.15">
      <c r="B46" s="106" t="s">
        <v>1062</v>
      </c>
      <c r="C46" s="106">
        <v>0</v>
      </c>
      <c r="D46" s="106" t="s">
        <v>1129</v>
      </c>
      <c r="E46" s="107">
        <f>INGREDIENTS!F127</f>
        <v>1.2999999999999999E-2</v>
      </c>
      <c r="F46" s="107">
        <f>E46*C46</f>
        <v>0</v>
      </c>
    </row>
    <row r="47" spans="2:6" x14ac:dyDescent="0.15">
      <c r="B47" s="106" t="s">
        <v>1094</v>
      </c>
      <c r="C47" s="106">
        <v>1</v>
      </c>
      <c r="D47" s="106" t="s">
        <v>1129</v>
      </c>
      <c r="E47" s="107">
        <f>INGREDIENTS!$F$133</f>
        <v>0.01</v>
      </c>
      <c r="F47" s="107">
        <f t="shared" ref="F47:F49" si="4">E47*C47</f>
        <v>0.01</v>
      </c>
    </row>
    <row r="48" spans="2:6" x14ac:dyDescent="0.15">
      <c r="B48" s="106" t="s">
        <v>1131</v>
      </c>
      <c r="C48" s="106">
        <v>1</v>
      </c>
      <c r="D48" s="106" t="s">
        <v>1129</v>
      </c>
      <c r="E48" s="107">
        <f>INGREDIENTS!$F$115</f>
        <v>4.3E-3</v>
      </c>
      <c r="F48" s="107">
        <f t="shared" si="4"/>
        <v>4.3E-3</v>
      </c>
    </row>
    <row r="49" spans="2:7" x14ac:dyDescent="0.15">
      <c r="B49" s="106" t="s">
        <v>1090</v>
      </c>
      <c r="C49" s="106">
        <v>15</v>
      </c>
      <c r="D49" s="106" t="s">
        <v>1001</v>
      </c>
      <c r="E49" s="107">
        <f>INGREDIENTS!$F$131</f>
        <v>1.0571428571428572E-2</v>
      </c>
      <c r="F49" s="107">
        <f t="shared" si="4"/>
        <v>0.15857142857142859</v>
      </c>
    </row>
    <row r="50" spans="2:7" ht="18" x14ac:dyDescent="0.2">
      <c r="F50" s="110">
        <f>SUM(F41:F49)</f>
        <v>4.8400142857142852</v>
      </c>
    </row>
    <row r="51" spans="2:7" x14ac:dyDescent="0.15">
      <c r="B51" t="s">
        <v>1132</v>
      </c>
      <c r="C51" s="58">
        <v>18</v>
      </c>
    </row>
    <row r="52" spans="2:7" ht="18" x14ac:dyDescent="0.2">
      <c r="B52" t="s">
        <v>1125</v>
      </c>
      <c r="C52" s="58">
        <f>F50+5%</f>
        <v>4.890014285714285</v>
      </c>
      <c r="D52" s="111">
        <f>C52/C51</f>
        <v>0.27166746031746025</v>
      </c>
    </row>
    <row r="53" spans="2:7" x14ac:dyDescent="0.15">
      <c r="B53" t="s">
        <v>1133</v>
      </c>
      <c r="C53" s="58">
        <f>C51-C52</f>
        <v>13.109985714285715</v>
      </c>
      <c r="D53" s="112"/>
    </row>
    <row r="54" spans="2:7" x14ac:dyDescent="0.15">
      <c r="B54" s="184"/>
      <c r="C54" s="184"/>
      <c r="D54" s="184"/>
      <c r="E54" s="184"/>
      <c r="F54" s="184"/>
    </row>
    <row r="55" spans="2:7" x14ac:dyDescent="0.15">
      <c r="B55" s="184"/>
      <c r="C55" s="184"/>
      <c r="D55" s="184"/>
      <c r="E55" s="184"/>
      <c r="F55" s="184"/>
    </row>
    <row r="56" spans="2:7" ht="16" customHeight="1" x14ac:dyDescent="0.15">
      <c r="B56" s="167" t="s">
        <v>1139</v>
      </c>
      <c r="C56" s="167"/>
      <c r="D56" s="167"/>
      <c r="E56" s="167"/>
      <c r="F56" s="167"/>
    </row>
    <row r="57" spans="2:7" x14ac:dyDescent="0.15">
      <c r="B57" s="167"/>
      <c r="C57" s="167"/>
      <c r="D57" s="167"/>
      <c r="E57" s="167"/>
      <c r="F57" s="167"/>
    </row>
    <row r="58" spans="2:7" ht="16" x14ac:dyDescent="0.2">
      <c r="B58" s="119" t="s">
        <v>1122</v>
      </c>
      <c r="C58" s="119" t="s">
        <v>1123</v>
      </c>
      <c r="D58" s="119" t="s">
        <v>1124</v>
      </c>
      <c r="E58" s="119" t="s">
        <v>1125</v>
      </c>
      <c r="F58" s="119" t="s">
        <v>1126</v>
      </c>
    </row>
    <row r="59" spans="2:7" x14ac:dyDescent="0.15">
      <c r="B59" s="106" t="s">
        <v>1079</v>
      </c>
      <c r="C59" s="106">
        <v>130</v>
      </c>
      <c r="D59" s="106" t="s">
        <v>1129</v>
      </c>
      <c r="E59" s="107">
        <f>INGREDIENTS!F122</f>
        <v>1.2E-2</v>
      </c>
      <c r="F59" s="107">
        <f>E59*C59</f>
        <v>1.56</v>
      </c>
    </row>
    <row r="60" spans="2:7" x14ac:dyDescent="0.15">
      <c r="B60" s="106" t="s">
        <v>1140</v>
      </c>
      <c r="C60" s="106">
        <v>50</v>
      </c>
      <c r="D60" s="106" t="s">
        <v>1129</v>
      </c>
      <c r="E60" s="107">
        <f>INGREDIENTS!F128</f>
        <v>1.9E-2</v>
      </c>
      <c r="F60" s="107">
        <f>E60*C60</f>
        <v>0.95</v>
      </c>
    </row>
    <row r="61" spans="2:7" x14ac:dyDescent="0.15">
      <c r="B61" s="108" t="s">
        <v>1141</v>
      </c>
      <c r="C61" s="106">
        <v>60</v>
      </c>
      <c r="D61" s="106" t="s">
        <v>1129</v>
      </c>
      <c r="E61" s="107">
        <f>INGREDIENTS!F90</f>
        <v>2.5999999999999999E-2</v>
      </c>
      <c r="F61" s="107">
        <f t="shared" ref="F61:F65" si="5">E61*C61</f>
        <v>1.5599999999999998</v>
      </c>
      <c r="G61" s="54"/>
    </row>
    <row r="62" spans="2:7" x14ac:dyDescent="0.15">
      <c r="B62" s="106" t="s">
        <v>1142</v>
      </c>
      <c r="C62" s="106">
        <v>1</v>
      </c>
      <c r="D62" s="106" t="s">
        <v>1036</v>
      </c>
      <c r="E62" s="107">
        <f>INGREDIENTS!F112</f>
        <v>0.53</v>
      </c>
      <c r="F62" s="107">
        <f t="shared" si="5"/>
        <v>0.53</v>
      </c>
      <c r="G62" s="54" t="s">
        <v>1134</v>
      </c>
    </row>
    <row r="63" spans="2:7" x14ac:dyDescent="0.15">
      <c r="B63" s="106" t="s">
        <v>1143</v>
      </c>
      <c r="C63" s="106">
        <v>1</v>
      </c>
      <c r="D63" s="106" t="s">
        <v>1060</v>
      </c>
      <c r="E63" s="107">
        <f>INGREDIENTS!F50</f>
        <v>0.65333333333333343</v>
      </c>
      <c r="F63" s="107">
        <f t="shared" si="5"/>
        <v>0.65333333333333343</v>
      </c>
    </row>
    <row r="64" spans="2:7" x14ac:dyDescent="0.15">
      <c r="B64" s="106" t="s">
        <v>1094</v>
      </c>
      <c r="C64" s="106">
        <v>2</v>
      </c>
      <c r="D64" s="106" t="s">
        <v>1129</v>
      </c>
      <c r="E64" s="107">
        <f>INGREDIENTS!F133</f>
        <v>0.01</v>
      </c>
      <c r="F64" s="107">
        <f t="shared" si="5"/>
        <v>0.02</v>
      </c>
    </row>
    <row r="65" spans="2:6" x14ac:dyDescent="0.15">
      <c r="B65" s="106" t="s">
        <v>1144</v>
      </c>
      <c r="C65" s="106">
        <v>2</v>
      </c>
      <c r="D65" s="106" t="s">
        <v>1129</v>
      </c>
      <c r="E65" s="107">
        <f>INGREDIENTS!F91</f>
        <v>7.5999999999999998E-2</v>
      </c>
      <c r="F65" s="107">
        <f t="shared" si="5"/>
        <v>0.152</v>
      </c>
    </row>
    <row r="66" spans="2:6" x14ac:dyDescent="0.15">
      <c r="B66" s="106"/>
      <c r="C66" s="106"/>
      <c r="D66" s="106"/>
      <c r="E66" s="107"/>
      <c r="F66" s="107"/>
    </row>
    <row r="67" spans="2:6" ht="18" x14ac:dyDescent="0.2">
      <c r="F67" s="110">
        <f>SUM(F59:F66)</f>
        <v>5.4253333333333327</v>
      </c>
    </row>
    <row r="68" spans="2:6" x14ac:dyDescent="0.15">
      <c r="B68" t="s">
        <v>1132</v>
      </c>
      <c r="C68" s="58">
        <v>18</v>
      </c>
    </row>
    <row r="69" spans="2:6" ht="18" x14ac:dyDescent="0.2">
      <c r="B69" t="s">
        <v>1125</v>
      </c>
      <c r="C69" s="58">
        <f>F67+5%</f>
        <v>5.4753333333333325</v>
      </c>
      <c r="D69" s="111">
        <f>C69/C68</f>
        <v>0.30418518518518511</v>
      </c>
    </row>
    <row r="70" spans="2:6" x14ac:dyDescent="0.15">
      <c r="B70" t="s">
        <v>1133</v>
      </c>
      <c r="C70" s="58">
        <f>C68-C69</f>
        <v>12.524666666666668</v>
      </c>
      <c r="D70" s="112"/>
    </row>
    <row r="71" spans="2:6" ht="18" customHeight="1" x14ac:dyDescent="0.15">
      <c r="B71" s="184"/>
      <c r="C71" s="184"/>
      <c r="D71" s="184"/>
      <c r="E71" s="184"/>
      <c r="F71" s="184"/>
    </row>
    <row r="72" spans="2:6" x14ac:dyDescent="0.15">
      <c r="B72" s="184"/>
      <c r="C72" s="184"/>
      <c r="D72" s="184"/>
      <c r="E72" s="184"/>
      <c r="F72" s="184"/>
    </row>
    <row r="73" spans="2:6" ht="16" customHeight="1" x14ac:dyDescent="0.15">
      <c r="B73" s="167" t="s">
        <v>1145</v>
      </c>
      <c r="C73" s="167"/>
      <c r="D73" s="167"/>
      <c r="E73" s="167"/>
      <c r="F73" s="167"/>
    </row>
    <row r="74" spans="2:6" x14ac:dyDescent="0.15">
      <c r="B74" s="167"/>
      <c r="C74" s="167"/>
      <c r="D74" s="167"/>
      <c r="E74" s="167"/>
      <c r="F74" s="167"/>
    </row>
    <row r="75" spans="2:6" ht="16" x14ac:dyDescent="0.2">
      <c r="B75" s="119" t="s">
        <v>1122</v>
      </c>
      <c r="C75" s="119" t="s">
        <v>1123</v>
      </c>
      <c r="D75" s="119" t="s">
        <v>1124</v>
      </c>
      <c r="E75" s="119" t="s">
        <v>1125</v>
      </c>
      <c r="F75" s="119" t="s">
        <v>1126</v>
      </c>
    </row>
    <row r="76" spans="2:6" x14ac:dyDescent="0.15">
      <c r="B76" s="108" t="s">
        <v>1146</v>
      </c>
      <c r="C76" s="106">
        <v>1</v>
      </c>
      <c r="D76" s="106" t="s">
        <v>1036</v>
      </c>
      <c r="E76" s="107">
        <f>INGREDIENTS!$F$149</f>
        <v>7.5</v>
      </c>
      <c r="F76" s="107">
        <f>E76*C76</f>
        <v>7.5</v>
      </c>
    </row>
    <row r="77" spans="2:6" x14ac:dyDescent="0.15">
      <c r="B77" s="108" t="s">
        <v>1147</v>
      </c>
      <c r="C77" s="106">
        <v>1</v>
      </c>
      <c r="D77" s="108" t="s">
        <v>1036</v>
      </c>
      <c r="E77" s="107">
        <f>INGREDIENTS!$F$25</f>
        <v>5.3999999999999999E-2</v>
      </c>
      <c r="F77" s="107">
        <f>E77*C77</f>
        <v>5.3999999999999999E-2</v>
      </c>
    </row>
    <row r="78" spans="2:6" x14ac:dyDescent="0.15">
      <c r="B78" s="108" t="s">
        <v>1148</v>
      </c>
      <c r="C78" s="106">
        <v>1</v>
      </c>
      <c r="D78" s="108" t="s">
        <v>1149</v>
      </c>
      <c r="E78" s="107">
        <v>4.05</v>
      </c>
      <c r="F78" s="107">
        <f>E78*C78</f>
        <v>4.05</v>
      </c>
    </row>
    <row r="79" spans="2:6" x14ac:dyDescent="0.15">
      <c r="B79" s="108"/>
      <c r="C79" s="106"/>
      <c r="D79" s="106"/>
      <c r="E79" s="107"/>
      <c r="F79" s="107"/>
    </row>
    <row r="80" spans="2:6" x14ac:dyDescent="0.15">
      <c r="B80" s="106"/>
      <c r="C80" s="106"/>
      <c r="D80" s="106"/>
      <c r="E80" s="107"/>
      <c r="F80" s="107"/>
    </row>
    <row r="81" spans="2:6" x14ac:dyDescent="0.15">
      <c r="B81" s="106"/>
      <c r="C81" s="106"/>
      <c r="D81" s="106"/>
      <c r="E81" s="107"/>
      <c r="F81" s="107"/>
    </row>
    <row r="82" spans="2:6" x14ac:dyDescent="0.15">
      <c r="B82" s="106"/>
      <c r="C82" s="106"/>
      <c r="D82" s="106"/>
      <c r="E82" s="107"/>
      <c r="F82" s="107"/>
    </row>
    <row r="83" spans="2:6" x14ac:dyDescent="0.15">
      <c r="B83" s="106"/>
      <c r="C83" s="106"/>
      <c r="D83" s="106"/>
      <c r="E83" s="107"/>
      <c r="F83" s="107"/>
    </row>
    <row r="84" spans="2:6" x14ac:dyDescent="0.15">
      <c r="B84" s="106"/>
      <c r="C84" s="106"/>
      <c r="D84" s="106"/>
      <c r="E84" s="107"/>
      <c r="F84" s="107"/>
    </row>
    <row r="85" spans="2:6" ht="18" x14ac:dyDescent="0.2">
      <c r="F85" s="110">
        <f>SUM(F76:F84)</f>
        <v>11.603999999999999</v>
      </c>
    </row>
    <row r="86" spans="2:6" x14ac:dyDescent="0.15">
      <c r="B86" t="s">
        <v>1132</v>
      </c>
      <c r="C86" s="58">
        <v>18</v>
      </c>
    </row>
    <row r="87" spans="2:6" ht="18" x14ac:dyDescent="0.2">
      <c r="B87" t="s">
        <v>1125</v>
      </c>
      <c r="C87" s="58">
        <f>F85+5%</f>
        <v>11.654</v>
      </c>
      <c r="D87" s="111">
        <f>C87/C86</f>
        <v>0.64744444444444449</v>
      </c>
    </row>
    <row r="88" spans="2:6" x14ac:dyDescent="0.15">
      <c r="B88" t="s">
        <v>1133</v>
      </c>
      <c r="C88" s="58">
        <f>C86-C87</f>
        <v>6.3460000000000001</v>
      </c>
      <c r="D88" s="112"/>
    </row>
    <row r="89" spans="2:6" x14ac:dyDescent="0.15">
      <c r="B89" s="184"/>
      <c r="C89" s="184"/>
      <c r="D89" s="184"/>
      <c r="E89" s="184"/>
      <c r="F89" s="184"/>
    </row>
    <row r="90" spans="2:6" x14ac:dyDescent="0.15">
      <c r="B90" s="184"/>
      <c r="C90" s="184"/>
      <c r="D90" s="184"/>
      <c r="E90" s="184"/>
      <c r="F90" s="184"/>
    </row>
    <row r="91" spans="2:6" ht="16" customHeight="1" x14ac:dyDescent="0.15">
      <c r="B91" s="167" t="s">
        <v>1150</v>
      </c>
      <c r="C91" s="167"/>
      <c r="D91" s="167"/>
      <c r="E91" s="167"/>
      <c r="F91" s="167"/>
    </row>
    <row r="92" spans="2:6" x14ac:dyDescent="0.15">
      <c r="B92" s="167"/>
      <c r="C92" s="167"/>
      <c r="D92" s="167"/>
      <c r="E92" s="167"/>
      <c r="F92" s="167"/>
    </row>
    <row r="93" spans="2:6" ht="16" x14ac:dyDescent="0.2">
      <c r="B93" s="119" t="s">
        <v>1122</v>
      </c>
      <c r="C93" s="119" t="s">
        <v>1123</v>
      </c>
      <c r="D93" s="119" t="s">
        <v>1124</v>
      </c>
      <c r="E93" s="119" t="s">
        <v>1125</v>
      </c>
      <c r="F93" s="119" t="s">
        <v>1126</v>
      </c>
    </row>
    <row r="94" spans="2:6" x14ac:dyDescent="0.15">
      <c r="B94" s="108" t="s">
        <v>1151</v>
      </c>
      <c r="C94" s="106">
        <v>1</v>
      </c>
      <c r="D94" s="106" t="s">
        <v>1036</v>
      </c>
      <c r="E94" s="107">
        <f>INGREDIENTS!$F$78</f>
        <v>4.25</v>
      </c>
      <c r="F94" s="107">
        <f>E94*C94</f>
        <v>4.25</v>
      </c>
    </row>
    <row r="95" spans="2:6" x14ac:dyDescent="0.15">
      <c r="B95" s="108" t="s">
        <v>1147</v>
      </c>
      <c r="C95" s="106">
        <v>1</v>
      </c>
      <c r="D95" s="108" t="s">
        <v>1036</v>
      </c>
      <c r="E95" s="107">
        <f>INGREDIENTS!$F$25</f>
        <v>5.3999999999999999E-2</v>
      </c>
      <c r="F95" s="107">
        <f>E95*C95</f>
        <v>5.3999999999999999E-2</v>
      </c>
    </row>
    <row r="96" spans="2:6" x14ac:dyDescent="0.15">
      <c r="B96" s="108" t="s">
        <v>1148</v>
      </c>
      <c r="C96" s="106">
        <v>1</v>
      </c>
      <c r="D96" s="108" t="s">
        <v>1149</v>
      </c>
      <c r="E96" s="107">
        <v>4.05</v>
      </c>
      <c r="F96" s="107">
        <f>E96*C96</f>
        <v>4.05</v>
      </c>
    </row>
    <row r="97" spans="2:6" x14ac:dyDescent="0.15">
      <c r="B97" s="108"/>
      <c r="C97" s="106"/>
      <c r="D97" s="106"/>
      <c r="E97" s="107"/>
      <c r="F97" s="107"/>
    </row>
    <row r="98" spans="2:6" x14ac:dyDescent="0.15">
      <c r="B98" s="106"/>
      <c r="C98" s="106"/>
      <c r="D98" s="106"/>
      <c r="E98" s="107"/>
      <c r="F98" s="107"/>
    </row>
    <row r="99" spans="2:6" x14ac:dyDescent="0.15">
      <c r="B99" s="106"/>
      <c r="C99" s="106"/>
      <c r="D99" s="106"/>
      <c r="E99" s="107"/>
      <c r="F99" s="107"/>
    </row>
    <row r="100" spans="2:6" x14ac:dyDescent="0.15">
      <c r="B100" s="106"/>
      <c r="C100" s="106"/>
      <c r="D100" s="106"/>
      <c r="E100" s="107"/>
      <c r="F100" s="107"/>
    </row>
    <row r="101" spans="2:6" x14ac:dyDescent="0.15">
      <c r="B101" s="106"/>
      <c r="C101" s="106"/>
      <c r="D101" s="106"/>
      <c r="E101" s="107"/>
      <c r="F101" s="107"/>
    </row>
    <row r="102" spans="2:6" x14ac:dyDescent="0.15">
      <c r="B102" s="106"/>
      <c r="C102" s="106"/>
      <c r="D102" s="106"/>
      <c r="E102" s="107"/>
      <c r="F102" s="107"/>
    </row>
    <row r="103" spans="2:6" ht="18" x14ac:dyDescent="0.2">
      <c r="F103" s="110">
        <f>SUM(F94:F102)</f>
        <v>8.3539999999999992</v>
      </c>
    </row>
    <row r="104" spans="2:6" x14ac:dyDescent="0.15">
      <c r="B104" t="s">
        <v>1132</v>
      </c>
      <c r="C104" s="58">
        <v>18</v>
      </c>
    </row>
    <row r="105" spans="2:6" ht="18" x14ac:dyDescent="0.2">
      <c r="B105" t="s">
        <v>1125</v>
      </c>
      <c r="C105" s="58">
        <f>F103+5%</f>
        <v>8.4039999999999999</v>
      </c>
      <c r="D105" s="111">
        <f>C105/C104</f>
        <v>0.46688888888888891</v>
      </c>
    </row>
    <row r="106" spans="2:6" x14ac:dyDescent="0.15">
      <c r="B106" t="s">
        <v>1133</v>
      </c>
      <c r="C106" s="58">
        <f>C104-C105</f>
        <v>9.5960000000000001</v>
      </c>
      <c r="D106" s="112"/>
    </row>
  </sheetData>
  <mergeCells count="11">
    <mergeCell ref="B91:F92"/>
    <mergeCell ref="B18:F19"/>
    <mergeCell ref="B36:F37"/>
    <mergeCell ref="B54:F55"/>
    <mergeCell ref="B71:F72"/>
    <mergeCell ref="B89:F90"/>
    <mergeCell ref="B2:F3"/>
    <mergeCell ref="B20:F21"/>
    <mergeCell ref="B38:F39"/>
    <mergeCell ref="B56:F57"/>
    <mergeCell ref="B73:F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F368-3F08-8545-85E4-10611889215E}">
  <dimension ref="B19:L150"/>
  <sheetViews>
    <sheetView workbookViewId="0">
      <selection activeCell="B3" sqref="B3:F19"/>
    </sheetView>
  </sheetViews>
  <sheetFormatPr baseColWidth="10" defaultRowHeight="13" x14ac:dyDescent="0.15"/>
  <cols>
    <col min="2" max="2" width="25.1640625" customWidth="1"/>
    <col min="6" max="6" width="14.6640625" bestFit="1" customWidth="1"/>
  </cols>
  <sheetData>
    <row r="19" spans="2:6" ht="20" customHeight="1" x14ac:dyDescent="0.15"/>
    <row r="20" spans="2:6" x14ac:dyDescent="0.15">
      <c r="B20" s="229"/>
      <c r="C20" s="229"/>
      <c r="D20" s="229"/>
      <c r="E20" s="229"/>
      <c r="F20" s="229"/>
    </row>
    <row r="21" spans="2:6" x14ac:dyDescent="0.15">
      <c r="B21" s="239" t="s">
        <v>1747</v>
      </c>
      <c r="C21" s="239"/>
      <c r="D21" s="239"/>
      <c r="E21" s="239"/>
      <c r="F21" s="239"/>
    </row>
    <row r="22" spans="2:6" x14ac:dyDescent="0.15">
      <c r="B22" s="239"/>
      <c r="C22" s="239"/>
      <c r="D22" s="239"/>
      <c r="E22" s="239"/>
      <c r="F22" s="239"/>
    </row>
    <row r="23" spans="2:6" ht="16" x14ac:dyDescent="0.2">
      <c r="B23" s="235" t="s">
        <v>1122</v>
      </c>
      <c r="C23" s="235" t="s">
        <v>1123</v>
      </c>
      <c r="D23" s="235" t="s">
        <v>1124</v>
      </c>
      <c r="E23" s="235" t="s">
        <v>1125</v>
      </c>
      <c r="F23" s="235" t="s">
        <v>1126</v>
      </c>
    </row>
    <row r="24" spans="2:6" x14ac:dyDescent="0.15">
      <c r="B24" s="231" t="s">
        <v>1643</v>
      </c>
      <c r="C24" s="231">
        <v>500</v>
      </c>
      <c r="D24" s="231" t="s">
        <v>1745</v>
      </c>
      <c r="E24" s="233"/>
      <c r="F24" s="233">
        <f>E24*C24</f>
        <v>0</v>
      </c>
    </row>
    <row r="25" spans="2:6" x14ac:dyDescent="0.15">
      <c r="B25" s="231" t="s">
        <v>1741</v>
      </c>
      <c r="C25" s="231">
        <v>80</v>
      </c>
      <c r="D25" s="231" t="s">
        <v>1745</v>
      </c>
      <c r="E25" s="233"/>
      <c r="F25" s="233">
        <f>E25*C25</f>
        <v>0</v>
      </c>
    </row>
    <row r="26" spans="2:6" x14ac:dyDescent="0.15">
      <c r="B26" s="231" t="s">
        <v>1742</v>
      </c>
      <c r="C26" s="231">
        <v>50</v>
      </c>
      <c r="D26" s="231" t="s">
        <v>1745</v>
      </c>
      <c r="E26" s="233"/>
      <c r="F26" s="233">
        <f>E26*C26</f>
        <v>0</v>
      </c>
    </row>
    <row r="27" spans="2:6" x14ac:dyDescent="0.15">
      <c r="B27" s="231" t="s">
        <v>1743</v>
      </c>
      <c r="C27" s="231">
        <v>120</v>
      </c>
      <c r="D27" s="231" t="s">
        <v>1745</v>
      </c>
      <c r="E27" s="233"/>
      <c r="F27" s="233">
        <f>E27*C27</f>
        <v>0</v>
      </c>
    </row>
    <row r="28" spans="2:6" x14ac:dyDescent="0.15">
      <c r="B28" s="231" t="s">
        <v>1644</v>
      </c>
      <c r="C28" s="231">
        <v>50</v>
      </c>
      <c r="D28" s="231" t="s">
        <v>1745</v>
      </c>
      <c r="E28" s="233"/>
      <c r="F28" s="233">
        <f>E28*C28</f>
        <v>0</v>
      </c>
    </row>
    <row r="29" spans="2:6" x14ac:dyDescent="0.15">
      <c r="B29" s="231" t="s">
        <v>1646</v>
      </c>
      <c r="C29" s="231">
        <v>150</v>
      </c>
      <c r="D29" s="231" t="s">
        <v>1745</v>
      </c>
      <c r="E29" s="233"/>
      <c r="F29" s="233">
        <f>E29*C29</f>
        <v>0</v>
      </c>
    </row>
    <row r="30" spans="2:6" x14ac:dyDescent="0.15">
      <c r="B30" s="231" t="s">
        <v>1744</v>
      </c>
      <c r="C30" s="231">
        <v>50</v>
      </c>
      <c r="D30" s="231" t="s">
        <v>1745</v>
      </c>
      <c r="E30" s="233"/>
      <c r="F30" s="233">
        <f>E30*C30</f>
        <v>0</v>
      </c>
    </row>
    <row r="31" spans="2:6" x14ac:dyDescent="0.15">
      <c r="B31" s="231"/>
      <c r="C31" s="231"/>
      <c r="D31" s="231"/>
      <c r="E31" s="233"/>
      <c r="F31" s="233">
        <f>E31*C31</f>
        <v>0</v>
      </c>
    </row>
    <row r="32" spans="2:6" x14ac:dyDescent="0.15">
      <c r="B32" s="231"/>
      <c r="C32" s="231"/>
      <c r="D32" s="231"/>
      <c r="E32" s="233"/>
      <c r="F32" s="233">
        <f>E32*C32</f>
        <v>0</v>
      </c>
    </row>
    <row r="33" spans="2:6" ht="18" x14ac:dyDescent="0.2">
      <c r="B33" s="229"/>
      <c r="C33" s="229"/>
      <c r="D33" s="229"/>
      <c r="E33" s="229"/>
      <c r="F33" s="234">
        <f>SUM(F24:F32)</f>
        <v>0</v>
      </c>
    </row>
    <row r="34" spans="2:6" x14ac:dyDescent="0.15">
      <c r="B34" s="231" t="s">
        <v>1132</v>
      </c>
      <c r="C34" s="233">
        <v>18</v>
      </c>
      <c r="D34" s="229"/>
      <c r="F34" s="229"/>
    </row>
    <row r="35" spans="2:6" x14ac:dyDescent="0.15">
      <c r="B35" s="231" t="s">
        <v>1125</v>
      </c>
      <c r="C35" s="233">
        <f>F33</f>
        <v>0</v>
      </c>
      <c r="D35" s="232">
        <f>C35/C34</f>
        <v>0</v>
      </c>
      <c r="F35" s="229"/>
    </row>
    <row r="36" spans="2:6" x14ac:dyDescent="0.15">
      <c r="B36" s="231" t="s">
        <v>1133</v>
      </c>
      <c r="C36" s="230">
        <f>C34-C35</f>
        <v>18</v>
      </c>
      <c r="D36" s="229"/>
      <c r="F36" s="229"/>
    </row>
    <row r="37" spans="2:6" ht="20" customHeight="1" x14ac:dyDescent="0.15">
      <c r="B37" s="237"/>
      <c r="C37" s="237"/>
      <c r="D37" s="237"/>
      <c r="E37" s="237"/>
      <c r="F37" s="238"/>
    </row>
    <row r="38" spans="2:6" x14ac:dyDescent="0.15">
      <c r="B38" s="239" t="s">
        <v>1746</v>
      </c>
      <c r="C38" s="239"/>
      <c r="D38" s="239"/>
      <c r="E38" s="239"/>
      <c r="F38" s="239"/>
    </row>
    <row r="39" spans="2:6" x14ac:dyDescent="0.15">
      <c r="B39" s="239"/>
      <c r="C39" s="239"/>
      <c r="D39" s="239"/>
      <c r="E39" s="239"/>
      <c r="F39" s="239"/>
    </row>
    <row r="40" spans="2:6" ht="16" x14ac:dyDescent="0.2">
      <c r="B40" s="235" t="s">
        <v>1122</v>
      </c>
      <c r="C40" s="235" t="s">
        <v>1123</v>
      </c>
      <c r="D40" s="235" t="s">
        <v>1124</v>
      </c>
      <c r="E40" s="235" t="s">
        <v>1125</v>
      </c>
      <c r="F40" s="235" t="s">
        <v>1126</v>
      </c>
    </row>
    <row r="41" spans="2:6" x14ac:dyDescent="0.15">
      <c r="B41" s="231" t="s">
        <v>1750</v>
      </c>
      <c r="C41" s="231"/>
      <c r="D41" s="231"/>
      <c r="E41" s="233"/>
      <c r="F41" s="233">
        <f>E41*C41</f>
        <v>0</v>
      </c>
    </row>
    <row r="42" spans="2:6" x14ac:dyDescent="0.15">
      <c r="B42" s="231"/>
      <c r="C42" s="231"/>
      <c r="D42" s="231"/>
      <c r="E42" s="233"/>
      <c r="F42" s="233">
        <f>E42*C42</f>
        <v>0</v>
      </c>
    </row>
    <row r="43" spans="2:6" x14ac:dyDescent="0.15">
      <c r="B43" s="231"/>
      <c r="C43" s="231"/>
      <c r="D43" s="231"/>
      <c r="E43" s="233"/>
      <c r="F43" s="233">
        <f>E43*C43</f>
        <v>0</v>
      </c>
    </row>
    <row r="44" spans="2:6" x14ac:dyDescent="0.15">
      <c r="B44" s="231"/>
      <c r="C44" s="231"/>
      <c r="D44" s="231"/>
      <c r="E44" s="233"/>
      <c r="F44" s="233">
        <f>E44*C44</f>
        <v>0</v>
      </c>
    </row>
    <row r="45" spans="2:6" x14ac:dyDescent="0.15">
      <c r="B45" s="231"/>
      <c r="C45" s="231"/>
      <c r="D45" s="231"/>
      <c r="E45" s="233"/>
      <c r="F45" s="233">
        <f>E45*C45</f>
        <v>0</v>
      </c>
    </row>
    <row r="46" spans="2:6" x14ac:dyDescent="0.15">
      <c r="B46" s="231"/>
      <c r="C46" s="231"/>
      <c r="D46" s="231"/>
      <c r="E46" s="233"/>
      <c r="F46" s="233">
        <f>E46*C46</f>
        <v>0</v>
      </c>
    </row>
    <row r="47" spans="2:6" x14ac:dyDescent="0.15">
      <c r="B47" s="231"/>
      <c r="C47" s="231"/>
      <c r="D47" s="231"/>
      <c r="E47" s="233"/>
      <c r="F47" s="233">
        <f>E47*C47</f>
        <v>0</v>
      </c>
    </row>
    <row r="48" spans="2:6" x14ac:dyDescent="0.15">
      <c r="B48" s="231"/>
      <c r="C48" s="231"/>
      <c r="D48" s="231"/>
      <c r="E48" s="233"/>
      <c r="F48" s="233">
        <f>E48*C48</f>
        <v>0</v>
      </c>
    </row>
    <row r="49" spans="2:6" x14ac:dyDescent="0.15">
      <c r="B49" s="231"/>
      <c r="C49" s="231"/>
      <c r="D49" s="231"/>
      <c r="E49" s="233"/>
      <c r="F49" s="233">
        <f>E49*C49</f>
        <v>0</v>
      </c>
    </row>
    <row r="50" spans="2:6" ht="18" x14ac:dyDescent="0.2">
      <c r="B50" s="229"/>
      <c r="C50" s="229"/>
      <c r="D50" s="229"/>
      <c r="E50" s="229"/>
      <c r="F50" s="234">
        <f>SUM(F41:F49)</f>
        <v>0</v>
      </c>
    </row>
    <row r="51" spans="2:6" x14ac:dyDescent="0.15">
      <c r="B51" s="231" t="s">
        <v>1132</v>
      </c>
      <c r="C51" s="233">
        <v>18</v>
      </c>
      <c r="D51" s="229"/>
      <c r="F51" s="229"/>
    </row>
    <row r="52" spans="2:6" x14ac:dyDescent="0.15">
      <c r="B52" s="231" t="s">
        <v>1125</v>
      </c>
      <c r="C52" s="233">
        <f>F50</f>
        <v>0</v>
      </c>
      <c r="D52" s="232">
        <f>C52/C51</f>
        <v>0</v>
      </c>
      <c r="F52" s="229"/>
    </row>
    <row r="53" spans="2:6" x14ac:dyDescent="0.15">
      <c r="B53" s="231" t="s">
        <v>1133</v>
      </c>
      <c r="C53" s="230">
        <f>C51-C52</f>
        <v>18</v>
      </c>
      <c r="D53" s="229"/>
      <c r="F53" s="229"/>
    </row>
    <row r="54" spans="2:6" ht="20" customHeight="1" x14ac:dyDescent="0.15">
      <c r="B54" s="237"/>
      <c r="C54" s="237"/>
      <c r="D54" s="237"/>
      <c r="E54" s="237"/>
      <c r="F54" s="238"/>
    </row>
    <row r="55" spans="2:6" x14ac:dyDescent="0.15">
      <c r="B55" s="239" t="s">
        <v>1748</v>
      </c>
      <c r="C55" s="239"/>
      <c r="D55" s="239"/>
      <c r="E55" s="239"/>
      <c r="F55" s="239"/>
    </row>
    <row r="56" spans="2:6" x14ac:dyDescent="0.15">
      <c r="B56" s="239"/>
      <c r="C56" s="239"/>
      <c r="D56" s="239"/>
      <c r="E56" s="239"/>
      <c r="F56" s="239"/>
    </row>
    <row r="57" spans="2:6" ht="16" x14ac:dyDescent="0.2">
      <c r="B57" s="235" t="s">
        <v>1122</v>
      </c>
      <c r="C57" s="235" t="s">
        <v>1123</v>
      </c>
      <c r="D57" s="235" t="s">
        <v>1124</v>
      </c>
      <c r="E57" s="235" t="s">
        <v>1125</v>
      </c>
      <c r="F57" s="235" t="s">
        <v>1126</v>
      </c>
    </row>
    <row r="58" spans="2:6" x14ac:dyDescent="0.15">
      <c r="B58" s="231" t="s">
        <v>1484</v>
      </c>
      <c r="C58" s="231">
        <v>2</v>
      </c>
      <c r="D58" s="231" t="s">
        <v>1486</v>
      </c>
      <c r="E58" s="233"/>
      <c r="F58" s="233">
        <f>E58*C58</f>
        <v>0</v>
      </c>
    </row>
    <row r="59" spans="2:6" x14ac:dyDescent="0.15">
      <c r="B59" s="231" t="s">
        <v>1749</v>
      </c>
      <c r="C59" s="231">
        <v>2</v>
      </c>
      <c r="D59" s="231" t="s">
        <v>1737</v>
      </c>
      <c r="E59" s="233"/>
      <c r="F59" s="233">
        <f>E59*C59</f>
        <v>0</v>
      </c>
    </row>
    <row r="60" spans="2:6" x14ac:dyDescent="0.15">
      <c r="B60" s="231"/>
      <c r="C60" s="231"/>
      <c r="D60" s="231"/>
      <c r="E60" s="233"/>
      <c r="F60" s="233">
        <f>E60*C60</f>
        <v>0</v>
      </c>
    </row>
    <row r="61" spans="2:6" x14ac:dyDescent="0.15">
      <c r="B61" s="231"/>
      <c r="C61" s="231"/>
      <c r="D61" s="231"/>
      <c r="E61" s="233"/>
      <c r="F61" s="233">
        <f>E61*C61</f>
        <v>0</v>
      </c>
    </row>
    <row r="62" spans="2:6" x14ac:dyDescent="0.15">
      <c r="B62" s="231"/>
      <c r="C62" s="231"/>
      <c r="D62" s="231"/>
      <c r="E62" s="233"/>
      <c r="F62" s="233">
        <f>E62*C62</f>
        <v>0</v>
      </c>
    </row>
    <row r="63" spans="2:6" x14ac:dyDescent="0.15">
      <c r="B63" s="231"/>
      <c r="C63" s="231"/>
      <c r="D63" s="231"/>
      <c r="E63" s="233"/>
      <c r="F63" s="233">
        <f>E63*C63</f>
        <v>0</v>
      </c>
    </row>
    <row r="64" spans="2:6" x14ac:dyDescent="0.15">
      <c r="B64" s="231"/>
      <c r="C64" s="231"/>
      <c r="D64" s="231"/>
      <c r="E64" s="233"/>
      <c r="F64" s="233">
        <f>E64*C64</f>
        <v>0</v>
      </c>
    </row>
    <row r="65" spans="2:6" x14ac:dyDescent="0.15">
      <c r="B65" s="231"/>
      <c r="C65" s="231"/>
      <c r="D65" s="231"/>
      <c r="E65" s="233"/>
      <c r="F65" s="233">
        <f>E65*C65</f>
        <v>0</v>
      </c>
    </row>
    <row r="66" spans="2:6" x14ac:dyDescent="0.15">
      <c r="B66" s="231"/>
      <c r="C66" s="231"/>
      <c r="D66" s="231"/>
      <c r="E66" s="233"/>
      <c r="F66" s="233">
        <f>E66*C66</f>
        <v>0</v>
      </c>
    </row>
    <row r="67" spans="2:6" ht="18" x14ac:dyDescent="0.2">
      <c r="B67" s="229"/>
      <c r="C67" s="229"/>
      <c r="D67" s="229"/>
      <c r="E67" s="229"/>
      <c r="F67" s="234">
        <f>SUM(F58:F66)</f>
        <v>0</v>
      </c>
    </row>
    <row r="68" spans="2:6" x14ac:dyDescent="0.15">
      <c r="B68" s="231" t="s">
        <v>1132</v>
      </c>
      <c r="C68" s="233">
        <v>18</v>
      </c>
      <c r="D68" s="229"/>
      <c r="F68" s="229"/>
    </row>
    <row r="69" spans="2:6" x14ac:dyDescent="0.15">
      <c r="B69" s="231" t="s">
        <v>1125</v>
      </c>
      <c r="C69" s="233">
        <f>F67</f>
        <v>0</v>
      </c>
      <c r="D69" s="232">
        <f>C69/C68</f>
        <v>0</v>
      </c>
      <c r="F69" s="229"/>
    </row>
    <row r="70" spans="2:6" x14ac:dyDescent="0.15">
      <c r="B70" s="231" t="s">
        <v>1133</v>
      </c>
      <c r="C70" s="230">
        <f>C68-C69</f>
        <v>18</v>
      </c>
      <c r="D70" s="229"/>
      <c r="F70" s="229"/>
    </row>
    <row r="71" spans="2:6" ht="20" customHeight="1" x14ac:dyDescent="0.15">
      <c r="B71" s="237"/>
      <c r="C71" s="237"/>
      <c r="D71" s="237"/>
      <c r="E71" s="237"/>
      <c r="F71" s="238"/>
    </row>
    <row r="72" spans="2:6" x14ac:dyDescent="0.15">
      <c r="B72" s="229"/>
      <c r="C72" s="229"/>
      <c r="D72" s="229"/>
      <c r="E72" s="229"/>
      <c r="F72" s="229"/>
    </row>
    <row r="74" spans="2:6" x14ac:dyDescent="0.15">
      <c r="B74" s="236" t="s">
        <v>1738</v>
      </c>
      <c r="C74" s="236"/>
      <c r="D74" s="236"/>
      <c r="E74" s="236"/>
      <c r="F74" s="236"/>
    </row>
    <row r="75" spans="2:6" x14ac:dyDescent="0.15">
      <c r="B75" s="236"/>
      <c r="C75" s="236"/>
      <c r="D75" s="236"/>
      <c r="E75" s="236"/>
      <c r="F75" s="236"/>
    </row>
    <row r="76" spans="2:6" ht="16" x14ac:dyDescent="0.2">
      <c r="B76" s="235" t="s">
        <v>1122</v>
      </c>
      <c r="C76" s="235" t="s">
        <v>1123</v>
      </c>
      <c r="D76" s="235" t="s">
        <v>1124</v>
      </c>
      <c r="E76" s="235" t="s">
        <v>1125</v>
      </c>
      <c r="F76" s="235" t="s">
        <v>1126</v>
      </c>
    </row>
    <row r="77" spans="2:6" x14ac:dyDescent="0.15">
      <c r="B77" s="231" t="s">
        <v>1064</v>
      </c>
      <c r="C77" s="231">
        <v>4</v>
      </c>
      <c r="D77" s="231" t="s">
        <v>1036</v>
      </c>
      <c r="E77" s="233">
        <f>INGREDIENTS!F112</f>
        <v>0.53</v>
      </c>
      <c r="F77" s="233">
        <f>E77*C77</f>
        <v>2.12</v>
      </c>
    </row>
    <row r="78" spans="2:6" x14ac:dyDescent="0.15">
      <c r="B78" s="231" t="s">
        <v>1408</v>
      </c>
      <c r="C78" s="231">
        <v>2</v>
      </c>
      <c r="D78" s="231" t="s">
        <v>1737</v>
      </c>
      <c r="E78" s="233">
        <f>INGREDIENTS!F50</f>
        <v>0.65333333333333343</v>
      </c>
      <c r="F78" s="233">
        <f>E78*C78</f>
        <v>1.3066666666666669</v>
      </c>
    </row>
    <row r="79" spans="2:6" x14ac:dyDescent="0.15">
      <c r="B79" s="231" t="s">
        <v>1006</v>
      </c>
      <c r="C79" s="231">
        <v>1</v>
      </c>
      <c r="D79" s="231" t="s">
        <v>1036</v>
      </c>
      <c r="E79" s="233">
        <f>INGREDIENTS!F51</f>
        <v>0.41428571428571426</v>
      </c>
      <c r="F79" s="233">
        <f>E79*C79</f>
        <v>0.41428571428571426</v>
      </c>
    </row>
    <row r="80" spans="2:6" x14ac:dyDescent="0.15">
      <c r="B80" s="231" t="s">
        <v>1315</v>
      </c>
      <c r="C80" s="231">
        <v>30</v>
      </c>
      <c r="D80" s="231" t="s">
        <v>1129</v>
      </c>
      <c r="E80" s="233">
        <f>INGREDIENTS!F117</f>
        <v>4.4999999999999997E-3</v>
      </c>
      <c r="F80" s="233">
        <f>E80*C80</f>
        <v>0.13499999999999998</v>
      </c>
    </row>
    <row r="81" spans="2:12" x14ac:dyDescent="0.15">
      <c r="B81" s="231" t="s">
        <v>1708</v>
      </c>
      <c r="C81" s="231">
        <v>15</v>
      </c>
      <c r="D81" s="231" t="s">
        <v>1001</v>
      </c>
      <c r="E81" s="233">
        <f>INGREDIENTS!F131</f>
        <v>1.0571428571428572E-2</v>
      </c>
      <c r="F81" s="233">
        <f>E81*C81</f>
        <v>0.15857142857142859</v>
      </c>
    </row>
    <row r="82" spans="2:12" x14ac:dyDescent="0.15">
      <c r="B82" s="231" t="s">
        <v>1094</v>
      </c>
      <c r="C82" s="231">
        <v>1</v>
      </c>
      <c r="D82" s="231" t="s">
        <v>1129</v>
      </c>
      <c r="E82" s="233">
        <f>INGREDIENTS!F133</f>
        <v>0.01</v>
      </c>
      <c r="F82" s="233">
        <f>E82*C82</f>
        <v>0.01</v>
      </c>
    </row>
    <row r="83" spans="2:12" x14ac:dyDescent="0.15">
      <c r="B83" s="231" t="s">
        <v>1709</v>
      </c>
      <c r="C83" s="231">
        <v>1</v>
      </c>
      <c r="D83" s="231" t="s">
        <v>1129</v>
      </c>
      <c r="E83" s="233">
        <f>INGREDIENTS!F94</f>
        <v>7.5999999999999998E-2</v>
      </c>
      <c r="F83" s="233">
        <f>E83*C83</f>
        <v>7.5999999999999998E-2</v>
      </c>
    </row>
    <row r="84" spans="2:12" x14ac:dyDescent="0.15">
      <c r="B84" s="231" t="s">
        <v>1040</v>
      </c>
      <c r="C84" s="231">
        <v>1</v>
      </c>
      <c r="D84" s="231" t="s">
        <v>1129</v>
      </c>
      <c r="E84" s="233">
        <f>INGREDIENTS!F145</f>
        <v>1.9600000000000003E-2</v>
      </c>
      <c r="F84" s="233">
        <f>E84*C84</f>
        <v>1.9600000000000003E-2</v>
      </c>
    </row>
    <row r="85" spans="2:12" x14ac:dyDescent="0.15">
      <c r="B85" s="231"/>
      <c r="C85" s="231"/>
      <c r="D85" s="231"/>
      <c r="E85" s="233"/>
      <c r="F85" s="233">
        <f>E85*C85</f>
        <v>0</v>
      </c>
    </row>
    <row r="86" spans="2:12" ht="18" x14ac:dyDescent="0.2">
      <c r="B86" s="229"/>
      <c r="C86" s="229"/>
      <c r="D86" s="229"/>
      <c r="E86" s="229"/>
      <c r="F86" s="234">
        <f>SUM(F77:F85)</f>
        <v>4.2401238095238085</v>
      </c>
    </row>
    <row r="87" spans="2:12" x14ac:dyDescent="0.15">
      <c r="B87" s="231" t="s">
        <v>1132</v>
      </c>
      <c r="C87" s="233">
        <v>18</v>
      </c>
      <c r="D87" s="229"/>
      <c r="E87" s="229"/>
      <c r="F87" s="229"/>
    </row>
    <row r="88" spans="2:12" x14ac:dyDescent="0.15">
      <c r="B88" s="231" t="s">
        <v>1125</v>
      </c>
      <c r="C88" s="233">
        <v>4.24</v>
      </c>
      <c r="D88" s="232">
        <f>C88/C87</f>
        <v>0.23555555555555557</v>
      </c>
      <c r="E88" s="229"/>
      <c r="F88" s="229"/>
    </row>
    <row r="89" spans="2:12" x14ac:dyDescent="0.15">
      <c r="B89" s="231" t="s">
        <v>1133</v>
      </c>
      <c r="C89" s="230">
        <f>C87-C88</f>
        <v>13.76</v>
      </c>
      <c r="D89" s="229"/>
      <c r="E89" s="229"/>
      <c r="F89" s="229"/>
    </row>
    <row r="90" spans="2:12" x14ac:dyDescent="0.15">
      <c r="B90" s="229"/>
      <c r="C90" s="229"/>
      <c r="D90" s="229"/>
      <c r="E90" s="229"/>
      <c r="F90" s="229"/>
    </row>
    <row r="91" spans="2:12" x14ac:dyDescent="0.15">
      <c r="B91" s="229"/>
      <c r="C91" s="229"/>
      <c r="D91" s="229"/>
      <c r="E91" s="229"/>
      <c r="F91" s="229"/>
    </row>
    <row r="94" spans="2:12" ht="23" x14ac:dyDescent="0.25">
      <c r="B94" s="185" t="s">
        <v>1701</v>
      </c>
      <c r="C94" s="185"/>
      <c r="D94" s="185"/>
      <c r="E94" s="185"/>
      <c r="F94" s="185"/>
      <c r="H94" s="185" t="s">
        <v>1662</v>
      </c>
      <c r="I94" s="185"/>
      <c r="J94" s="185"/>
      <c r="K94" s="185"/>
      <c r="L94" s="185"/>
    </row>
    <row r="95" spans="2:12" x14ac:dyDescent="0.15">
      <c r="B95" s="191"/>
      <c r="C95" s="191"/>
      <c r="D95" s="191"/>
      <c r="E95" s="191"/>
      <c r="F95" s="191"/>
      <c r="H95" s="191"/>
      <c r="I95" s="191"/>
      <c r="J95" s="191"/>
      <c r="K95" s="191"/>
      <c r="L95" s="191"/>
    </row>
    <row r="96" spans="2:12" ht="16" x14ac:dyDescent="0.2">
      <c r="B96" s="119" t="s">
        <v>1122</v>
      </c>
      <c r="C96" s="119" t="s">
        <v>1123</v>
      </c>
      <c r="D96" s="119" t="s">
        <v>1124</v>
      </c>
      <c r="E96" s="119" t="s">
        <v>1125</v>
      </c>
      <c r="F96" s="119" t="s">
        <v>1126</v>
      </c>
      <c r="H96" s="119" t="s">
        <v>1122</v>
      </c>
      <c r="I96" s="119" t="s">
        <v>1123</v>
      </c>
      <c r="J96" s="119" t="s">
        <v>1124</v>
      </c>
      <c r="K96" s="119" t="s">
        <v>1125</v>
      </c>
      <c r="L96" s="119" t="s">
        <v>1126</v>
      </c>
    </row>
    <row r="97" spans="2:12" x14ac:dyDescent="0.15">
      <c r="B97" s="108" t="s">
        <v>1702</v>
      </c>
      <c r="C97" s="106">
        <v>600</v>
      </c>
      <c r="D97" s="108" t="s">
        <v>1129</v>
      </c>
      <c r="E97" s="107">
        <f>INGREDIENTS!F144</f>
        <v>2.8000000000000001E-2</v>
      </c>
      <c r="F97" s="107">
        <f>E97*C97</f>
        <v>16.8</v>
      </c>
      <c r="H97" s="108" t="s">
        <v>1069</v>
      </c>
      <c r="I97" s="106">
        <v>1000</v>
      </c>
      <c r="J97" s="108" t="s">
        <v>1067</v>
      </c>
      <c r="K97" s="107">
        <f>INGREDIENTS!F142</f>
        <v>4.3E-3</v>
      </c>
      <c r="L97" s="107">
        <f>K97*I97</f>
        <v>4.3</v>
      </c>
    </row>
    <row r="98" spans="2:12" x14ac:dyDescent="0.15">
      <c r="B98" s="108" t="s">
        <v>1382</v>
      </c>
      <c r="C98" s="106">
        <v>500</v>
      </c>
      <c r="D98" s="108" t="s">
        <v>1001</v>
      </c>
      <c r="E98" s="107">
        <f>INGREDIENTS!F38</f>
        <v>1.426E-2</v>
      </c>
      <c r="F98" s="107">
        <f>E98*C98</f>
        <v>7.13</v>
      </c>
      <c r="H98" s="108" t="s">
        <v>1090</v>
      </c>
      <c r="I98" s="106">
        <v>90</v>
      </c>
      <c r="J98" s="108" t="s">
        <v>1001</v>
      </c>
      <c r="K98" s="107">
        <f>INGREDIENTS!F131</f>
        <v>1.0571428571428572E-2</v>
      </c>
      <c r="L98" s="107">
        <f>K98*I98</f>
        <v>0.95142857142857151</v>
      </c>
    </row>
    <row r="99" spans="2:12" x14ac:dyDescent="0.15">
      <c r="B99" s="108" t="s">
        <v>1629</v>
      </c>
      <c r="C99" s="106">
        <v>100</v>
      </c>
      <c r="D99" s="108" t="s">
        <v>1001</v>
      </c>
      <c r="E99" s="107">
        <f>INGREDIENTS!F53</f>
        <v>2.12E-2</v>
      </c>
      <c r="F99" s="107">
        <f>E99*C99</f>
        <v>2.12</v>
      </c>
      <c r="H99" s="108" t="s">
        <v>1659</v>
      </c>
      <c r="I99" s="106">
        <v>15</v>
      </c>
      <c r="J99" s="108" t="s">
        <v>1129</v>
      </c>
      <c r="K99" s="107">
        <f>INGREDIENTS!F143</f>
        <v>2.1000000000000001E-2</v>
      </c>
      <c r="L99" s="107">
        <f>K99*I99</f>
        <v>0.315</v>
      </c>
    </row>
    <row r="100" spans="2:12" x14ac:dyDescent="0.15">
      <c r="B100" s="108" t="s">
        <v>1703</v>
      </c>
      <c r="C100" s="106">
        <v>50</v>
      </c>
      <c r="D100" s="108" t="s">
        <v>1129</v>
      </c>
      <c r="E100" s="107">
        <f>INGREDIENTS!F101</f>
        <v>4.4999999999999997E-3</v>
      </c>
      <c r="F100" s="107">
        <f>E100*C100</f>
        <v>0.22499999999999998</v>
      </c>
      <c r="H100" s="108" t="s">
        <v>1094</v>
      </c>
      <c r="I100" s="106">
        <v>10</v>
      </c>
      <c r="J100" s="108" t="s">
        <v>1129</v>
      </c>
      <c r="K100" s="107">
        <f>INGREDIENTS!F133</f>
        <v>0.01</v>
      </c>
      <c r="L100" s="107">
        <f>K100*I100</f>
        <v>0.1</v>
      </c>
    </row>
    <row r="101" spans="2:12" x14ac:dyDescent="0.15">
      <c r="B101" s="108" t="s">
        <v>1513</v>
      </c>
      <c r="C101" s="106">
        <v>5</v>
      </c>
      <c r="D101" s="108" t="s">
        <v>1129</v>
      </c>
      <c r="E101" s="107">
        <f>INGREDIENTS!F133</f>
        <v>0.01</v>
      </c>
      <c r="F101" s="107">
        <f>E101*C101</f>
        <v>0.05</v>
      </c>
      <c r="H101" s="108" t="s">
        <v>1660</v>
      </c>
      <c r="I101" s="106">
        <v>15</v>
      </c>
      <c r="J101" s="108" t="s">
        <v>1129</v>
      </c>
      <c r="K101" s="107">
        <f>INGREDIENTS!F91</f>
        <v>7.5999999999999998E-2</v>
      </c>
      <c r="L101" s="107">
        <f>K101*I101</f>
        <v>1.1399999999999999</v>
      </c>
    </row>
    <row r="102" spans="2:12" x14ac:dyDescent="0.15">
      <c r="B102" s="108" t="s">
        <v>1704</v>
      </c>
      <c r="C102" s="106">
        <v>2</v>
      </c>
      <c r="D102" s="108" t="s">
        <v>1129</v>
      </c>
      <c r="E102" s="107">
        <f>INGREDIENTS!F143</f>
        <v>2.1000000000000001E-2</v>
      </c>
      <c r="F102" s="107">
        <f>E102*C102</f>
        <v>4.2000000000000003E-2</v>
      </c>
      <c r="H102" s="108" t="s">
        <v>1128</v>
      </c>
      <c r="I102" s="106">
        <v>200</v>
      </c>
      <c r="J102" s="108" t="s">
        <v>1001</v>
      </c>
      <c r="K102" s="107">
        <f>INGREDIENTS!F38</f>
        <v>1.426E-2</v>
      </c>
      <c r="L102" s="107">
        <f>K102*I102</f>
        <v>2.8519999999999999</v>
      </c>
    </row>
    <row r="103" spans="2:12" x14ac:dyDescent="0.15">
      <c r="B103" s="108" t="s">
        <v>1131</v>
      </c>
      <c r="C103" s="106">
        <v>3</v>
      </c>
      <c r="D103" s="108" t="s">
        <v>1129</v>
      </c>
      <c r="E103" s="107">
        <f>INGREDIENTS!F94</f>
        <v>7.5999999999999998E-2</v>
      </c>
      <c r="F103" s="107">
        <f>E103*C103</f>
        <v>0.22799999999999998</v>
      </c>
      <c r="H103" s="108" t="s">
        <v>1402</v>
      </c>
      <c r="I103" s="106">
        <v>100</v>
      </c>
      <c r="J103" s="108" t="s">
        <v>1001</v>
      </c>
      <c r="K103" s="107">
        <f>INGREDIENTS!F53</f>
        <v>2.12E-2</v>
      </c>
      <c r="L103" s="107">
        <f>K103*I103</f>
        <v>2.12</v>
      </c>
    </row>
    <row r="104" spans="2:12" x14ac:dyDescent="0.15">
      <c r="B104" s="108" t="s">
        <v>1193</v>
      </c>
      <c r="C104" s="106">
        <v>700</v>
      </c>
      <c r="D104" s="108" t="s">
        <v>1001</v>
      </c>
      <c r="E104" s="107">
        <v>0</v>
      </c>
      <c r="F104" s="107">
        <f>E104*C104</f>
        <v>0</v>
      </c>
      <c r="H104" s="108" t="s">
        <v>1193</v>
      </c>
      <c r="I104" s="106">
        <v>500</v>
      </c>
      <c r="J104" s="108" t="s">
        <v>1001</v>
      </c>
      <c r="K104" s="107">
        <v>0</v>
      </c>
      <c r="L104" s="107">
        <f>K104*I104</f>
        <v>0</v>
      </c>
    </row>
    <row r="105" spans="2:12" x14ac:dyDescent="0.15">
      <c r="B105" s="108"/>
      <c r="C105" s="106"/>
      <c r="D105" s="108"/>
      <c r="E105" s="107">
        <v>0</v>
      </c>
      <c r="F105" s="107">
        <f>E105*C105</f>
        <v>0</v>
      </c>
      <c r="H105" s="108"/>
      <c r="I105" s="106"/>
      <c r="J105" s="108"/>
      <c r="K105" s="107">
        <v>0</v>
      </c>
      <c r="L105" s="107">
        <f>K105*I105</f>
        <v>0</v>
      </c>
    </row>
    <row r="106" spans="2:12" x14ac:dyDescent="0.15">
      <c r="B106" s="108"/>
      <c r="C106" s="106"/>
      <c r="D106" s="108"/>
      <c r="E106" s="107">
        <v>0</v>
      </c>
      <c r="F106" s="107">
        <f>E106*C106</f>
        <v>0</v>
      </c>
      <c r="H106" s="108"/>
      <c r="I106" s="106"/>
      <c r="J106" s="108"/>
      <c r="K106" s="107">
        <v>0</v>
      </c>
      <c r="L106" s="107">
        <f>K106*I106</f>
        <v>0</v>
      </c>
    </row>
    <row r="107" spans="2:12" x14ac:dyDescent="0.15">
      <c r="B107" s="108"/>
      <c r="C107" s="106"/>
      <c r="D107" s="108"/>
      <c r="E107" s="107">
        <f>0</f>
        <v>0</v>
      </c>
      <c r="F107" s="107">
        <f>E107*C107</f>
        <v>0</v>
      </c>
      <c r="H107" s="108"/>
      <c r="I107" s="106"/>
      <c r="J107" s="108"/>
      <c r="K107" s="107">
        <f>0</f>
        <v>0</v>
      </c>
      <c r="L107" s="107">
        <f>K107*I107</f>
        <v>0</v>
      </c>
    </row>
    <row r="108" spans="2:12" ht="18" x14ac:dyDescent="0.2">
      <c r="B108" t="s">
        <v>1199</v>
      </c>
      <c r="C108" s="105">
        <v>1600</v>
      </c>
      <c r="F108" s="118"/>
      <c r="H108" t="s">
        <v>1199</v>
      </c>
      <c r="I108" s="105">
        <v>1375</v>
      </c>
      <c r="L108" s="118"/>
    </row>
    <row r="109" spans="2:12" x14ac:dyDescent="0.15">
      <c r="B109" s="54" t="s">
        <v>1661</v>
      </c>
      <c r="C109" s="105">
        <v>150</v>
      </c>
      <c r="H109" s="54" t="s">
        <v>1661</v>
      </c>
      <c r="I109" s="105">
        <v>150</v>
      </c>
    </row>
    <row r="111" spans="2:12" x14ac:dyDescent="0.15">
      <c r="E111" s="129" t="s">
        <v>1490</v>
      </c>
      <c r="F111" s="114">
        <f>SUM(F97:F107)</f>
        <v>26.595000000000006</v>
      </c>
      <c r="K111" s="129" t="s">
        <v>1490</v>
      </c>
      <c r="L111" s="114">
        <f>SUM(L97:L106)</f>
        <v>11.77842857142857</v>
      </c>
    </row>
    <row r="112" spans="2:12" x14ac:dyDescent="0.15">
      <c r="C112" s="139" t="s">
        <v>1493</v>
      </c>
      <c r="D112" s="140" t="s">
        <v>1494</v>
      </c>
      <c r="E112" s="141" t="s">
        <v>1496</v>
      </c>
      <c r="F112" s="133" t="s">
        <v>1495</v>
      </c>
      <c r="I112" s="139" t="s">
        <v>1493</v>
      </c>
      <c r="J112" s="140" t="s">
        <v>1494</v>
      </c>
      <c r="K112" s="141" t="s">
        <v>1496</v>
      </c>
      <c r="L112" s="133" t="s">
        <v>1495</v>
      </c>
    </row>
    <row r="113" spans="2:12" x14ac:dyDescent="0.15">
      <c r="C113" s="129">
        <v>10</v>
      </c>
      <c r="D113" s="114">
        <v>18</v>
      </c>
      <c r="E113" s="138">
        <f>F111/F113</f>
        <v>0.17336462305661487</v>
      </c>
      <c r="F113" s="137">
        <f>(C113*D113)-F111</f>
        <v>153.405</v>
      </c>
      <c r="I113" s="129">
        <v>9</v>
      </c>
      <c r="J113" s="114">
        <v>15</v>
      </c>
      <c r="K113" s="138">
        <f>L111/L113</f>
        <v>9.5587391354250345E-2</v>
      </c>
      <c r="L113" s="137">
        <f>(I113*J113)-L111</f>
        <v>123.22157142857142</v>
      </c>
    </row>
    <row r="114" spans="2:12" x14ac:dyDescent="0.15">
      <c r="C114" s="129">
        <v>20</v>
      </c>
      <c r="D114" s="114">
        <v>18</v>
      </c>
      <c r="E114" s="138">
        <f>F111/F114</f>
        <v>7.9767849912268887E-2</v>
      </c>
      <c r="F114" s="137">
        <f>(C114*D114)-F111</f>
        <v>333.40499999999997</v>
      </c>
      <c r="I114" s="129">
        <v>18</v>
      </c>
      <c r="J114" s="114">
        <v>15</v>
      </c>
      <c r="K114" s="138">
        <f>L111/L114</f>
        <v>4.5613650735165968E-2</v>
      </c>
      <c r="L114" s="137">
        <f>(I114*J114)-L111</f>
        <v>258.22157142857145</v>
      </c>
    </row>
    <row r="115" spans="2:12" x14ac:dyDescent="0.15">
      <c r="C115" s="129">
        <v>30</v>
      </c>
      <c r="D115" s="114">
        <v>18</v>
      </c>
      <c r="E115" s="138">
        <f>F111/F115</f>
        <v>5.1801209571391019E-2</v>
      </c>
      <c r="F115" s="137">
        <f>(C115*D115)-F111</f>
        <v>513.40499999999997</v>
      </c>
      <c r="I115" s="129">
        <v>27</v>
      </c>
      <c r="J115" s="114">
        <v>15</v>
      </c>
      <c r="K115" s="138">
        <f>L111/L115</f>
        <v>2.9953668433391419E-2</v>
      </c>
      <c r="L115" s="137">
        <f>(I115*J115)-L111</f>
        <v>393.22157142857145</v>
      </c>
    </row>
    <row r="118" spans="2:12" x14ac:dyDescent="0.15">
      <c r="B118" s="167" t="s">
        <v>1716</v>
      </c>
      <c r="C118" s="167"/>
      <c r="D118" s="167"/>
      <c r="E118" s="167"/>
      <c r="F118" s="167"/>
    </row>
    <row r="119" spans="2:12" x14ac:dyDescent="0.15">
      <c r="B119" s="167"/>
      <c r="C119" s="167"/>
      <c r="D119" s="167"/>
      <c r="E119" s="167"/>
      <c r="F119" s="167"/>
    </row>
    <row r="120" spans="2:12" ht="16" x14ac:dyDescent="0.2">
      <c r="B120" s="119" t="s">
        <v>1122</v>
      </c>
      <c r="C120" s="119" t="s">
        <v>1123</v>
      </c>
      <c r="D120" s="119" t="s">
        <v>1124</v>
      </c>
      <c r="E120" s="119" t="s">
        <v>1125</v>
      </c>
      <c r="F120" s="119" t="s">
        <v>1126</v>
      </c>
    </row>
    <row r="121" spans="2:12" x14ac:dyDescent="0.15">
      <c r="B121" s="156" t="s">
        <v>1064</v>
      </c>
      <c r="C121" s="156">
        <v>4</v>
      </c>
      <c r="D121" s="156" t="s">
        <v>1036</v>
      </c>
      <c r="E121" s="157">
        <f>INGREDIENTS!F112</f>
        <v>0.53</v>
      </c>
      <c r="F121" s="157">
        <f>E121*C121</f>
        <v>2.12</v>
      </c>
    </row>
    <row r="122" spans="2:12" x14ac:dyDescent="0.15">
      <c r="B122" s="156" t="s">
        <v>1714</v>
      </c>
      <c r="C122" s="156">
        <v>30</v>
      </c>
      <c r="D122" s="156" t="s">
        <v>1129</v>
      </c>
      <c r="E122" s="157">
        <f>INGREDIENTS!F102</f>
        <v>0.12</v>
      </c>
      <c r="F122" s="157">
        <f>E122*C122</f>
        <v>3.5999999999999996</v>
      </c>
    </row>
    <row r="123" spans="2:12" x14ac:dyDescent="0.15">
      <c r="B123" s="156" t="s">
        <v>1708</v>
      </c>
      <c r="C123" s="156">
        <v>15</v>
      </c>
      <c r="D123" s="156" t="s">
        <v>1001</v>
      </c>
      <c r="E123" s="157">
        <f>INGREDIENTS!F131</f>
        <v>1.0571428571428572E-2</v>
      </c>
      <c r="F123" s="157">
        <f>E123*C123</f>
        <v>0.15857142857142859</v>
      </c>
    </row>
    <row r="124" spans="2:12" x14ac:dyDescent="0.15">
      <c r="B124" s="156" t="s">
        <v>1094</v>
      </c>
      <c r="C124" s="156">
        <v>1</v>
      </c>
      <c r="D124" s="156" t="s">
        <v>1129</v>
      </c>
      <c r="E124" s="157">
        <f>INGREDIENTS!F133</f>
        <v>0.01</v>
      </c>
      <c r="F124" s="157">
        <f>E124*C124</f>
        <v>0.01</v>
      </c>
    </row>
    <row r="125" spans="2:12" x14ac:dyDescent="0.15">
      <c r="B125" s="156" t="s">
        <v>1709</v>
      </c>
      <c r="C125" s="156">
        <v>1</v>
      </c>
      <c r="D125" s="156" t="s">
        <v>1129</v>
      </c>
      <c r="E125" s="157">
        <f>INGREDIENTS!F94</f>
        <v>7.5999999999999998E-2</v>
      </c>
      <c r="F125" s="157">
        <f>E125*C125</f>
        <v>7.5999999999999998E-2</v>
      </c>
    </row>
    <row r="126" spans="2:12" x14ac:dyDescent="0.15">
      <c r="B126" s="156"/>
      <c r="C126" s="156"/>
      <c r="D126" s="156"/>
      <c r="E126" s="157"/>
      <c r="F126" s="157">
        <f>E126*C126</f>
        <v>0</v>
      </c>
    </row>
    <row r="127" spans="2:12" x14ac:dyDescent="0.15">
      <c r="B127" s="156"/>
      <c r="C127" s="156"/>
      <c r="D127" s="156"/>
      <c r="E127" s="157"/>
      <c r="F127" s="157">
        <f>E127*C127</f>
        <v>0</v>
      </c>
    </row>
    <row r="128" spans="2:12" ht="18" x14ac:dyDescent="0.2">
      <c r="B128" s="54"/>
      <c r="C128" s="54"/>
      <c r="D128" s="54"/>
      <c r="E128" s="54"/>
      <c r="F128" s="110">
        <f>SUM(F121:F127)</f>
        <v>5.9645714285714275</v>
      </c>
    </row>
    <row r="129" spans="2:12" x14ac:dyDescent="0.15">
      <c r="B129" s="108" t="s">
        <v>1132</v>
      </c>
      <c r="C129" s="107">
        <v>18</v>
      </c>
    </row>
    <row r="130" spans="2:12" x14ac:dyDescent="0.15">
      <c r="B130" s="108" t="s">
        <v>1125</v>
      </c>
      <c r="C130" s="107">
        <f>F128</f>
        <v>5.9645714285714275</v>
      </c>
      <c r="D130" s="158">
        <f>C130/C129</f>
        <v>0.33136507936507931</v>
      </c>
    </row>
    <row r="131" spans="2:12" x14ac:dyDescent="0.15">
      <c r="B131" s="108" t="s">
        <v>1133</v>
      </c>
      <c r="C131" s="107">
        <f>C129-C130</f>
        <v>12.035428571428572</v>
      </c>
    </row>
    <row r="135" spans="2:12" x14ac:dyDescent="0.15">
      <c r="B135" s="167" t="s">
        <v>1713</v>
      </c>
      <c r="C135" s="167"/>
      <c r="D135" s="167"/>
      <c r="E135" s="167"/>
      <c r="F135" s="167"/>
      <c r="H135" s="167" t="s">
        <v>1712</v>
      </c>
      <c r="I135" s="167"/>
      <c r="J135" s="167"/>
      <c r="K135" s="167"/>
      <c r="L135" s="167"/>
    </row>
    <row r="136" spans="2:12" x14ac:dyDescent="0.15">
      <c r="B136" s="167"/>
      <c r="C136" s="167"/>
      <c r="D136" s="167"/>
      <c r="E136" s="167"/>
      <c r="F136" s="167"/>
      <c r="H136" s="167"/>
      <c r="I136" s="167"/>
      <c r="J136" s="167"/>
      <c r="K136" s="167"/>
      <c r="L136" s="167"/>
    </row>
    <row r="137" spans="2:12" ht="16" x14ac:dyDescent="0.2">
      <c r="B137" s="119" t="s">
        <v>1122</v>
      </c>
      <c r="C137" s="119" t="s">
        <v>1123</v>
      </c>
      <c r="D137" s="119" t="s">
        <v>1124</v>
      </c>
      <c r="E137" s="119" t="s">
        <v>1125</v>
      </c>
      <c r="F137" s="119" t="s">
        <v>1126</v>
      </c>
      <c r="H137" s="119" t="s">
        <v>1122</v>
      </c>
      <c r="I137" s="119" t="s">
        <v>1123</v>
      </c>
      <c r="J137" s="119" t="s">
        <v>1124</v>
      </c>
      <c r="K137" s="119" t="s">
        <v>1125</v>
      </c>
      <c r="L137" s="119" t="s">
        <v>1126</v>
      </c>
    </row>
    <row r="138" spans="2:12" x14ac:dyDescent="0.15">
      <c r="B138" s="156" t="s">
        <v>1064</v>
      </c>
      <c r="C138" s="156">
        <v>4</v>
      </c>
      <c r="D138" s="156" t="s">
        <v>1036</v>
      </c>
      <c r="E138" s="157">
        <f>INGREDIENTS!F112</f>
        <v>0.53</v>
      </c>
      <c r="F138" s="157">
        <f>E138*C138</f>
        <v>2.12</v>
      </c>
      <c r="H138" s="156" t="s">
        <v>1064</v>
      </c>
      <c r="I138" s="156">
        <v>4</v>
      </c>
      <c r="J138" s="156" t="s">
        <v>1036</v>
      </c>
      <c r="K138" s="157">
        <f>INGREDIENTS!F112</f>
        <v>0.53</v>
      </c>
      <c r="L138" s="157">
        <f>K138*I138</f>
        <v>2.12</v>
      </c>
    </row>
    <row r="139" spans="2:12" x14ac:dyDescent="0.15">
      <c r="B139" s="156" t="s">
        <v>1714</v>
      </c>
      <c r="C139" s="156">
        <v>30</v>
      </c>
      <c r="D139" s="156" t="s">
        <v>1129</v>
      </c>
      <c r="E139" s="157">
        <f>INGREDIENTS!F102</f>
        <v>0.12</v>
      </c>
      <c r="F139" s="157">
        <f>E139*C139</f>
        <v>3.5999999999999996</v>
      </c>
      <c r="H139" s="156" t="s">
        <v>1707</v>
      </c>
      <c r="I139" s="156">
        <v>60</v>
      </c>
      <c r="J139" s="156" t="s">
        <v>1129</v>
      </c>
      <c r="K139" s="157">
        <f>INGREDIENTS!F128</f>
        <v>1.9E-2</v>
      </c>
      <c r="L139" s="157">
        <f>K139*I139</f>
        <v>1.1399999999999999</v>
      </c>
    </row>
    <row r="140" spans="2:12" x14ac:dyDescent="0.15">
      <c r="B140" s="156" t="s">
        <v>1006</v>
      </c>
      <c r="C140" s="156">
        <v>1</v>
      </c>
      <c r="D140" s="156" t="s">
        <v>1036</v>
      </c>
      <c r="E140" s="157">
        <f>INGREDIENTS!F51</f>
        <v>0.41428571428571426</v>
      </c>
      <c r="F140" s="157">
        <f>E140*C140</f>
        <v>0.41428571428571426</v>
      </c>
      <c r="H140" s="156" t="s">
        <v>1006</v>
      </c>
      <c r="I140" s="156">
        <v>1</v>
      </c>
      <c r="J140" s="156" t="s">
        <v>1036</v>
      </c>
      <c r="K140" s="157">
        <f>INGREDIENTS!F51</f>
        <v>0.41428571428571426</v>
      </c>
      <c r="L140" s="157">
        <f>K140*I140</f>
        <v>0.41428571428571426</v>
      </c>
    </row>
    <row r="141" spans="2:12" x14ac:dyDescent="0.15">
      <c r="B141" s="156" t="s">
        <v>1315</v>
      </c>
      <c r="C141" s="156">
        <v>30</v>
      </c>
      <c r="D141" s="156" t="s">
        <v>1129</v>
      </c>
      <c r="E141" s="157">
        <f>INGREDIENTS!F117</f>
        <v>4.4999999999999997E-3</v>
      </c>
      <c r="F141" s="157">
        <f>E141*C141</f>
        <v>0.13499999999999998</v>
      </c>
      <c r="H141" s="156" t="s">
        <v>1315</v>
      </c>
      <c r="I141" s="156">
        <v>30</v>
      </c>
      <c r="J141" s="156" t="s">
        <v>1129</v>
      </c>
      <c r="K141" s="157">
        <f>INGREDIENTS!F117</f>
        <v>4.4999999999999997E-3</v>
      </c>
      <c r="L141" s="157">
        <f>K141*I141</f>
        <v>0.13499999999999998</v>
      </c>
    </row>
    <row r="142" spans="2:12" x14ac:dyDescent="0.15">
      <c r="B142" s="156" t="s">
        <v>1708</v>
      </c>
      <c r="C142" s="156">
        <v>15</v>
      </c>
      <c r="D142" s="156" t="s">
        <v>1001</v>
      </c>
      <c r="E142" s="157">
        <f>INGREDIENTS!F131</f>
        <v>1.0571428571428572E-2</v>
      </c>
      <c r="F142" s="157">
        <f>E142*C142</f>
        <v>0.15857142857142859</v>
      </c>
      <c r="H142" s="156" t="s">
        <v>1708</v>
      </c>
      <c r="I142" s="156">
        <v>15</v>
      </c>
      <c r="J142" s="156" t="s">
        <v>1001</v>
      </c>
      <c r="K142" s="157">
        <f>INGREDIENTS!F131</f>
        <v>1.0571428571428572E-2</v>
      </c>
      <c r="L142" s="157">
        <f>K142*I142</f>
        <v>0.15857142857142859</v>
      </c>
    </row>
    <row r="143" spans="2:12" x14ac:dyDescent="0.15">
      <c r="B143" s="156" t="s">
        <v>1094</v>
      </c>
      <c r="C143" s="156">
        <v>1</v>
      </c>
      <c r="D143" s="156" t="s">
        <v>1129</v>
      </c>
      <c r="E143" s="157">
        <f>INGREDIENTS!F133</f>
        <v>0.01</v>
      </c>
      <c r="F143" s="157">
        <f>E143*C143</f>
        <v>0.01</v>
      </c>
      <c r="H143" s="156" t="s">
        <v>1094</v>
      </c>
      <c r="I143" s="156">
        <v>1</v>
      </c>
      <c r="J143" s="156" t="s">
        <v>1129</v>
      </c>
      <c r="K143" s="157">
        <f>INGREDIENTS!F133</f>
        <v>0.01</v>
      </c>
      <c r="L143" s="157">
        <f>K143*I143</f>
        <v>0.01</v>
      </c>
    </row>
    <row r="144" spans="2:12" x14ac:dyDescent="0.15">
      <c r="B144" s="156" t="s">
        <v>1709</v>
      </c>
      <c r="C144" s="156">
        <v>1</v>
      </c>
      <c r="D144" s="156" t="s">
        <v>1129</v>
      </c>
      <c r="E144" s="157">
        <f>INGREDIENTS!F94</f>
        <v>7.5999999999999998E-2</v>
      </c>
      <c r="F144" s="157">
        <f>E144*C144</f>
        <v>7.5999999999999998E-2</v>
      </c>
      <c r="H144" s="156" t="s">
        <v>1709</v>
      </c>
      <c r="I144" s="156">
        <v>1</v>
      </c>
      <c r="J144" s="156" t="s">
        <v>1129</v>
      </c>
      <c r="K144" s="157">
        <f>INGREDIENTS!F94</f>
        <v>7.5999999999999998E-2</v>
      </c>
      <c r="L144" s="157">
        <f>K144*I144</f>
        <v>7.5999999999999998E-2</v>
      </c>
    </row>
    <row r="145" spans="2:12" x14ac:dyDescent="0.15">
      <c r="B145" s="156"/>
      <c r="C145" s="156"/>
      <c r="D145" s="156"/>
      <c r="E145" s="157"/>
      <c r="F145" s="157">
        <f>E145*C145</f>
        <v>0</v>
      </c>
      <c r="H145" s="156"/>
      <c r="I145" s="156"/>
      <c r="J145" s="156"/>
      <c r="K145" s="157"/>
      <c r="L145" s="157">
        <f>K145*I145</f>
        <v>0</v>
      </c>
    </row>
    <row r="146" spans="2:12" x14ac:dyDescent="0.15">
      <c r="B146" s="156"/>
      <c r="C146" s="156"/>
      <c r="D146" s="156"/>
      <c r="E146" s="157"/>
      <c r="F146" s="157">
        <f>E146*C146</f>
        <v>0</v>
      </c>
      <c r="H146" s="156"/>
      <c r="I146" s="156"/>
      <c r="J146" s="156"/>
      <c r="K146" s="157"/>
      <c r="L146" s="157">
        <f>K146*I146</f>
        <v>0</v>
      </c>
    </row>
    <row r="147" spans="2:12" ht="18" x14ac:dyDescent="0.2">
      <c r="B147" s="54"/>
      <c r="C147" s="54"/>
      <c r="D147" s="54"/>
      <c r="E147" s="54"/>
      <c r="F147" s="110">
        <f>SUM(F138:F146)</f>
        <v>6.5138571428571419</v>
      </c>
      <c r="H147" s="54"/>
      <c r="I147" s="54"/>
      <c r="J147" s="54"/>
      <c r="K147" s="54"/>
      <c r="L147" s="110">
        <f>SUM(L138:L146)</f>
        <v>4.0538571428571419</v>
      </c>
    </row>
    <row r="148" spans="2:12" x14ac:dyDescent="0.15">
      <c r="B148" s="108" t="s">
        <v>1132</v>
      </c>
      <c r="C148" s="107">
        <v>18</v>
      </c>
      <c r="H148" s="108" t="s">
        <v>1132</v>
      </c>
      <c r="I148" s="106">
        <v>18</v>
      </c>
    </row>
    <row r="149" spans="2:12" x14ac:dyDescent="0.15">
      <c r="B149" s="108" t="s">
        <v>1125</v>
      </c>
      <c r="C149" s="107">
        <f>F147</f>
        <v>6.5138571428571419</v>
      </c>
      <c r="D149" s="158">
        <f>C149/C148</f>
        <v>0.3618809523809523</v>
      </c>
      <c r="H149" s="108" t="s">
        <v>1125</v>
      </c>
      <c r="I149" s="106">
        <v>4.05</v>
      </c>
      <c r="J149" s="158">
        <f>I149/I148</f>
        <v>0.22499999999999998</v>
      </c>
    </row>
    <row r="150" spans="2:12" x14ac:dyDescent="0.15">
      <c r="B150" s="108" t="s">
        <v>1133</v>
      </c>
      <c r="C150" s="107">
        <f>C148-C149</f>
        <v>11.486142857142859</v>
      </c>
      <c r="H150" s="108" t="s">
        <v>1133</v>
      </c>
      <c r="I150" s="106">
        <f>I148-I149</f>
        <v>13.95</v>
      </c>
    </row>
  </sheetData>
  <mergeCells count="11">
    <mergeCell ref="H94:L94"/>
    <mergeCell ref="H95:L95"/>
    <mergeCell ref="B21:F22"/>
    <mergeCell ref="B38:F39"/>
    <mergeCell ref="B55:F56"/>
    <mergeCell ref="B74:F75"/>
    <mergeCell ref="B94:F94"/>
    <mergeCell ref="B95:F95"/>
    <mergeCell ref="B118:F119"/>
    <mergeCell ref="B135:F136"/>
    <mergeCell ref="H135:L1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63F8-7CC6-4F45-B59D-7EE6D38527F7}">
  <dimension ref="B2:Q290"/>
  <sheetViews>
    <sheetView zoomScale="84" workbookViewId="0">
      <selection activeCell="B261" sqref="B261:G261"/>
    </sheetView>
  </sheetViews>
  <sheetFormatPr baseColWidth="10" defaultRowHeight="13" x14ac:dyDescent="0.15"/>
  <cols>
    <col min="2" max="2" width="33.5" customWidth="1"/>
    <col min="3" max="3" width="9.5" customWidth="1"/>
    <col min="4" max="4" width="10.83203125" bestFit="1" customWidth="1"/>
    <col min="6" max="6" width="10.5" bestFit="1" customWidth="1"/>
    <col min="7" max="7" width="14.6640625" bestFit="1" customWidth="1"/>
    <col min="8" max="8" width="13.33203125" bestFit="1" customWidth="1"/>
    <col min="9" max="9" width="33.33203125" customWidth="1"/>
    <col min="10" max="10" width="10.83203125" bestFit="1" customWidth="1"/>
    <col min="11" max="11" width="10.5" bestFit="1" customWidth="1"/>
    <col min="12" max="12" width="14.6640625" customWidth="1"/>
    <col min="14" max="14" width="33.33203125" customWidth="1"/>
    <col min="15" max="15" width="9.83203125" bestFit="1" customWidth="1"/>
    <col min="16" max="16" width="10.5" bestFit="1" customWidth="1"/>
    <col min="17" max="17" width="14.6640625" customWidth="1"/>
  </cols>
  <sheetData>
    <row r="2" spans="2:7" x14ac:dyDescent="0.15">
      <c r="B2" s="184"/>
      <c r="C2" s="184"/>
      <c r="D2" s="184"/>
      <c r="E2" s="184"/>
      <c r="F2" s="184"/>
      <c r="G2" s="184"/>
    </row>
    <row r="3" spans="2:7" x14ac:dyDescent="0.15">
      <c r="B3" s="184"/>
      <c r="C3" s="184"/>
      <c r="D3" s="184"/>
      <c r="E3" s="184"/>
      <c r="F3" s="184"/>
      <c r="G3" s="184"/>
    </row>
    <row r="4" spans="2:7" ht="23" x14ac:dyDescent="0.25">
      <c r="B4" s="185" t="s">
        <v>1530</v>
      </c>
      <c r="C4" s="185"/>
      <c r="D4" s="185"/>
      <c r="E4" s="185"/>
      <c r="F4" s="185"/>
      <c r="G4" s="185"/>
    </row>
    <row r="5" spans="2:7" x14ac:dyDescent="0.15">
      <c r="B5" s="191"/>
      <c r="C5" s="191"/>
      <c r="D5" s="191"/>
      <c r="E5" s="191"/>
      <c r="F5" s="191"/>
      <c r="G5" s="191"/>
    </row>
    <row r="6" spans="2:7" ht="16" x14ac:dyDescent="0.2">
      <c r="B6" s="119" t="s">
        <v>1122</v>
      </c>
      <c r="C6" s="119"/>
      <c r="D6" s="119"/>
      <c r="E6" s="119" t="s">
        <v>1123</v>
      </c>
      <c r="F6" s="119" t="s">
        <v>1124</v>
      </c>
      <c r="G6" s="134" t="s">
        <v>1489</v>
      </c>
    </row>
    <row r="7" spans="2:7" x14ac:dyDescent="0.15">
      <c r="B7" s="108" t="s">
        <v>1478</v>
      </c>
      <c r="C7" s="108"/>
      <c r="D7" s="108"/>
      <c r="E7" s="106">
        <v>0.36</v>
      </c>
      <c r="F7" s="108" t="s">
        <v>183</v>
      </c>
      <c r="G7" s="107">
        <f>INGREDIENTS!$D$223*E7</f>
        <v>2.1240000000000001</v>
      </c>
    </row>
    <row r="8" spans="2:7" x14ac:dyDescent="0.15">
      <c r="B8" s="108" t="s">
        <v>1479</v>
      </c>
      <c r="C8" s="108"/>
      <c r="D8" s="108"/>
      <c r="E8" s="106">
        <v>0.08</v>
      </c>
      <c r="F8" s="108" t="s">
        <v>183</v>
      </c>
      <c r="G8" s="107">
        <f>INGREDIENTS!$D$251*E8</f>
        <v>3.992</v>
      </c>
    </row>
    <row r="9" spans="2:7" x14ac:dyDescent="0.15">
      <c r="B9" s="108" t="s">
        <v>1480</v>
      </c>
      <c r="C9" s="108"/>
      <c r="D9" s="108"/>
      <c r="E9" s="106">
        <v>0.06</v>
      </c>
      <c r="F9" s="108" t="s">
        <v>183</v>
      </c>
      <c r="G9" s="107">
        <f>INGREDIENTS!$D$226*E9</f>
        <v>2.3939999999999997</v>
      </c>
    </row>
    <row r="10" spans="2:7" x14ac:dyDescent="0.15">
      <c r="B10" s="108" t="s">
        <v>1481</v>
      </c>
      <c r="C10" s="108"/>
      <c r="D10" s="108"/>
      <c r="E10" s="106">
        <v>0.1</v>
      </c>
      <c r="F10" s="108" t="s">
        <v>183</v>
      </c>
      <c r="G10" s="107">
        <f>INGREDIENTS!$D$252*E10</f>
        <v>10</v>
      </c>
    </row>
    <row r="11" spans="2:7" x14ac:dyDescent="0.15">
      <c r="B11" s="108" t="s">
        <v>1482</v>
      </c>
      <c r="C11" s="108"/>
      <c r="D11" s="108"/>
      <c r="E11" s="106">
        <v>0.1</v>
      </c>
      <c r="F11" s="108" t="s">
        <v>183</v>
      </c>
      <c r="G11" s="107">
        <f>INGREDIENTS!$D$227*E11</f>
        <v>3.59</v>
      </c>
    </row>
    <row r="12" spans="2:7" x14ac:dyDescent="0.15">
      <c r="B12" s="108" t="s">
        <v>1483</v>
      </c>
      <c r="C12" s="108"/>
      <c r="D12" s="108"/>
      <c r="E12" s="106">
        <v>0.25</v>
      </c>
      <c r="F12" s="108" t="s">
        <v>183</v>
      </c>
      <c r="G12" s="107">
        <f>INGREDIENTS!$D$230*E12</f>
        <v>12.95</v>
      </c>
    </row>
    <row r="13" spans="2:7" x14ac:dyDescent="0.15">
      <c r="B13" s="108" t="s">
        <v>1484</v>
      </c>
      <c r="C13" s="108"/>
      <c r="D13" s="108"/>
      <c r="E13" s="106">
        <v>4</v>
      </c>
      <c r="F13" s="108" t="s">
        <v>1486</v>
      </c>
      <c r="G13" s="107" t="e">
        <f>INGREDIENTS!#REF!*E13</f>
        <v>#REF!</v>
      </c>
    </row>
    <row r="14" spans="2:7" x14ac:dyDescent="0.15">
      <c r="F14" s="129" t="s">
        <v>1490</v>
      </c>
      <c r="G14" s="104" t="e">
        <f>SUM(G6:G13)</f>
        <v>#REF!</v>
      </c>
    </row>
    <row r="15" spans="2:7" x14ac:dyDescent="0.15">
      <c r="B15" s="139" t="s">
        <v>1493</v>
      </c>
      <c r="C15" s="139"/>
      <c r="D15" s="139"/>
      <c r="E15" s="140" t="s">
        <v>1494</v>
      </c>
      <c r="F15" s="141" t="s">
        <v>1496</v>
      </c>
      <c r="G15" s="133" t="s">
        <v>1495</v>
      </c>
    </row>
    <row r="16" spans="2:7" x14ac:dyDescent="0.15">
      <c r="B16" s="129">
        <v>16</v>
      </c>
      <c r="C16" s="129"/>
      <c r="D16" s="129"/>
      <c r="E16" s="114">
        <v>8</v>
      </c>
      <c r="F16" s="138" t="e">
        <f>G14/G16</f>
        <v>#REF!</v>
      </c>
      <c r="G16" s="137" t="e">
        <f>(B16*E16)-G14</f>
        <v>#REF!</v>
      </c>
    </row>
    <row r="17" spans="2:7" x14ac:dyDescent="0.15">
      <c r="B17" s="129">
        <v>24</v>
      </c>
      <c r="C17" s="129"/>
      <c r="D17" s="129"/>
      <c r="E17" s="114">
        <v>5</v>
      </c>
      <c r="F17" s="138" t="e">
        <f>G14/G17</f>
        <v>#REF!</v>
      </c>
      <c r="G17" s="137" t="e">
        <f>(B17*E17)-G14</f>
        <v>#REF!</v>
      </c>
    </row>
    <row r="18" spans="2:7" x14ac:dyDescent="0.15">
      <c r="B18" s="129">
        <v>30</v>
      </c>
      <c r="C18" s="129"/>
      <c r="D18" s="129"/>
      <c r="E18" s="114">
        <v>3.5</v>
      </c>
      <c r="F18" s="138" t="e">
        <f>G14/G18</f>
        <v>#REF!</v>
      </c>
      <c r="G18" s="137" t="e">
        <f>(B18*E18)-G14</f>
        <v>#REF!</v>
      </c>
    </row>
    <row r="19" spans="2:7" x14ac:dyDescent="0.15">
      <c r="B19" s="129"/>
      <c r="C19" s="129"/>
      <c r="D19" s="129"/>
      <c r="E19" s="114"/>
      <c r="F19" s="138"/>
      <c r="G19" s="137"/>
    </row>
    <row r="20" spans="2:7" x14ac:dyDescent="0.15">
      <c r="B20" s="129"/>
      <c r="C20" s="129"/>
      <c r="D20" s="129"/>
      <c r="E20" s="114"/>
      <c r="F20" s="138"/>
      <c r="G20" s="137"/>
    </row>
    <row r="21" spans="2:7" x14ac:dyDescent="0.15">
      <c r="B21" s="129"/>
      <c r="C21" s="129"/>
      <c r="D21" s="129"/>
      <c r="E21" s="114"/>
      <c r="F21" s="138"/>
      <c r="G21" s="137"/>
    </row>
    <row r="22" spans="2:7" x14ac:dyDescent="0.15">
      <c r="B22" s="129"/>
      <c r="C22" s="129"/>
      <c r="D22" s="129"/>
      <c r="E22" s="114"/>
      <c r="F22" s="138"/>
      <c r="G22" s="137"/>
    </row>
    <row r="23" spans="2:7" x14ac:dyDescent="0.15">
      <c r="B23" s="129"/>
      <c r="C23" s="129"/>
      <c r="D23" s="129"/>
      <c r="E23" s="58"/>
      <c r="F23" s="129"/>
      <c r="G23" s="58"/>
    </row>
    <row r="24" spans="2:7" x14ac:dyDescent="0.15">
      <c r="B24" s="129"/>
      <c r="C24" s="129"/>
      <c r="D24" s="129"/>
      <c r="E24" s="132"/>
      <c r="F24" s="136"/>
      <c r="G24" s="135"/>
    </row>
    <row r="25" spans="2:7" x14ac:dyDescent="0.15">
      <c r="B25" s="184"/>
      <c r="C25" s="184"/>
      <c r="D25" s="184"/>
      <c r="E25" s="184"/>
      <c r="F25" s="184"/>
      <c r="G25" s="184"/>
    </row>
    <row r="26" spans="2:7" x14ac:dyDescent="0.15">
      <c r="B26" s="184"/>
      <c r="C26" s="184"/>
      <c r="D26" s="184"/>
      <c r="E26" s="184"/>
      <c r="F26" s="184"/>
      <c r="G26" s="184"/>
    </row>
    <row r="27" spans="2:7" ht="23" x14ac:dyDescent="0.25">
      <c r="B27" s="153" t="s">
        <v>1718</v>
      </c>
      <c r="C27" s="153"/>
      <c r="D27" s="153"/>
      <c r="E27" s="153"/>
      <c r="F27" s="153"/>
      <c r="G27" s="153"/>
    </row>
    <row r="28" spans="2:7" x14ac:dyDescent="0.15">
      <c r="B28" s="191"/>
      <c r="C28" s="191"/>
      <c r="D28" s="191"/>
      <c r="E28" s="191"/>
      <c r="F28" s="191"/>
      <c r="G28" s="191"/>
    </row>
    <row r="29" spans="2:7" ht="16" x14ac:dyDescent="0.2">
      <c r="B29" s="119" t="s">
        <v>1122</v>
      </c>
      <c r="C29" s="119" t="s">
        <v>1123</v>
      </c>
      <c r="D29" s="119" t="s">
        <v>1124</v>
      </c>
      <c r="E29" s="119" t="s">
        <v>1123</v>
      </c>
      <c r="F29" s="119" t="s">
        <v>1124</v>
      </c>
      <c r="G29" s="134" t="s">
        <v>1489</v>
      </c>
    </row>
    <row r="30" spans="2:7" x14ac:dyDescent="0.15">
      <c r="B30" s="143" t="s">
        <v>1543</v>
      </c>
      <c r="C30" s="143"/>
      <c r="D30" s="143"/>
      <c r="E30" s="106"/>
      <c r="F30" s="108"/>
      <c r="G30" s="107"/>
    </row>
    <row r="31" spans="2:7" x14ac:dyDescent="0.15">
      <c r="B31" s="108" t="s">
        <v>1483</v>
      </c>
      <c r="C31" s="108">
        <v>125</v>
      </c>
      <c r="D31" s="108" t="s">
        <v>1667</v>
      </c>
      <c r="E31" s="106">
        <v>0.125</v>
      </c>
      <c r="F31" s="108" t="s">
        <v>183</v>
      </c>
      <c r="G31" s="107">
        <f>INGREDIENTS!$D$230*E31</f>
        <v>6.4749999999999996</v>
      </c>
    </row>
    <row r="32" spans="2:7" x14ac:dyDescent="0.15">
      <c r="B32" s="108" t="s">
        <v>1511</v>
      </c>
      <c r="C32" s="108">
        <v>125</v>
      </c>
      <c r="D32" s="108" t="s">
        <v>1666</v>
      </c>
      <c r="E32" s="106">
        <v>0.125</v>
      </c>
      <c r="F32" s="108" t="s">
        <v>1537</v>
      </c>
      <c r="G32" s="107" t="e">
        <f>INGREDIENTS!#REF!*E32</f>
        <v>#REF!</v>
      </c>
    </row>
    <row r="33" spans="2:7" x14ac:dyDescent="0.15">
      <c r="B33" s="108" t="s">
        <v>1478</v>
      </c>
      <c r="C33" s="108">
        <v>150</v>
      </c>
      <c r="D33" s="108" t="s">
        <v>1667</v>
      </c>
      <c r="E33" s="106">
        <v>0.15</v>
      </c>
      <c r="F33" s="108" t="s">
        <v>183</v>
      </c>
      <c r="G33" s="107">
        <f>INGREDIENTS!$D$223*E33</f>
        <v>0.88500000000000001</v>
      </c>
    </row>
    <row r="34" spans="2:7" x14ac:dyDescent="0.15">
      <c r="B34" s="108" t="s">
        <v>1522</v>
      </c>
      <c r="C34" s="108">
        <v>150</v>
      </c>
      <c r="D34" s="108" t="s">
        <v>1667</v>
      </c>
      <c r="E34" s="106">
        <v>0.15</v>
      </c>
      <c r="F34" s="108" t="s">
        <v>183</v>
      </c>
      <c r="G34" s="107">
        <f>INGREDIENTS!$D$223*E34</f>
        <v>0.88500000000000001</v>
      </c>
    </row>
    <row r="35" spans="2:7" x14ac:dyDescent="0.15">
      <c r="B35" s="143" t="s">
        <v>1544</v>
      </c>
      <c r="C35" s="143"/>
      <c r="D35" s="143"/>
      <c r="E35" s="106"/>
      <c r="F35" s="108"/>
      <c r="G35" s="107"/>
    </row>
    <row r="36" spans="2:7" x14ac:dyDescent="0.15">
      <c r="B36" s="108" t="s">
        <v>1484</v>
      </c>
      <c r="C36" s="108">
        <v>4</v>
      </c>
      <c r="D36" s="108" t="s">
        <v>1669</v>
      </c>
      <c r="E36" s="106">
        <v>4</v>
      </c>
      <c r="F36" s="108" t="s">
        <v>1486</v>
      </c>
      <c r="G36" s="107">
        <f>INGREDIENTS!$F$112*E36</f>
        <v>2.12</v>
      </c>
    </row>
    <row r="37" spans="2:7" x14ac:dyDescent="0.15">
      <c r="B37" s="143" t="s">
        <v>1553</v>
      </c>
      <c r="C37" s="143"/>
      <c r="D37" s="143"/>
      <c r="E37" s="106"/>
      <c r="F37" s="108"/>
      <c r="G37" s="107"/>
    </row>
    <row r="38" spans="2:7" x14ac:dyDescent="0.15">
      <c r="B38" s="108" t="s">
        <v>1561</v>
      </c>
      <c r="C38" s="108">
        <v>80</v>
      </c>
      <c r="D38" s="108" t="s">
        <v>1667</v>
      </c>
      <c r="E38" s="106">
        <v>0.08</v>
      </c>
      <c r="F38" s="108" t="s">
        <v>183</v>
      </c>
      <c r="G38" s="107">
        <f>INGREDIENTS!$D$225*E38</f>
        <v>2.92</v>
      </c>
    </row>
    <row r="39" spans="2:7" x14ac:dyDescent="0.15">
      <c r="B39" s="108" t="s">
        <v>1480</v>
      </c>
      <c r="C39" s="108">
        <v>60</v>
      </c>
      <c r="D39" s="108" t="s">
        <v>1667</v>
      </c>
      <c r="E39" s="106">
        <v>0.06</v>
      </c>
      <c r="F39" s="108" t="s">
        <v>183</v>
      </c>
      <c r="G39" s="107">
        <f>INGREDIENTS!$D$226*E39</f>
        <v>2.3939999999999997</v>
      </c>
    </row>
    <row r="40" spans="2:7" x14ac:dyDescent="0.15">
      <c r="B40" s="143" t="s">
        <v>1554</v>
      </c>
      <c r="C40" s="143"/>
      <c r="D40" s="143"/>
      <c r="E40" s="106"/>
      <c r="F40" s="108"/>
      <c r="G40" s="107"/>
    </row>
    <row r="41" spans="2:7" x14ac:dyDescent="0.15">
      <c r="B41" s="108" t="s">
        <v>1487</v>
      </c>
      <c r="C41" s="108">
        <v>30</v>
      </c>
      <c r="D41" s="108" t="s">
        <v>1667</v>
      </c>
      <c r="E41" s="106">
        <v>0.03</v>
      </c>
      <c r="F41" s="108" t="s">
        <v>183</v>
      </c>
      <c r="G41" s="107">
        <f>INGREDIENTS!$D$228*E41</f>
        <v>0.29699999999999999</v>
      </c>
    </row>
    <row r="42" spans="2:7" x14ac:dyDescent="0.15">
      <c r="B42" s="108" t="s">
        <v>1562</v>
      </c>
      <c r="C42" s="108">
        <v>80</v>
      </c>
      <c r="D42" s="108" t="s">
        <v>1667</v>
      </c>
      <c r="E42" s="106">
        <v>0.08</v>
      </c>
      <c r="F42" s="108" t="s">
        <v>183</v>
      </c>
      <c r="G42" s="107">
        <f>INGREDIENTS!$D$236*E42</f>
        <v>1.992</v>
      </c>
    </row>
    <row r="43" spans="2:7" x14ac:dyDescent="0.15">
      <c r="B43" s="108" t="s">
        <v>1492</v>
      </c>
      <c r="C43" s="108">
        <v>60</v>
      </c>
      <c r="D43" s="108" t="s">
        <v>1667</v>
      </c>
      <c r="E43" s="106">
        <v>0.06</v>
      </c>
      <c r="F43" s="108" t="s">
        <v>183</v>
      </c>
      <c r="G43" s="107">
        <f>INGREDIENTS!$D$229*E43</f>
        <v>1.4939999999999998</v>
      </c>
    </row>
    <row r="44" spans="2:7" x14ac:dyDescent="0.15">
      <c r="C44" s="136" t="s">
        <v>1670</v>
      </c>
      <c r="D44" s="135">
        <v>16</v>
      </c>
    </row>
    <row r="45" spans="2:7" x14ac:dyDescent="0.15">
      <c r="C45" s="136" t="s">
        <v>1672</v>
      </c>
      <c r="D45" s="149">
        <v>10.9</v>
      </c>
      <c r="F45" s="129" t="s">
        <v>1490</v>
      </c>
      <c r="G45" s="104" t="e">
        <f>SUM(G30:G44)</f>
        <v>#REF!</v>
      </c>
    </row>
    <row r="46" spans="2:7" x14ac:dyDescent="0.15">
      <c r="C46" s="136" t="s">
        <v>1673</v>
      </c>
      <c r="D46" s="149">
        <v>9.9</v>
      </c>
      <c r="F46" s="129"/>
      <c r="G46" s="104"/>
    </row>
    <row r="47" spans="2:7" x14ac:dyDescent="0.15">
      <c r="B47" s="139" t="s">
        <v>1493</v>
      </c>
      <c r="C47" s="139"/>
      <c r="D47" s="139"/>
      <c r="E47" s="140" t="s">
        <v>1494</v>
      </c>
      <c r="F47" s="141" t="s">
        <v>1496</v>
      </c>
      <c r="G47" s="133" t="s">
        <v>1495</v>
      </c>
    </row>
    <row r="48" spans="2:7" x14ac:dyDescent="0.15">
      <c r="B48" s="129">
        <v>16</v>
      </c>
      <c r="C48" s="129"/>
      <c r="D48" s="129"/>
      <c r="E48" s="114">
        <v>10.9</v>
      </c>
      <c r="F48" s="138" t="e">
        <f>G45/G48</f>
        <v>#REF!</v>
      </c>
      <c r="G48" s="137" t="e">
        <f>(B48*E48)-G45</f>
        <v>#REF!</v>
      </c>
    </row>
    <row r="49" spans="2:17" x14ac:dyDescent="0.15">
      <c r="B49" s="129">
        <v>16</v>
      </c>
      <c r="C49" s="129"/>
      <c r="D49" s="129"/>
      <c r="E49" s="114">
        <v>9.9</v>
      </c>
      <c r="F49" s="138" t="e">
        <f>G45/G49</f>
        <v>#REF!</v>
      </c>
      <c r="G49" s="137" t="e">
        <f>(B49*E49)-G45</f>
        <v>#REF!</v>
      </c>
    </row>
    <row r="50" spans="2:17" x14ac:dyDescent="0.15">
      <c r="B50" s="129">
        <v>16</v>
      </c>
      <c r="C50" s="129"/>
      <c r="D50" s="129"/>
      <c r="E50" s="114">
        <v>8.9</v>
      </c>
      <c r="F50" s="138" t="e">
        <f>G45/G50</f>
        <v>#REF!</v>
      </c>
      <c r="G50" s="137" t="e">
        <f>(B50*E50)-G45</f>
        <v>#REF!</v>
      </c>
    </row>
    <row r="51" spans="2:17" x14ac:dyDescent="0.15">
      <c r="B51" s="129"/>
      <c r="C51" s="129"/>
      <c r="D51" s="129"/>
      <c r="E51" s="58"/>
      <c r="F51" s="129"/>
      <c r="G51" s="58"/>
    </row>
    <row r="52" spans="2:17" x14ac:dyDescent="0.15">
      <c r="B52" s="129"/>
      <c r="C52" s="129"/>
      <c r="D52" s="129"/>
      <c r="E52" s="132"/>
      <c r="F52" s="136"/>
      <c r="G52" s="135"/>
    </row>
    <row r="55" spans="2:17" x14ac:dyDescent="0.15">
      <c r="B55" s="200" t="s">
        <v>1563</v>
      </c>
      <c r="C55" s="200"/>
      <c r="D55" s="200"/>
      <c r="E55" s="184"/>
      <c r="F55" s="184"/>
      <c r="G55" s="184"/>
      <c r="I55" s="192" t="s">
        <v>1536</v>
      </c>
      <c r="J55" s="184"/>
      <c r="K55" s="184"/>
      <c r="L55" s="184"/>
      <c r="N55" s="192" t="s">
        <v>1535</v>
      </c>
      <c r="O55" s="184"/>
      <c r="P55" s="184"/>
      <c r="Q55" s="184"/>
    </row>
    <row r="56" spans="2:17" x14ac:dyDescent="0.15">
      <c r="B56" s="184"/>
      <c r="C56" s="184"/>
      <c r="D56" s="184"/>
      <c r="E56" s="184"/>
      <c r="F56" s="184"/>
      <c r="G56" s="184"/>
      <c r="I56" s="184"/>
      <c r="J56" s="184"/>
      <c r="K56" s="184"/>
      <c r="L56" s="184"/>
      <c r="N56" s="184"/>
      <c r="O56" s="184"/>
      <c r="P56" s="184"/>
      <c r="Q56" s="184"/>
    </row>
    <row r="57" spans="2:17" ht="23" x14ac:dyDescent="0.25">
      <c r="B57" s="185" t="s">
        <v>1531</v>
      </c>
      <c r="C57" s="185"/>
      <c r="D57" s="185"/>
      <c r="E57" s="185"/>
      <c r="F57" s="185"/>
      <c r="G57" s="185"/>
      <c r="I57" s="185" t="s">
        <v>1531</v>
      </c>
      <c r="J57" s="185"/>
      <c r="K57" s="185"/>
      <c r="L57" s="185"/>
      <c r="N57" s="185" t="s">
        <v>1532</v>
      </c>
      <c r="O57" s="185"/>
      <c r="P57" s="185"/>
      <c r="Q57" s="185"/>
    </row>
    <row r="58" spans="2:17" x14ac:dyDescent="0.15">
      <c r="B58" s="191"/>
      <c r="C58" s="191"/>
      <c r="D58" s="191"/>
      <c r="E58" s="191"/>
      <c r="F58" s="191"/>
      <c r="G58" s="191"/>
      <c r="I58" s="191"/>
      <c r="J58" s="191"/>
      <c r="K58" s="191"/>
      <c r="L58" s="191"/>
      <c r="N58" s="191"/>
      <c r="O58" s="191"/>
      <c r="P58" s="191"/>
      <c r="Q58" s="191"/>
    </row>
    <row r="59" spans="2:17" ht="16" x14ac:dyDescent="0.2">
      <c r="B59" s="119" t="s">
        <v>1122</v>
      </c>
      <c r="C59" s="119"/>
      <c r="D59" s="119"/>
      <c r="E59" s="119" t="s">
        <v>1123</v>
      </c>
      <c r="F59" s="119" t="s">
        <v>1124</v>
      </c>
      <c r="G59" s="134" t="s">
        <v>1489</v>
      </c>
      <c r="I59" s="119" t="s">
        <v>1122</v>
      </c>
      <c r="J59" s="119" t="s">
        <v>1123</v>
      </c>
      <c r="K59" s="119" t="s">
        <v>1124</v>
      </c>
      <c r="L59" s="134" t="s">
        <v>1489</v>
      </c>
      <c r="N59" s="119" t="s">
        <v>1122</v>
      </c>
      <c r="O59" s="119" t="s">
        <v>1123</v>
      </c>
      <c r="P59" s="119" t="s">
        <v>1124</v>
      </c>
      <c r="Q59" s="134" t="s">
        <v>1489</v>
      </c>
    </row>
    <row r="60" spans="2:17" x14ac:dyDescent="0.15">
      <c r="B60" s="108" t="s">
        <v>1483</v>
      </c>
      <c r="C60" s="108"/>
      <c r="D60" s="108"/>
      <c r="E60" s="106">
        <v>0.14000000000000001</v>
      </c>
      <c r="F60" s="108" t="s">
        <v>183</v>
      </c>
      <c r="G60" s="107">
        <f>INGREDIENTS!$D$230*E60</f>
        <v>7.2520000000000007</v>
      </c>
      <c r="I60" s="108" t="s">
        <v>1483</v>
      </c>
      <c r="J60" s="106">
        <v>0.12</v>
      </c>
      <c r="K60" s="108" t="s">
        <v>183</v>
      </c>
      <c r="L60" s="107">
        <f>INGREDIENTS!$D$230*J60</f>
        <v>6.2159999999999993</v>
      </c>
      <c r="N60" s="108" t="s">
        <v>1483</v>
      </c>
      <c r="O60" s="106">
        <f>E60*1.5</f>
        <v>0.21000000000000002</v>
      </c>
      <c r="P60" s="108" t="s">
        <v>183</v>
      </c>
      <c r="Q60" s="107">
        <f>INGREDIENTS!$D$230*O60</f>
        <v>10.878</v>
      </c>
    </row>
    <row r="61" spans="2:17" x14ac:dyDescent="0.15">
      <c r="B61" s="108" t="s">
        <v>1511</v>
      </c>
      <c r="C61" s="108"/>
      <c r="D61" s="108"/>
      <c r="E61" s="106">
        <v>0.15</v>
      </c>
      <c r="F61" s="108" t="s">
        <v>1537</v>
      </c>
      <c r="G61" s="107" t="e">
        <f>INGREDIENTS!#REF!*E61</f>
        <v>#REF!</v>
      </c>
      <c r="I61" s="108" t="s">
        <v>1511</v>
      </c>
      <c r="J61" s="106">
        <v>0.1</v>
      </c>
      <c r="K61" s="108" t="s">
        <v>1537</v>
      </c>
      <c r="L61" s="107" t="e">
        <f>INGREDIENTS!#REF!*J61</f>
        <v>#REF!</v>
      </c>
      <c r="N61" s="108" t="s">
        <v>1511</v>
      </c>
      <c r="O61" s="106">
        <f>E61*1.5</f>
        <v>0.22499999999999998</v>
      </c>
      <c r="P61" s="108" t="s">
        <v>1537</v>
      </c>
      <c r="Q61" s="107" t="e">
        <f>INGREDIENTS!#REF!*O61</f>
        <v>#REF!</v>
      </c>
    </row>
    <row r="62" spans="2:17" x14ac:dyDescent="0.15">
      <c r="B62" s="108" t="s">
        <v>1478</v>
      </c>
      <c r="C62" s="108"/>
      <c r="D62" s="108"/>
      <c r="E62" s="106">
        <v>0.3</v>
      </c>
      <c r="F62" s="108" t="s">
        <v>183</v>
      </c>
      <c r="G62" s="107">
        <f>INGREDIENTS!$D$223*E62</f>
        <v>1.77</v>
      </c>
      <c r="I62" s="108" t="s">
        <v>1478</v>
      </c>
      <c r="J62" s="106">
        <v>0.26</v>
      </c>
      <c r="K62" s="108" t="s">
        <v>183</v>
      </c>
      <c r="L62" s="107">
        <f>INGREDIENTS!$D$223*J62</f>
        <v>1.5340000000000003</v>
      </c>
      <c r="N62" s="108" t="s">
        <v>1478</v>
      </c>
      <c r="O62" s="106">
        <f t="shared" ref="O62:O67" si="0">E62*1.5</f>
        <v>0.44999999999999996</v>
      </c>
      <c r="P62" s="108" t="s">
        <v>183</v>
      </c>
      <c r="Q62" s="107">
        <f>INGREDIENTS!$D$223*O62</f>
        <v>2.6549999999999998</v>
      </c>
    </row>
    <row r="63" spans="2:17" x14ac:dyDescent="0.15">
      <c r="B63" s="108" t="s">
        <v>1522</v>
      </c>
      <c r="C63" s="108"/>
      <c r="D63" s="108"/>
      <c r="E63" s="106">
        <v>0.3</v>
      </c>
      <c r="F63" s="108" t="s">
        <v>183</v>
      </c>
      <c r="G63" s="107">
        <f>INGREDIENTS!$D$223*E63</f>
        <v>1.77</v>
      </c>
      <c r="I63" s="108" t="s">
        <v>1522</v>
      </c>
      <c r="J63" s="106">
        <v>0.26</v>
      </c>
      <c r="K63" s="108" t="s">
        <v>183</v>
      </c>
      <c r="L63" s="107">
        <f>INGREDIENTS!$D$223*J63</f>
        <v>1.5340000000000003</v>
      </c>
      <c r="N63" s="108" t="s">
        <v>1522</v>
      </c>
      <c r="O63" s="106">
        <f t="shared" si="0"/>
        <v>0.44999999999999996</v>
      </c>
      <c r="P63" s="108" t="s">
        <v>183</v>
      </c>
      <c r="Q63" s="107">
        <f>INGREDIENTS!$D$223*O63</f>
        <v>2.6549999999999998</v>
      </c>
    </row>
    <row r="64" spans="2:17" x14ac:dyDescent="0.15">
      <c r="B64" s="108" t="s">
        <v>1513</v>
      </c>
      <c r="C64" s="108"/>
      <c r="D64" s="108"/>
      <c r="E64" s="106">
        <v>2E-3</v>
      </c>
      <c r="F64" s="108" t="s">
        <v>183</v>
      </c>
      <c r="G64" s="107"/>
      <c r="I64" s="108" t="s">
        <v>1513</v>
      </c>
      <c r="J64" s="106">
        <f t="shared" ref="J64" si="1">E64*2</f>
        <v>4.0000000000000001E-3</v>
      </c>
      <c r="K64" s="108" t="s">
        <v>183</v>
      </c>
      <c r="L64" s="107"/>
      <c r="N64" s="108" t="s">
        <v>1513</v>
      </c>
      <c r="O64" s="106">
        <f>E64*1.5</f>
        <v>3.0000000000000001E-3</v>
      </c>
      <c r="P64" s="108" t="s">
        <v>183</v>
      </c>
      <c r="Q64" s="107"/>
    </row>
    <row r="65" spans="2:17" x14ac:dyDescent="0.15">
      <c r="B65" s="108" t="s">
        <v>1514</v>
      </c>
      <c r="C65" s="108"/>
      <c r="D65" s="108"/>
      <c r="E65" s="106">
        <v>2</v>
      </c>
      <c r="F65" s="108" t="s">
        <v>1486</v>
      </c>
      <c r="G65" s="107">
        <f>'HOT Drinks '!$R$8</f>
        <v>0.66463009803921558</v>
      </c>
      <c r="I65" s="108" t="s">
        <v>1514</v>
      </c>
      <c r="J65" s="106">
        <v>2</v>
      </c>
      <c r="K65" s="108" t="s">
        <v>1486</v>
      </c>
      <c r="L65" s="107">
        <f>'HOT Drinks '!$R$8</f>
        <v>0.66463009803921558</v>
      </c>
      <c r="N65" s="108" t="s">
        <v>1514</v>
      </c>
      <c r="O65" s="106">
        <f>E65*1.5</f>
        <v>3</v>
      </c>
      <c r="P65" s="108" t="s">
        <v>1486</v>
      </c>
      <c r="Q65" s="107">
        <f>'HOT Drinks '!$R$8</f>
        <v>0.66463009803921558</v>
      </c>
    </row>
    <row r="66" spans="2:17" x14ac:dyDescent="0.15">
      <c r="B66" s="108" t="s">
        <v>1484</v>
      </c>
      <c r="C66" s="108"/>
      <c r="D66" s="108"/>
      <c r="E66" s="106">
        <v>4</v>
      </c>
      <c r="F66" s="108" t="s">
        <v>1486</v>
      </c>
      <c r="G66" s="107" t="e">
        <f>INGREDIENTS!#REF!*E66</f>
        <v>#REF!</v>
      </c>
      <c r="I66" s="108" t="s">
        <v>1484</v>
      </c>
      <c r="J66" s="106">
        <v>4</v>
      </c>
      <c r="K66" s="108" t="s">
        <v>1486</v>
      </c>
      <c r="L66" s="107" t="e">
        <f>INGREDIENTS!#REF!*J66</f>
        <v>#REF!</v>
      </c>
      <c r="N66" s="108" t="s">
        <v>1484</v>
      </c>
      <c r="O66" s="106">
        <f t="shared" si="0"/>
        <v>6</v>
      </c>
      <c r="P66" s="108" t="s">
        <v>1486</v>
      </c>
      <c r="Q66" s="107" t="e">
        <f>INGREDIENTS!#REF!*O66</f>
        <v>#REF!</v>
      </c>
    </row>
    <row r="67" spans="2:17" x14ac:dyDescent="0.15">
      <c r="B67" s="108" t="s">
        <v>1512</v>
      </c>
      <c r="C67" s="108"/>
      <c r="D67" s="108"/>
      <c r="E67" s="106">
        <v>2</v>
      </c>
      <c r="F67" s="108" t="s">
        <v>1486</v>
      </c>
      <c r="G67" s="107" t="e">
        <f>INGREDIENTS!#REF!*E67</f>
        <v>#REF!</v>
      </c>
      <c r="I67" s="108" t="s">
        <v>1512</v>
      </c>
      <c r="J67" s="106">
        <v>2</v>
      </c>
      <c r="K67" s="108" t="s">
        <v>1486</v>
      </c>
      <c r="L67" s="107" t="e">
        <f>INGREDIENTS!#REF!*J67</f>
        <v>#REF!</v>
      </c>
      <c r="N67" s="108" t="s">
        <v>1512</v>
      </c>
      <c r="O67" s="106">
        <f t="shared" si="0"/>
        <v>3</v>
      </c>
      <c r="P67" s="108" t="s">
        <v>1486</v>
      </c>
      <c r="Q67" s="107" t="e">
        <f>INGREDIENTS!#REF!*O67</f>
        <v>#REF!</v>
      </c>
    </row>
    <row r="68" spans="2:17" x14ac:dyDescent="0.15">
      <c r="B68" s="108" t="s">
        <v>1479</v>
      </c>
      <c r="C68" s="108"/>
      <c r="D68" s="108"/>
      <c r="E68" s="106">
        <v>0.1</v>
      </c>
      <c r="F68" s="108" t="s">
        <v>183</v>
      </c>
      <c r="G68" s="107">
        <f>INGREDIENTS!$D$225*E68</f>
        <v>3.6500000000000004</v>
      </c>
      <c r="I68" s="108" t="s">
        <v>1479</v>
      </c>
      <c r="J68" s="106">
        <v>0.1</v>
      </c>
      <c r="K68" s="108" t="s">
        <v>183</v>
      </c>
      <c r="L68" s="107">
        <f>INGREDIENTS!$D$225*J68</f>
        <v>3.6500000000000004</v>
      </c>
      <c r="N68" s="108" t="s">
        <v>1479</v>
      </c>
      <c r="O68" s="106">
        <f>E68*1.5</f>
        <v>0.15000000000000002</v>
      </c>
      <c r="P68" s="108" t="s">
        <v>183</v>
      </c>
      <c r="Q68" s="107">
        <f>INGREDIENTS!$D$225*O68</f>
        <v>5.4750000000000005</v>
      </c>
    </row>
    <row r="69" spans="2:17" x14ac:dyDescent="0.15">
      <c r="B69" s="108" t="s">
        <v>1517</v>
      </c>
      <c r="C69" s="108"/>
      <c r="D69" s="108"/>
      <c r="E69" s="106">
        <v>0.22</v>
      </c>
      <c r="F69" s="108" t="s">
        <v>183</v>
      </c>
      <c r="G69" s="107" t="e">
        <f>INGREDIENTS!#REF!*E69</f>
        <v>#REF!</v>
      </c>
      <c r="I69" s="108" t="s">
        <v>1517</v>
      </c>
      <c r="J69" s="106">
        <v>0.25</v>
      </c>
      <c r="K69" s="108" t="s">
        <v>183</v>
      </c>
      <c r="L69" s="107" t="e">
        <f>INGREDIENTS!#REF!*J69</f>
        <v>#REF!</v>
      </c>
      <c r="N69" s="108" t="s">
        <v>1517</v>
      </c>
      <c r="O69" s="106">
        <f>E69*1.5</f>
        <v>0.33</v>
      </c>
      <c r="P69" s="108" t="s">
        <v>183</v>
      </c>
      <c r="Q69" s="107" t="e">
        <f>INGREDIENTS!#REF!*O69</f>
        <v>#REF!</v>
      </c>
    </row>
    <row r="70" spans="2:17" x14ac:dyDescent="0.15">
      <c r="B70" s="108" t="s">
        <v>1497</v>
      </c>
      <c r="C70" s="108"/>
      <c r="D70" s="108"/>
      <c r="E70" s="106">
        <v>1.4E-2</v>
      </c>
      <c r="F70" s="108" t="s">
        <v>183</v>
      </c>
      <c r="G70" s="107" t="e">
        <f>INGREDIENTS!#REF!*E70</f>
        <v>#REF!</v>
      </c>
      <c r="I70" s="108" t="s">
        <v>1497</v>
      </c>
      <c r="J70" s="106">
        <v>1.4E-2</v>
      </c>
      <c r="K70" s="108" t="s">
        <v>183</v>
      </c>
      <c r="L70" s="107" t="e">
        <f>INGREDIENTS!#REF!*J70</f>
        <v>#REF!</v>
      </c>
      <c r="N70" s="108" t="s">
        <v>1497</v>
      </c>
      <c r="O70" s="106">
        <f>E70*1.5</f>
        <v>2.1000000000000001E-2</v>
      </c>
      <c r="P70" s="108" t="s">
        <v>183</v>
      </c>
      <c r="Q70" s="107" t="e">
        <f>INGREDIENTS!#REF!*O70</f>
        <v>#REF!</v>
      </c>
    </row>
    <row r="71" spans="2:17" x14ac:dyDescent="0.15">
      <c r="B71" s="108" t="s">
        <v>1481</v>
      </c>
      <c r="C71" s="108"/>
      <c r="D71" s="108"/>
      <c r="E71" s="106">
        <v>0.02</v>
      </c>
      <c r="F71" s="108" t="s">
        <v>183</v>
      </c>
      <c r="G71" s="107">
        <f>INGREDIENTS!$D$252*E71</f>
        <v>2</v>
      </c>
      <c r="I71" s="108" t="s">
        <v>1481</v>
      </c>
      <c r="J71" s="106">
        <v>0.02</v>
      </c>
      <c r="K71" s="108" t="s">
        <v>183</v>
      </c>
      <c r="L71" s="107">
        <f>INGREDIENTS!$D$252*J71</f>
        <v>2</v>
      </c>
      <c r="N71" s="108" t="s">
        <v>1481</v>
      </c>
      <c r="O71" s="106">
        <f>E71*1.5</f>
        <v>0.03</v>
      </c>
      <c r="P71" s="108" t="s">
        <v>183</v>
      </c>
      <c r="Q71" s="107">
        <f>INGREDIENTS!$D$252*O71</f>
        <v>3</v>
      </c>
    </row>
    <row r="72" spans="2:17" x14ac:dyDescent="0.15">
      <c r="F72" s="136" t="s">
        <v>1490</v>
      </c>
      <c r="G72" s="114" t="e">
        <f>SUM(G60:G71)</f>
        <v>#REF!</v>
      </c>
      <c r="K72" s="136" t="s">
        <v>1490</v>
      </c>
      <c r="L72" s="114" t="e">
        <f>SUM(L60:L71)</f>
        <v>#REF!</v>
      </c>
      <c r="P72" s="136" t="s">
        <v>1490</v>
      </c>
      <c r="Q72" s="114" t="e">
        <f>SUM(Q60:Q71)</f>
        <v>#REF!</v>
      </c>
    </row>
    <row r="73" spans="2:17" x14ac:dyDescent="0.15">
      <c r="B73" s="139" t="s">
        <v>1493</v>
      </c>
      <c r="C73" s="139"/>
      <c r="D73" s="139"/>
      <c r="E73" s="140" t="s">
        <v>1494</v>
      </c>
      <c r="F73" s="141" t="s">
        <v>1496</v>
      </c>
      <c r="G73" s="133" t="s">
        <v>1495</v>
      </c>
      <c r="I73" s="139" t="s">
        <v>1493</v>
      </c>
      <c r="J73" s="140" t="s">
        <v>1494</v>
      </c>
      <c r="K73" s="141" t="s">
        <v>1496</v>
      </c>
      <c r="L73" s="133" t="s">
        <v>1495</v>
      </c>
      <c r="N73" s="139" t="s">
        <v>1493</v>
      </c>
      <c r="O73" s="140" t="s">
        <v>1494</v>
      </c>
      <c r="P73" s="141" t="s">
        <v>1496</v>
      </c>
      <c r="Q73" s="133" t="s">
        <v>1495</v>
      </c>
    </row>
    <row r="74" spans="2:17" x14ac:dyDescent="0.15">
      <c r="B74" s="129">
        <v>40</v>
      </c>
      <c r="C74" s="129"/>
      <c r="D74" s="129"/>
      <c r="E74" s="114">
        <v>3.5</v>
      </c>
      <c r="F74" s="138" t="e">
        <f>G72/G74</f>
        <v>#REF!</v>
      </c>
      <c r="G74" s="137" t="e">
        <f>(B74*E74)-G72</f>
        <v>#REF!</v>
      </c>
      <c r="I74" s="129">
        <v>30</v>
      </c>
      <c r="J74" s="114">
        <v>3.5</v>
      </c>
      <c r="K74" s="138" t="e">
        <f>L72/L74</f>
        <v>#REF!</v>
      </c>
      <c r="L74" s="137" t="e">
        <f>(I74*J74)-L72</f>
        <v>#REF!</v>
      </c>
      <c r="N74" s="129">
        <v>24</v>
      </c>
      <c r="O74" s="114">
        <v>7.5</v>
      </c>
      <c r="P74" s="138" t="e">
        <f>Q72/Q74</f>
        <v>#REF!</v>
      </c>
      <c r="Q74" s="137" t="e">
        <f>(N74*O74)-Q72</f>
        <v>#REF!</v>
      </c>
    </row>
    <row r="75" spans="2:17" x14ac:dyDescent="0.15">
      <c r="B75" s="129"/>
      <c r="C75" s="129"/>
      <c r="D75" s="129"/>
      <c r="E75" s="114"/>
      <c r="F75" s="138"/>
      <c r="G75" s="137"/>
    </row>
    <row r="76" spans="2:17" x14ac:dyDescent="0.15">
      <c r="B76" s="129"/>
      <c r="C76" s="129"/>
      <c r="D76" s="129"/>
      <c r="E76" s="114"/>
      <c r="F76" s="138"/>
      <c r="G76" s="137"/>
    </row>
    <row r="78" spans="2:17" x14ac:dyDescent="0.15">
      <c r="B78" s="129"/>
      <c r="C78" s="129"/>
      <c r="D78" s="129"/>
      <c r="E78" s="114"/>
      <c r="F78" s="138"/>
      <c r="G78" s="137"/>
    </row>
    <row r="80" spans="2:17" x14ac:dyDescent="0.15">
      <c r="B80" s="198" t="s">
        <v>1542</v>
      </c>
      <c r="C80" s="198"/>
      <c r="D80" s="198"/>
      <c r="E80" s="198"/>
      <c r="F80" s="198"/>
      <c r="G80" s="198"/>
    </row>
    <row r="81" spans="2:7" x14ac:dyDescent="0.15">
      <c r="B81" s="198"/>
      <c r="C81" s="198"/>
      <c r="D81" s="198"/>
      <c r="E81" s="198"/>
      <c r="F81" s="198"/>
      <c r="G81" s="198"/>
    </row>
    <row r="82" spans="2:7" ht="23" x14ac:dyDescent="0.25">
      <c r="B82" s="185" t="s">
        <v>1541</v>
      </c>
      <c r="C82" s="185"/>
      <c r="D82" s="185"/>
      <c r="E82" s="185"/>
      <c r="F82" s="185"/>
      <c r="G82" s="185"/>
    </row>
    <row r="83" spans="2:7" x14ac:dyDescent="0.15">
      <c r="B83" s="191"/>
      <c r="C83" s="191"/>
      <c r="D83" s="191"/>
      <c r="E83" s="191"/>
      <c r="F83" s="191"/>
      <c r="G83" s="191"/>
    </row>
    <row r="84" spans="2:7" ht="16" x14ac:dyDescent="0.2">
      <c r="B84" s="119" t="s">
        <v>1122</v>
      </c>
      <c r="C84" s="119"/>
      <c r="D84" s="119"/>
      <c r="E84" s="119" t="s">
        <v>1123</v>
      </c>
      <c r="F84" s="119" t="s">
        <v>1124</v>
      </c>
      <c r="G84" s="134" t="s">
        <v>1489</v>
      </c>
    </row>
    <row r="85" spans="2:7" x14ac:dyDescent="0.15">
      <c r="B85" s="143" t="s">
        <v>1543</v>
      </c>
      <c r="C85" s="143"/>
      <c r="D85" s="143"/>
      <c r="E85" s="106"/>
      <c r="F85" s="108"/>
      <c r="G85" s="107"/>
    </row>
    <row r="86" spans="2:7" x14ac:dyDescent="0.15">
      <c r="B86" s="108" t="s">
        <v>1483</v>
      </c>
      <c r="C86" s="108"/>
      <c r="D86" s="108"/>
      <c r="E86" s="106">
        <v>0.12</v>
      </c>
      <c r="F86" s="108" t="s">
        <v>183</v>
      </c>
      <c r="G86" s="107">
        <f>INGREDIENTS!$D$230*E86</f>
        <v>6.2159999999999993</v>
      </c>
    </row>
    <row r="87" spans="2:7" x14ac:dyDescent="0.15">
      <c r="B87" s="108" t="s">
        <v>1511</v>
      </c>
      <c r="C87" s="108"/>
      <c r="D87" s="108"/>
      <c r="E87" s="106">
        <v>0.1</v>
      </c>
      <c r="F87" s="108" t="s">
        <v>1537</v>
      </c>
      <c r="G87" s="107" t="e">
        <f>INGREDIENTS!#REF!*E87</f>
        <v>#REF!</v>
      </c>
    </row>
    <row r="88" spans="2:7" x14ac:dyDescent="0.15">
      <c r="B88" s="108" t="s">
        <v>1478</v>
      </c>
      <c r="C88" s="108"/>
      <c r="D88" s="108"/>
      <c r="E88" s="106">
        <v>0.25</v>
      </c>
      <c r="F88" s="108" t="s">
        <v>183</v>
      </c>
      <c r="G88" s="107">
        <f>INGREDIENTS!$D$223*E88</f>
        <v>1.4750000000000001</v>
      </c>
    </row>
    <row r="89" spans="2:7" x14ac:dyDescent="0.15">
      <c r="B89" s="108" t="s">
        <v>1522</v>
      </c>
      <c r="C89" s="108"/>
      <c r="D89" s="108"/>
      <c r="E89" s="106">
        <v>0.25</v>
      </c>
      <c r="F89" s="108" t="s">
        <v>183</v>
      </c>
      <c r="G89" s="107">
        <f>INGREDIENTS!$D$223*E89</f>
        <v>1.4750000000000001</v>
      </c>
    </row>
    <row r="90" spans="2:7" x14ac:dyDescent="0.15">
      <c r="B90" s="143" t="s">
        <v>1544</v>
      </c>
      <c r="C90" s="143"/>
      <c r="D90" s="143"/>
      <c r="E90" s="106"/>
      <c r="F90" s="108"/>
      <c r="G90" s="107"/>
    </row>
    <row r="91" spans="2:7" x14ac:dyDescent="0.15">
      <c r="B91" s="108" t="s">
        <v>1484</v>
      </c>
      <c r="C91" s="108"/>
      <c r="D91" s="108"/>
      <c r="E91" s="106">
        <v>4</v>
      </c>
      <c r="F91" s="108" t="s">
        <v>1486</v>
      </c>
      <c r="G91" s="107" t="e">
        <f>INGREDIENTS!#REF!*E91</f>
        <v>#REF!</v>
      </c>
    </row>
    <row r="92" spans="2:7" x14ac:dyDescent="0.15">
      <c r="B92" s="108" t="s">
        <v>1512</v>
      </c>
      <c r="C92" s="108"/>
      <c r="D92" s="108"/>
      <c r="E92" s="106">
        <v>2</v>
      </c>
      <c r="F92" s="108" t="s">
        <v>1486</v>
      </c>
      <c r="G92" s="107" t="e">
        <f>INGREDIENTS!#REF!*E92</f>
        <v>#REF!</v>
      </c>
    </row>
    <row r="93" spans="2:7" x14ac:dyDescent="0.15">
      <c r="B93" s="143" t="s">
        <v>1545</v>
      </c>
      <c r="C93" s="143"/>
      <c r="D93" s="143"/>
      <c r="E93" s="106"/>
      <c r="F93" s="108"/>
      <c r="G93" s="107"/>
    </row>
    <row r="94" spans="2:7" x14ac:dyDescent="0.15">
      <c r="B94" s="108" t="s">
        <v>1513</v>
      </c>
      <c r="C94" s="108"/>
      <c r="D94" s="108"/>
      <c r="E94" s="106">
        <v>2.5000000000000001E-4</v>
      </c>
      <c r="F94" s="108" t="s">
        <v>183</v>
      </c>
      <c r="G94" s="107"/>
    </row>
    <row r="95" spans="2:7" x14ac:dyDescent="0.15">
      <c r="B95" s="108" t="s">
        <v>1514</v>
      </c>
      <c r="C95" s="108"/>
      <c r="D95" s="108"/>
      <c r="E95" s="106">
        <v>2</v>
      </c>
      <c r="F95" s="108" t="s">
        <v>1486</v>
      </c>
      <c r="G95" s="107">
        <f>'HOT Drinks '!$R$8</f>
        <v>0.66463009803921558</v>
      </c>
    </row>
    <row r="96" spans="2:7" x14ac:dyDescent="0.15">
      <c r="B96" s="108" t="s">
        <v>1479</v>
      </c>
      <c r="C96" s="108"/>
      <c r="D96" s="108"/>
      <c r="E96" s="106">
        <v>0.1</v>
      </c>
      <c r="F96" s="108" t="s">
        <v>183</v>
      </c>
      <c r="G96" s="107">
        <f>INGREDIENTS!$D$225*E96</f>
        <v>3.6500000000000004</v>
      </c>
    </row>
    <row r="97" spans="2:7" x14ac:dyDescent="0.15">
      <c r="B97" s="108" t="s">
        <v>1517</v>
      </c>
      <c r="C97" s="108"/>
      <c r="D97" s="108"/>
      <c r="E97" s="106">
        <v>0.25</v>
      </c>
      <c r="F97" s="108" t="s">
        <v>183</v>
      </c>
      <c r="G97" s="107" t="e">
        <f>INGREDIENTS!#REF!*E97</f>
        <v>#REF!</v>
      </c>
    </row>
    <row r="98" spans="2:7" x14ac:dyDescent="0.15">
      <c r="B98" s="108" t="s">
        <v>1497</v>
      </c>
      <c r="C98" s="108"/>
      <c r="D98" s="108"/>
      <c r="E98" s="106">
        <v>1.4E-2</v>
      </c>
      <c r="F98" s="108" t="s">
        <v>183</v>
      </c>
      <c r="G98" s="107" t="e">
        <f>INGREDIENTS!#REF!*E98</f>
        <v>#REF!</v>
      </c>
    </row>
    <row r="99" spans="2:7" x14ac:dyDescent="0.15">
      <c r="B99" s="144" t="s">
        <v>1546</v>
      </c>
      <c r="C99" s="144"/>
      <c r="D99" s="144"/>
      <c r="E99" s="106"/>
      <c r="F99" s="108"/>
      <c r="G99" s="107"/>
    </row>
    <row r="100" spans="2:7" x14ac:dyDescent="0.15">
      <c r="B100" s="108" t="s">
        <v>1481</v>
      </c>
      <c r="C100" s="108"/>
      <c r="D100" s="108"/>
      <c r="E100" s="106">
        <v>0.02</v>
      </c>
      <c r="F100" s="108" t="s">
        <v>183</v>
      </c>
      <c r="G100" s="107">
        <f>INGREDIENTS!$D$252*E100</f>
        <v>2</v>
      </c>
    </row>
    <row r="101" spans="2:7" x14ac:dyDescent="0.15">
      <c r="B101" s="144" t="s">
        <v>1547</v>
      </c>
      <c r="C101" s="144"/>
      <c r="D101" s="144"/>
      <c r="E101" s="106"/>
      <c r="F101" s="108"/>
      <c r="G101" s="107"/>
    </row>
    <row r="102" spans="2:7" x14ac:dyDescent="0.15">
      <c r="B102" s="144" t="s">
        <v>1548</v>
      </c>
      <c r="C102" s="144"/>
      <c r="D102" s="144"/>
      <c r="E102" s="106"/>
      <c r="F102" s="108"/>
      <c r="G102" s="107"/>
    </row>
    <row r="103" spans="2:7" x14ac:dyDescent="0.15">
      <c r="B103" s="144" t="s">
        <v>1549</v>
      </c>
      <c r="C103" s="144"/>
      <c r="D103" s="144"/>
      <c r="E103" s="106"/>
      <c r="F103" s="108"/>
      <c r="G103" s="107"/>
    </row>
    <row r="104" spans="2:7" x14ac:dyDescent="0.15">
      <c r="B104" s="108" t="s">
        <v>1550</v>
      </c>
      <c r="C104" s="108"/>
      <c r="D104" s="108"/>
      <c r="E104" s="106"/>
      <c r="F104" s="108"/>
      <c r="G104" s="107"/>
    </row>
    <row r="105" spans="2:7" x14ac:dyDescent="0.15">
      <c r="B105" s="108" t="s">
        <v>1551</v>
      </c>
      <c r="C105" s="108"/>
      <c r="D105" s="108"/>
      <c r="E105" s="106">
        <v>2.9999999999999997E-4</v>
      </c>
      <c r="F105" s="108" t="s">
        <v>183</v>
      </c>
      <c r="G105" s="107">
        <f>INGREDIENTS!$F$255*E105</f>
        <v>7.6714285714285693E-2</v>
      </c>
    </row>
    <row r="106" spans="2:7" x14ac:dyDescent="0.15">
      <c r="B106" s="108" t="s">
        <v>1552</v>
      </c>
      <c r="C106" s="108"/>
      <c r="D106" s="108"/>
      <c r="E106" s="106">
        <v>2.5000000000000001E-4</v>
      </c>
      <c r="F106" s="108" t="s">
        <v>183</v>
      </c>
      <c r="G106" s="107"/>
    </row>
    <row r="107" spans="2:7" x14ac:dyDescent="0.15">
      <c r="F107" s="136" t="s">
        <v>1490</v>
      </c>
      <c r="G107" s="114" t="e">
        <f>SUM(G85:G100)</f>
        <v>#REF!</v>
      </c>
    </row>
    <row r="108" spans="2:7" x14ac:dyDescent="0.15">
      <c r="B108" s="139" t="s">
        <v>1493</v>
      </c>
      <c r="C108" s="139"/>
      <c r="D108" s="139"/>
      <c r="E108" s="140" t="s">
        <v>1494</v>
      </c>
      <c r="F108" s="141" t="s">
        <v>1496</v>
      </c>
      <c r="G108" s="133" t="s">
        <v>1495</v>
      </c>
    </row>
    <row r="109" spans="2:7" x14ac:dyDescent="0.15">
      <c r="B109" s="129">
        <v>30</v>
      </c>
      <c r="C109" s="129"/>
      <c r="D109" s="129"/>
      <c r="E109" s="114">
        <v>3.8</v>
      </c>
      <c r="F109" s="138" t="e">
        <f>G$107/G109</f>
        <v>#REF!</v>
      </c>
      <c r="G109" s="137" t="e">
        <f>(B109*E109)-G107</f>
        <v>#REF!</v>
      </c>
    </row>
    <row r="110" spans="2:7" x14ac:dyDescent="0.15">
      <c r="B110" s="129">
        <v>24</v>
      </c>
      <c r="C110" s="129"/>
      <c r="D110" s="129"/>
      <c r="E110" s="114">
        <v>5</v>
      </c>
      <c r="F110" s="138" t="e">
        <f>G$107/G110</f>
        <v>#REF!</v>
      </c>
      <c r="G110" s="137" t="e">
        <f>(B110*E110)-G$107</f>
        <v>#REF!</v>
      </c>
    </row>
    <row r="111" spans="2:7" x14ac:dyDescent="0.15">
      <c r="B111" s="129">
        <v>16</v>
      </c>
      <c r="C111" s="129"/>
      <c r="D111" s="129"/>
      <c r="E111" s="114">
        <v>6</v>
      </c>
      <c r="F111" s="138" t="e">
        <f>G$107/G111</f>
        <v>#REF!</v>
      </c>
      <c r="G111" s="137" t="e">
        <f>(B111*E111)-G$107</f>
        <v>#REF!</v>
      </c>
    </row>
    <row r="112" spans="2:7" x14ac:dyDescent="0.15">
      <c r="B112" s="129">
        <v>12</v>
      </c>
      <c r="C112" s="129"/>
      <c r="D112" s="129"/>
      <c r="E112" s="114">
        <v>12</v>
      </c>
      <c r="F112" s="138" t="e">
        <f>G$107/G112</f>
        <v>#REF!</v>
      </c>
      <c r="G112" s="137" t="e">
        <f>(B112*E112)-G$107</f>
        <v>#REF!</v>
      </c>
    </row>
    <row r="114" spans="2:7" x14ac:dyDescent="0.15">
      <c r="B114" s="198" t="s">
        <v>1565</v>
      </c>
      <c r="C114" s="198"/>
      <c r="D114" s="198"/>
      <c r="E114" s="198"/>
      <c r="F114" s="198"/>
      <c r="G114" s="198"/>
    </row>
    <row r="115" spans="2:7" x14ac:dyDescent="0.15">
      <c r="B115" s="198"/>
      <c r="C115" s="198"/>
      <c r="D115" s="198"/>
      <c r="E115" s="198"/>
      <c r="F115" s="198"/>
      <c r="G115" s="198"/>
    </row>
    <row r="116" spans="2:7" ht="23" x14ac:dyDescent="0.25">
      <c r="B116" s="185" t="s">
        <v>1531</v>
      </c>
      <c r="C116" s="185"/>
      <c r="D116" s="185"/>
      <c r="E116" s="185"/>
      <c r="F116" s="185"/>
      <c r="G116" s="185"/>
    </row>
    <row r="117" spans="2:7" x14ac:dyDescent="0.15">
      <c r="B117" s="191"/>
      <c r="C117" s="191"/>
      <c r="D117" s="191"/>
      <c r="E117" s="191"/>
      <c r="F117" s="191"/>
      <c r="G117" s="191"/>
    </row>
    <row r="118" spans="2:7" ht="16" x14ac:dyDescent="0.2">
      <c r="B118" s="119" t="s">
        <v>1122</v>
      </c>
      <c r="C118" s="119"/>
      <c r="D118" s="119"/>
      <c r="E118" s="119" t="s">
        <v>1123</v>
      </c>
      <c r="F118" s="119" t="s">
        <v>1124</v>
      </c>
      <c r="G118" s="134" t="s">
        <v>1489</v>
      </c>
    </row>
    <row r="119" spans="2:7" x14ac:dyDescent="0.15">
      <c r="B119" s="108" t="s">
        <v>1483</v>
      </c>
      <c r="C119" s="108"/>
      <c r="D119" s="108"/>
      <c r="E119" s="106">
        <v>0.11</v>
      </c>
      <c r="F119" s="108" t="s">
        <v>183</v>
      </c>
      <c r="G119" s="107">
        <f>INGREDIENTS!$D$230*E119</f>
        <v>5.6979999999999995</v>
      </c>
    </row>
    <row r="120" spans="2:7" x14ac:dyDescent="0.15">
      <c r="B120" s="108" t="s">
        <v>1511</v>
      </c>
      <c r="C120" s="108"/>
      <c r="D120" s="108"/>
      <c r="E120" s="106">
        <v>0.11</v>
      </c>
      <c r="F120" s="108" t="s">
        <v>1537</v>
      </c>
      <c r="G120" s="107" t="e">
        <f>INGREDIENTS!#REF!*E120</f>
        <v>#REF!</v>
      </c>
    </row>
    <row r="121" spans="2:7" x14ac:dyDescent="0.15">
      <c r="B121" s="108" t="s">
        <v>1478</v>
      </c>
      <c r="C121" s="108"/>
      <c r="D121" s="108"/>
      <c r="E121" s="106">
        <v>0.26</v>
      </c>
      <c r="F121" s="108" t="s">
        <v>183</v>
      </c>
      <c r="G121" s="107">
        <f>INGREDIENTS!$D$223*E121</f>
        <v>1.5340000000000003</v>
      </c>
    </row>
    <row r="122" spans="2:7" x14ac:dyDescent="0.15">
      <c r="B122" s="108" t="s">
        <v>1522</v>
      </c>
      <c r="C122" s="108"/>
      <c r="D122" s="108"/>
      <c r="E122" s="106">
        <v>0.26</v>
      </c>
      <c r="F122" s="108" t="s">
        <v>183</v>
      </c>
      <c r="G122" s="107">
        <f>INGREDIENTS!$D$223*E122</f>
        <v>1.5340000000000003</v>
      </c>
    </row>
    <row r="123" spans="2:7" x14ac:dyDescent="0.15">
      <c r="B123" s="108" t="s">
        <v>1513</v>
      </c>
      <c r="C123" s="108"/>
      <c r="D123" s="108"/>
      <c r="E123" s="106">
        <v>2.5000000000000001E-3</v>
      </c>
      <c r="F123" s="108" t="s">
        <v>183</v>
      </c>
      <c r="G123" s="107"/>
    </row>
    <row r="124" spans="2:7" x14ac:dyDescent="0.15">
      <c r="B124" s="108" t="s">
        <v>1484</v>
      </c>
      <c r="C124" s="108"/>
      <c r="D124" s="108"/>
      <c r="E124" s="106">
        <v>4</v>
      </c>
      <c r="F124" s="108" t="s">
        <v>1486</v>
      </c>
      <c r="G124" s="107">
        <f>INGREDIENTS!$F$112*E124</f>
        <v>2.12</v>
      </c>
    </row>
    <row r="125" spans="2:7" x14ac:dyDescent="0.15">
      <c r="B125" s="108" t="s">
        <v>1512</v>
      </c>
      <c r="C125" s="108"/>
      <c r="D125" s="108"/>
      <c r="E125" s="106">
        <v>2</v>
      </c>
      <c r="F125" s="108" t="s">
        <v>1486</v>
      </c>
      <c r="G125" s="107">
        <f>INGREDIENTS!$F$112*E125</f>
        <v>1.06</v>
      </c>
    </row>
    <row r="126" spans="2:7" x14ac:dyDescent="0.15">
      <c r="B126" s="108" t="s">
        <v>1514</v>
      </c>
      <c r="C126" s="108"/>
      <c r="D126" s="108"/>
      <c r="E126" s="106">
        <v>2</v>
      </c>
      <c r="F126" s="108" t="s">
        <v>1486</v>
      </c>
      <c r="G126" s="107">
        <f>'HOT Drinks '!$R$8</f>
        <v>0.66463009803921558</v>
      </c>
    </row>
    <row r="127" spans="2:7" x14ac:dyDescent="0.15">
      <c r="B127" s="108" t="s">
        <v>1479</v>
      </c>
      <c r="C127" s="108"/>
      <c r="D127" s="108"/>
      <c r="E127" s="106">
        <v>0.1</v>
      </c>
      <c r="F127" s="108" t="s">
        <v>183</v>
      </c>
      <c r="G127" s="107">
        <f>INGREDIENTS!$D$225*E127</f>
        <v>3.6500000000000004</v>
      </c>
    </row>
    <row r="128" spans="2:7" x14ac:dyDescent="0.15">
      <c r="B128" s="108" t="s">
        <v>1517</v>
      </c>
      <c r="C128" s="108"/>
      <c r="D128" s="108"/>
      <c r="E128" s="106">
        <v>0.24</v>
      </c>
      <c r="F128" s="108" t="s">
        <v>183</v>
      </c>
      <c r="G128" s="107" t="e">
        <f>INGREDIENTS!#REF!*E128</f>
        <v>#REF!</v>
      </c>
    </row>
    <row r="129" spans="2:12" x14ac:dyDescent="0.15">
      <c r="B129" s="108" t="s">
        <v>1497</v>
      </c>
      <c r="C129" s="108"/>
      <c r="D129" s="108"/>
      <c r="E129" s="106">
        <v>1.4E-2</v>
      </c>
      <c r="F129" s="108" t="s">
        <v>183</v>
      </c>
      <c r="G129" s="107" t="e">
        <f>INGREDIENTS!#REF!*E129</f>
        <v>#REF!</v>
      </c>
    </row>
    <row r="130" spans="2:12" x14ac:dyDescent="0.15">
      <c r="B130" s="108" t="s">
        <v>1564</v>
      </c>
      <c r="C130" s="108"/>
      <c r="D130" s="108"/>
      <c r="E130" s="106">
        <v>0.1</v>
      </c>
      <c r="F130" s="108" t="s">
        <v>183</v>
      </c>
      <c r="G130" s="107">
        <f>INGREDIENTS!$D$235*E130</f>
        <v>2.25</v>
      </c>
    </row>
    <row r="131" spans="2:12" x14ac:dyDescent="0.15">
      <c r="F131" s="136" t="s">
        <v>1490</v>
      </c>
      <c r="G131" s="114" t="e">
        <f>SUM(G119:G130)</f>
        <v>#REF!</v>
      </c>
    </row>
    <row r="132" spans="2:12" x14ac:dyDescent="0.15">
      <c r="B132" s="139" t="s">
        <v>1493</v>
      </c>
      <c r="C132" s="139"/>
      <c r="D132" s="139"/>
      <c r="E132" s="140" t="s">
        <v>1494</v>
      </c>
      <c r="F132" s="141" t="s">
        <v>1496</v>
      </c>
      <c r="G132" s="133" t="s">
        <v>1495</v>
      </c>
    </row>
    <row r="133" spans="2:12" x14ac:dyDescent="0.15">
      <c r="B133" s="129">
        <v>40</v>
      </c>
      <c r="C133" s="129"/>
      <c r="D133" s="129"/>
      <c r="E133" s="114">
        <v>3</v>
      </c>
      <c r="F133" s="138" t="e">
        <f>G$131/G133</f>
        <v>#REF!</v>
      </c>
      <c r="G133" s="137" t="e">
        <f>(B133*E133)-G$131</f>
        <v>#REF!</v>
      </c>
    </row>
    <row r="134" spans="2:12" x14ac:dyDescent="0.15">
      <c r="B134">
        <v>30</v>
      </c>
      <c r="E134" s="114">
        <v>3.8</v>
      </c>
      <c r="F134" s="138" t="e">
        <f>G$131/G134</f>
        <v>#REF!</v>
      </c>
      <c r="G134" s="137" t="e">
        <f>(B134*E134)-G$131</f>
        <v>#REF!</v>
      </c>
    </row>
    <row r="135" spans="2:12" x14ac:dyDescent="0.15">
      <c r="B135">
        <v>24</v>
      </c>
      <c r="E135" s="114">
        <v>4.8</v>
      </c>
      <c r="F135" s="138" t="e">
        <f>G$131/G135</f>
        <v>#REF!</v>
      </c>
      <c r="G135" s="137" t="e">
        <f>(B135*E135)-G$131</f>
        <v>#REF!</v>
      </c>
    </row>
    <row r="137" spans="2:12" x14ac:dyDescent="0.15">
      <c r="B137" s="184" t="s">
        <v>1568</v>
      </c>
      <c r="C137" s="184"/>
      <c r="D137" s="184"/>
      <c r="E137" s="184"/>
      <c r="F137" s="184"/>
      <c r="G137" s="184"/>
      <c r="I137" s="198" t="s">
        <v>1665</v>
      </c>
      <c r="J137" s="198"/>
      <c r="K137" s="198"/>
      <c r="L137" s="154"/>
    </row>
    <row r="138" spans="2:12" x14ac:dyDescent="0.15">
      <c r="B138" s="184"/>
      <c r="C138" s="184"/>
      <c r="D138" s="184"/>
      <c r="E138" s="184"/>
      <c r="F138" s="184"/>
      <c r="G138" s="184"/>
      <c r="I138" s="198"/>
      <c r="J138" s="198"/>
      <c r="K138" s="198"/>
      <c r="L138" s="154"/>
    </row>
    <row r="139" spans="2:12" ht="23" x14ac:dyDescent="0.25">
      <c r="B139" s="199" t="s">
        <v>1567</v>
      </c>
      <c r="C139" s="199"/>
      <c r="D139" s="199"/>
      <c r="E139" s="199"/>
      <c r="F139" s="199"/>
      <c r="G139" s="199"/>
      <c r="I139" s="185" t="s">
        <v>1674</v>
      </c>
      <c r="J139" s="185"/>
      <c r="K139" s="185"/>
      <c r="L139" s="153"/>
    </row>
    <row r="140" spans="2:12" x14ac:dyDescent="0.15">
      <c r="B140" s="191"/>
      <c r="C140" s="191"/>
      <c r="D140" s="191"/>
      <c r="E140" s="191"/>
      <c r="F140" s="191"/>
      <c r="G140" s="191"/>
      <c r="I140" s="191"/>
      <c r="J140" s="191"/>
      <c r="K140" s="191"/>
      <c r="L140" s="191"/>
    </row>
    <row r="141" spans="2:12" ht="16" x14ac:dyDescent="0.2">
      <c r="B141" s="119" t="s">
        <v>1122</v>
      </c>
      <c r="C141" s="119"/>
      <c r="D141" s="119"/>
      <c r="E141" s="119" t="s">
        <v>1123</v>
      </c>
      <c r="F141" s="119" t="s">
        <v>1124</v>
      </c>
      <c r="G141" s="134" t="s">
        <v>1489</v>
      </c>
      <c r="I141" s="119" t="s">
        <v>1122</v>
      </c>
      <c r="J141" s="119" t="s">
        <v>1123</v>
      </c>
      <c r="K141" s="119" t="s">
        <v>1124</v>
      </c>
      <c r="L141" s="134" t="s">
        <v>1489</v>
      </c>
    </row>
    <row r="142" spans="2:12" x14ac:dyDescent="0.15">
      <c r="B142" s="143" t="s">
        <v>1543</v>
      </c>
      <c r="C142" s="143"/>
      <c r="D142" s="143"/>
      <c r="E142" s="106"/>
      <c r="F142" s="106"/>
      <c r="G142" s="107"/>
      <c r="I142" s="196" t="s">
        <v>1678</v>
      </c>
      <c r="J142" s="196"/>
      <c r="K142" s="196"/>
      <c r="L142" s="107"/>
    </row>
    <row r="143" spans="2:12" x14ac:dyDescent="0.15">
      <c r="B143" s="106" t="s">
        <v>1483</v>
      </c>
      <c r="C143" s="106"/>
      <c r="D143" s="106"/>
      <c r="E143" s="106">
        <v>0.2</v>
      </c>
      <c r="F143" s="106" t="s">
        <v>183</v>
      </c>
      <c r="G143" s="107">
        <f>INGREDIENTS!$D$230*E143</f>
        <v>10.36</v>
      </c>
      <c r="I143" s="106" t="s">
        <v>1483</v>
      </c>
      <c r="J143" s="106">
        <v>210</v>
      </c>
      <c r="K143" s="108" t="s">
        <v>1667</v>
      </c>
      <c r="L143" s="107"/>
    </row>
    <row r="144" spans="2:12" x14ac:dyDescent="0.15">
      <c r="B144" s="106" t="s">
        <v>1511</v>
      </c>
      <c r="C144" s="106"/>
      <c r="D144" s="106"/>
      <c r="E144" s="106">
        <v>0.23</v>
      </c>
      <c r="F144" s="106" t="s">
        <v>1537</v>
      </c>
      <c r="G144" s="107" t="e">
        <f>INGREDIENTS!#REF!*E144</f>
        <v>#REF!</v>
      </c>
      <c r="I144" s="106" t="s">
        <v>1511</v>
      </c>
      <c r="J144" s="106">
        <v>225</v>
      </c>
      <c r="K144" s="108" t="s">
        <v>1666</v>
      </c>
      <c r="L144" s="107"/>
    </row>
    <row r="145" spans="2:12" x14ac:dyDescent="0.15">
      <c r="B145" s="106" t="s">
        <v>1478</v>
      </c>
      <c r="C145" s="106"/>
      <c r="D145" s="106"/>
      <c r="E145" s="106">
        <v>0.44999999999999996</v>
      </c>
      <c r="F145" s="106" t="s">
        <v>183</v>
      </c>
      <c r="G145" s="107">
        <f>INGREDIENTS!$D$223*E145</f>
        <v>2.6549999999999998</v>
      </c>
      <c r="I145" s="106" t="s">
        <v>1478</v>
      </c>
      <c r="J145" s="106">
        <v>450</v>
      </c>
      <c r="K145" s="108" t="s">
        <v>1667</v>
      </c>
      <c r="L145" s="107"/>
    </row>
    <row r="146" spans="2:12" x14ac:dyDescent="0.15">
      <c r="B146" s="106" t="s">
        <v>1522</v>
      </c>
      <c r="C146" s="106"/>
      <c r="D146" s="106"/>
      <c r="E146" s="106">
        <v>0.44999999999999996</v>
      </c>
      <c r="F146" s="106" t="s">
        <v>183</v>
      </c>
      <c r="G146" s="107">
        <f>INGREDIENTS!$D$223*E146</f>
        <v>2.6549999999999998</v>
      </c>
      <c r="I146" s="106" t="s">
        <v>1522</v>
      </c>
      <c r="J146" s="106">
        <v>450</v>
      </c>
      <c r="K146" s="108" t="s">
        <v>1667</v>
      </c>
      <c r="L146" s="107"/>
    </row>
    <row r="147" spans="2:12" x14ac:dyDescent="0.15">
      <c r="B147" s="106" t="s">
        <v>1513</v>
      </c>
      <c r="C147" s="106"/>
      <c r="D147" s="106"/>
      <c r="E147" s="106">
        <v>3.0000000000000001E-3</v>
      </c>
      <c r="F147" s="106" t="s">
        <v>183</v>
      </c>
      <c r="G147" s="107"/>
      <c r="I147" s="106" t="s">
        <v>1513</v>
      </c>
      <c r="J147" s="108" t="s">
        <v>1668</v>
      </c>
      <c r="K147" s="108"/>
      <c r="L147" s="107"/>
    </row>
    <row r="148" spans="2:12" x14ac:dyDescent="0.15">
      <c r="B148" s="106" t="s">
        <v>1514</v>
      </c>
      <c r="C148" s="106"/>
      <c r="D148" s="106"/>
      <c r="E148" s="106">
        <v>3</v>
      </c>
      <c r="F148" s="106" t="s">
        <v>1486</v>
      </c>
      <c r="G148" s="107">
        <f>'HOT Drinks '!$R$8</f>
        <v>0.66463009803921558</v>
      </c>
      <c r="I148" s="106" t="s">
        <v>1514</v>
      </c>
      <c r="J148" s="106">
        <v>3</v>
      </c>
      <c r="K148" s="108" t="s">
        <v>1669</v>
      </c>
      <c r="L148" s="107"/>
    </row>
    <row r="149" spans="2:12" x14ac:dyDescent="0.15">
      <c r="B149" s="106" t="s">
        <v>1484</v>
      </c>
      <c r="C149" s="106"/>
      <c r="D149" s="106"/>
      <c r="E149" s="106">
        <v>6</v>
      </c>
      <c r="F149" s="106" t="s">
        <v>1486</v>
      </c>
      <c r="G149" s="107" t="e">
        <f>INGREDIENTS!#REF!*E149</f>
        <v>#REF!</v>
      </c>
      <c r="I149" s="106" t="s">
        <v>1484</v>
      </c>
      <c r="J149" s="106">
        <v>6</v>
      </c>
      <c r="K149" s="108" t="s">
        <v>1669</v>
      </c>
      <c r="L149" s="107"/>
    </row>
    <row r="150" spans="2:12" x14ac:dyDescent="0.15">
      <c r="B150" s="106" t="s">
        <v>1512</v>
      </c>
      <c r="C150" s="106"/>
      <c r="D150" s="106"/>
      <c r="E150" s="106">
        <v>3</v>
      </c>
      <c r="F150" s="106" t="s">
        <v>1486</v>
      </c>
      <c r="G150" s="107" t="e">
        <f>INGREDIENTS!#REF!*E150</f>
        <v>#REF!</v>
      </c>
      <c r="I150" s="106" t="s">
        <v>1512</v>
      </c>
      <c r="J150" s="106">
        <v>3</v>
      </c>
      <c r="K150" s="108" t="s">
        <v>1669</v>
      </c>
      <c r="L150" s="107"/>
    </row>
    <row r="151" spans="2:12" x14ac:dyDescent="0.15">
      <c r="B151" s="106" t="s">
        <v>1479</v>
      </c>
      <c r="C151" s="106"/>
      <c r="D151" s="106"/>
      <c r="E151" s="106">
        <v>0.15000000000000002</v>
      </c>
      <c r="F151" s="106" t="s">
        <v>183</v>
      </c>
      <c r="G151" s="107">
        <f>INGREDIENTS!$D$225*E151</f>
        <v>5.4750000000000005</v>
      </c>
      <c r="I151" s="106" t="s">
        <v>1479</v>
      </c>
      <c r="J151" s="106">
        <v>150</v>
      </c>
      <c r="K151" s="108" t="s">
        <v>1667</v>
      </c>
      <c r="L151" s="107"/>
    </row>
    <row r="152" spans="2:12" x14ac:dyDescent="0.15">
      <c r="B152" s="106" t="s">
        <v>1517</v>
      </c>
      <c r="C152" s="106"/>
      <c r="D152" s="106"/>
      <c r="E152" s="106">
        <v>0.27500000000000002</v>
      </c>
      <c r="F152" s="106" t="s">
        <v>183</v>
      </c>
      <c r="G152" s="107" t="e">
        <f>INGREDIENTS!#REF!*E152</f>
        <v>#REF!</v>
      </c>
      <c r="I152" s="106" t="s">
        <v>1517</v>
      </c>
      <c r="J152" s="106">
        <v>280</v>
      </c>
      <c r="K152" s="108" t="s">
        <v>1667</v>
      </c>
      <c r="L152" s="107"/>
    </row>
    <row r="153" spans="2:12" x14ac:dyDescent="0.15">
      <c r="B153" s="106" t="s">
        <v>1497</v>
      </c>
      <c r="C153" s="106"/>
      <c r="D153" s="106"/>
      <c r="E153" s="106">
        <v>2.1000000000000001E-2</v>
      </c>
      <c r="F153" s="106" t="s">
        <v>183</v>
      </c>
      <c r="G153" s="107" t="e">
        <f>INGREDIENTS!#REF!*E153</f>
        <v>#REF!</v>
      </c>
      <c r="I153" s="106" t="s">
        <v>1497</v>
      </c>
      <c r="J153" s="106">
        <v>21</v>
      </c>
      <c r="K153" s="108" t="s">
        <v>1667</v>
      </c>
      <c r="L153" s="107"/>
    </row>
    <row r="154" spans="2:12" x14ac:dyDescent="0.15">
      <c r="B154" s="106" t="s">
        <v>1566</v>
      </c>
      <c r="C154" s="106"/>
      <c r="D154" s="106"/>
      <c r="E154" s="106">
        <v>0.13</v>
      </c>
      <c r="F154" s="106" t="s">
        <v>183</v>
      </c>
      <c r="G154" s="107">
        <f>INGREDIENTS!$D$227*E154</f>
        <v>4.6669999999999998</v>
      </c>
      <c r="I154" s="106" t="s">
        <v>1566</v>
      </c>
      <c r="J154" s="106">
        <v>130</v>
      </c>
      <c r="K154" s="108" t="s">
        <v>1667</v>
      </c>
      <c r="L154" s="107"/>
    </row>
    <row r="155" spans="2:12" x14ac:dyDescent="0.15">
      <c r="B155" s="106" t="s">
        <v>1564</v>
      </c>
      <c r="C155" s="106"/>
      <c r="D155" s="106"/>
      <c r="E155" s="106">
        <v>0.13</v>
      </c>
      <c r="F155" s="106" t="s">
        <v>183</v>
      </c>
      <c r="G155" s="107">
        <f>INGREDIENTS!$D$235*E155</f>
        <v>2.9250000000000003</v>
      </c>
      <c r="I155" s="106" t="s">
        <v>1564</v>
      </c>
      <c r="J155" s="106">
        <v>130</v>
      </c>
      <c r="K155" s="108" t="s">
        <v>1667</v>
      </c>
      <c r="L155" s="107"/>
    </row>
    <row r="156" spans="2:12" x14ac:dyDescent="0.15">
      <c r="F156" s="136" t="s">
        <v>1490</v>
      </c>
      <c r="G156" s="114" t="e">
        <f>SUM(G143:G155)</f>
        <v>#REF!</v>
      </c>
      <c r="I156" s="136" t="s">
        <v>1670</v>
      </c>
      <c r="J156" s="136" t="s">
        <v>1675</v>
      </c>
      <c r="K156" s="136"/>
      <c r="L156" s="114"/>
    </row>
    <row r="157" spans="2:12" x14ac:dyDescent="0.15">
      <c r="B157" s="145" t="s">
        <v>1493</v>
      </c>
      <c r="C157" s="145"/>
      <c r="D157" s="145"/>
      <c r="E157" s="146" t="s">
        <v>1494</v>
      </c>
      <c r="F157" s="147" t="s">
        <v>1496</v>
      </c>
      <c r="G157" s="142" t="s">
        <v>1495</v>
      </c>
      <c r="I157" s="136" t="s">
        <v>1672</v>
      </c>
      <c r="J157" s="149">
        <v>9.9</v>
      </c>
    </row>
    <row r="158" spans="2:12" x14ac:dyDescent="0.15">
      <c r="B158" s="148">
        <f>4*5</f>
        <v>20</v>
      </c>
      <c r="C158" s="148"/>
      <c r="D158" s="148"/>
      <c r="E158" s="114">
        <v>9.9</v>
      </c>
      <c r="F158" s="132" t="e">
        <f>G$156/G158</f>
        <v>#REF!</v>
      </c>
      <c r="G158" s="149" t="e">
        <f>(B158*E158)-G$156</f>
        <v>#REF!</v>
      </c>
      <c r="I158" s="136" t="s">
        <v>1673</v>
      </c>
      <c r="J158" s="149">
        <v>8.9</v>
      </c>
    </row>
    <row r="159" spans="2:12" x14ac:dyDescent="0.15">
      <c r="B159" s="148">
        <v>20</v>
      </c>
      <c r="C159" s="148"/>
      <c r="D159" s="148"/>
      <c r="E159" s="114">
        <v>8.9</v>
      </c>
      <c r="F159" s="132" t="e">
        <f>G$156/G159</f>
        <v>#REF!</v>
      </c>
      <c r="G159" s="149" t="e">
        <f>(B159*E159)-G$156</f>
        <v>#REF!</v>
      </c>
    </row>
    <row r="160" spans="2:12" x14ac:dyDescent="0.15">
      <c r="B160" s="148"/>
      <c r="C160" s="148"/>
      <c r="D160" s="148"/>
      <c r="E160" s="114"/>
      <c r="F160" s="132"/>
      <c r="G160" s="149"/>
    </row>
    <row r="162" spans="2:12" x14ac:dyDescent="0.15">
      <c r="B162" s="184" t="s">
        <v>1569</v>
      </c>
      <c r="C162" s="184"/>
      <c r="D162" s="184"/>
      <c r="E162" s="184"/>
      <c r="F162" s="184"/>
      <c r="G162" s="184"/>
      <c r="I162" s="184" t="s">
        <v>1569</v>
      </c>
      <c r="J162" s="184"/>
      <c r="K162" s="184"/>
      <c r="L162" s="184"/>
    </row>
    <row r="163" spans="2:12" x14ac:dyDescent="0.15">
      <c r="B163" s="184"/>
      <c r="C163" s="184"/>
      <c r="D163" s="184"/>
      <c r="E163" s="184"/>
      <c r="F163" s="184"/>
      <c r="G163" s="184"/>
      <c r="I163" s="184"/>
      <c r="J163" s="184"/>
      <c r="K163" s="184"/>
      <c r="L163" s="184"/>
    </row>
    <row r="164" spans="2:12" ht="20" x14ac:dyDescent="0.2">
      <c r="B164" s="199" t="s">
        <v>1567</v>
      </c>
      <c r="C164" s="199"/>
      <c r="D164" s="199"/>
      <c r="E164" s="199"/>
      <c r="F164" s="199"/>
      <c r="G164" s="199"/>
      <c r="I164" s="199" t="s">
        <v>1567</v>
      </c>
      <c r="J164" s="199"/>
      <c r="K164" s="199"/>
      <c r="L164" s="199"/>
    </row>
    <row r="165" spans="2:12" x14ac:dyDescent="0.15">
      <c r="B165" s="191"/>
      <c r="C165" s="191"/>
      <c r="D165" s="191"/>
      <c r="E165" s="191"/>
      <c r="F165" s="191"/>
      <c r="G165" s="191"/>
      <c r="I165" s="191"/>
      <c r="J165" s="191"/>
      <c r="K165" s="191"/>
      <c r="L165" s="191"/>
    </row>
    <row r="166" spans="2:12" ht="16" x14ac:dyDescent="0.2">
      <c r="B166" s="119" t="s">
        <v>1122</v>
      </c>
      <c r="C166" s="119"/>
      <c r="D166" s="119"/>
      <c r="E166" s="119" t="s">
        <v>1123</v>
      </c>
      <c r="F166" s="119" t="s">
        <v>1124</v>
      </c>
      <c r="G166" s="134" t="s">
        <v>1489</v>
      </c>
      <c r="I166" s="119" t="s">
        <v>1122</v>
      </c>
      <c r="J166" s="119" t="s">
        <v>1123</v>
      </c>
      <c r="K166" s="119" t="s">
        <v>1124</v>
      </c>
      <c r="L166" s="134" t="s">
        <v>1489</v>
      </c>
    </row>
    <row r="167" spans="2:12" x14ac:dyDescent="0.15">
      <c r="B167" s="143" t="s">
        <v>1543</v>
      </c>
      <c r="C167" s="143"/>
      <c r="D167" s="143"/>
      <c r="E167" s="106"/>
      <c r="F167" s="106"/>
      <c r="G167" s="107"/>
      <c r="I167" s="196" t="s">
        <v>1678</v>
      </c>
      <c r="J167" s="196"/>
      <c r="K167" s="196"/>
      <c r="L167" s="107"/>
    </row>
    <row r="168" spans="2:12" x14ac:dyDescent="0.15">
      <c r="B168" s="106" t="s">
        <v>1483</v>
      </c>
      <c r="C168" s="106"/>
      <c r="D168" s="106"/>
      <c r="E168" s="106">
        <v>0.21000000000000002</v>
      </c>
      <c r="F168" s="106" t="s">
        <v>183</v>
      </c>
      <c r="G168" s="107">
        <f>INGREDIENTS!$D$230*E168</f>
        <v>10.878</v>
      </c>
      <c r="I168" s="106" t="s">
        <v>1483</v>
      </c>
      <c r="J168" s="106">
        <v>0.21000000000000002</v>
      </c>
      <c r="K168" s="106" t="s">
        <v>183</v>
      </c>
      <c r="L168" s="107">
        <f>INGREDIENTS!$D$230*J168</f>
        <v>10.878</v>
      </c>
    </row>
    <row r="169" spans="2:12" x14ac:dyDescent="0.15">
      <c r="B169" s="106" t="s">
        <v>1511</v>
      </c>
      <c r="C169" s="106"/>
      <c r="D169" s="106"/>
      <c r="E169" s="106">
        <v>0.22499999999999998</v>
      </c>
      <c r="F169" s="106" t="s">
        <v>1537</v>
      </c>
      <c r="G169" s="107" t="e">
        <f>INGREDIENTS!#REF!*E169</f>
        <v>#REF!</v>
      </c>
      <c r="I169" s="106" t="s">
        <v>1511</v>
      </c>
      <c r="J169" s="106">
        <v>0.22499999999999998</v>
      </c>
      <c r="K169" s="106" t="s">
        <v>1537</v>
      </c>
      <c r="L169" s="107" t="e">
        <f>INGREDIENTS!#REF!*J169</f>
        <v>#REF!</v>
      </c>
    </row>
    <row r="170" spans="2:12" x14ac:dyDescent="0.15">
      <c r="B170" s="106" t="s">
        <v>1478</v>
      </c>
      <c r="C170" s="106"/>
      <c r="D170" s="106"/>
      <c r="E170" s="106">
        <v>0.44999999999999996</v>
      </c>
      <c r="F170" s="106" t="s">
        <v>183</v>
      </c>
      <c r="G170" s="107">
        <f>INGREDIENTS!$D$223*E170</f>
        <v>2.6549999999999998</v>
      </c>
      <c r="I170" s="106" t="s">
        <v>1478</v>
      </c>
      <c r="J170" s="106">
        <v>0.44999999999999996</v>
      </c>
      <c r="K170" s="106" t="s">
        <v>183</v>
      </c>
      <c r="L170" s="107">
        <f>INGREDIENTS!$D$223*J170</f>
        <v>2.6549999999999998</v>
      </c>
    </row>
    <row r="171" spans="2:12" x14ac:dyDescent="0.15">
      <c r="B171" s="106" t="s">
        <v>1522</v>
      </c>
      <c r="C171" s="106"/>
      <c r="D171" s="106"/>
      <c r="E171" s="106">
        <v>0.44999999999999996</v>
      </c>
      <c r="F171" s="106" t="s">
        <v>183</v>
      </c>
      <c r="G171" s="107">
        <f>INGREDIENTS!$D$223*E171</f>
        <v>2.6549999999999998</v>
      </c>
      <c r="I171" s="106" t="s">
        <v>1522</v>
      </c>
      <c r="J171" s="106">
        <v>0.44999999999999996</v>
      </c>
      <c r="K171" s="106" t="s">
        <v>183</v>
      </c>
      <c r="L171" s="107">
        <f>INGREDIENTS!$D$223*J171</f>
        <v>2.6549999999999998</v>
      </c>
    </row>
    <row r="172" spans="2:12" x14ac:dyDescent="0.15">
      <c r="B172" s="106" t="s">
        <v>1513</v>
      </c>
      <c r="C172" s="106"/>
      <c r="D172" s="106"/>
      <c r="E172" s="106">
        <v>3.0000000000000001E-3</v>
      </c>
      <c r="F172" s="106" t="s">
        <v>183</v>
      </c>
      <c r="G172" s="107"/>
      <c r="I172" s="106" t="s">
        <v>1513</v>
      </c>
      <c r="J172" s="106">
        <v>3.0000000000000001E-3</v>
      </c>
      <c r="K172" s="106" t="s">
        <v>183</v>
      </c>
      <c r="L172" s="107"/>
    </row>
    <row r="173" spans="2:12" x14ac:dyDescent="0.15">
      <c r="B173" s="106" t="s">
        <v>1514</v>
      </c>
      <c r="C173" s="106"/>
      <c r="D173" s="106"/>
      <c r="E173" s="106">
        <v>3</v>
      </c>
      <c r="F173" s="106" t="s">
        <v>1486</v>
      </c>
      <c r="G173" s="107">
        <f>'HOT Drinks '!$R$8</f>
        <v>0.66463009803921558</v>
      </c>
      <c r="I173" s="106" t="s">
        <v>1514</v>
      </c>
      <c r="J173" s="106">
        <v>3</v>
      </c>
      <c r="K173" s="106" t="s">
        <v>1486</v>
      </c>
      <c r="L173" s="107">
        <f>'HOT Drinks '!$R$8</f>
        <v>0.66463009803921558</v>
      </c>
    </row>
    <row r="174" spans="2:12" x14ac:dyDescent="0.15">
      <c r="B174" s="143" t="s">
        <v>1544</v>
      </c>
      <c r="C174" s="143"/>
      <c r="D174" s="143"/>
      <c r="E174" s="106"/>
      <c r="F174" s="106"/>
      <c r="G174" s="107"/>
      <c r="I174" s="196" t="s">
        <v>1679</v>
      </c>
      <c r="J174" s="196"/>
      <c r="K174" s="196"/>
      <c r="L174" s="107"/>
    </row>
    <row r="175" spans="2:12" x14ac:dyDescent="0.15">
      <c r="B175" s="106" t="s">
        <v>1484</v>
      </c>
      <c r="C175" s="106"/>
      <c r="D175" s="106"/>
      <c r="E175" s="106">
        <v>6</v>
      </c>
      <c r="F175" s="106" t="s">
        <v>1486</v>
      </c>
      <c r="G175" s="107" t="e">
        <f>INGREDIENTS!#REF!*E175</f>
        <v>#REF!</v>
      </c>
      <c r="I175" s="106" t="s">
        <v>1484</v>
      </c>
      <c r="J175" s="106">
        <v>6</v>
      </c>
      <c r="K175" s="106" t="s">
        <v>1486</v>
      </c>
      <c r="L175" s="107" t="e">
        <f>INGREDIENTS!#REF!*J175</f>
        <v>#REF!</v>
      </c>
    </row>
    <row r="176" spans="2:12" x14ac:dyDescent="0.15">
      <c r="B176" s="106" t="s">
        <v>1512</v>
      </c>
      <c r="C176" s="106"/>
      <c r="D176" s="106"/>
      <c r="E176" s="106">
        <v>3</v>
      </c>
      <c r="F176" s="106" t="s">
        <v>1486</v>
      </c>
      <c r="G176" s="107" t="e">
        <f>INGREDIENTS!#REF!*E176</f>
        <v>#REF!</v>
      </c>
      <c r="I176" s="106" t="s">
        <v>1512</v>
      </c>
      <c r="J176" s="106">
        <v>3</v>
      </c>
      <c r="K176" s="106" t="s">
        <v>1486</v>
      </c>
      <c r="L176" s="107" t="e">
        <f>INGREDIENTS!#REF!*J176</f>
        <v>#REF!</v>
      </c>
    </row>
    <row r="177" spans="2:12" x14ac:dyDescent="0.15">
      <c r="B177" s="143" t="s">
        <v>1553</v>
      </c>
      <c r="C177" s="143"/>
      <c r="D177" s="143"/>
      <c r="E177" s="106"/>
      <c r="F177" s="106"/>
      <c r="G177" s="107"/>
      <c r="I177" s="196" t="s">
        <v>1680</v>
      </c>
      <c r="J177" s="196"/>
      <c r="K177" s="196"/>
      <c r="L177" s="107"/>
    </row>
    <row r="178" spans="2:12" x14ac:dyDescent="0.15">
      <c r="B178" s="106" t="s">
        <v>1479</v>
      </c>
      <c r="C178" s="106"/>
      <c r="D178" s="106"/>
      <c r="E178" s="106">
        <v>0.15000000000000002</v>
      </c>
      <c r="F178" s="106" t="s">
        <v>183</v>
      </c>
      <c r="G178" s="107">
        <f>INGREDIENTS!$D$225*E178</f>
        <v>5.4750000000000005</v>
      </c>
      <c r="I178" s="106" t="s">
        <v>1479</v>
      </c>
      <c r="J178" s="106">
        <v>0.15000000000000002</v>
      </c>
      <c r="K178" s="106" t="s">
        <v>183</v>
      </c>
      <c r="L178" s="107">
        <f>INGREDIENTS!$D$225*J178</f>
        <v>5.4750000000000005</v>
      </c>
    </row>
    <row r="179" spans="2:12" x14ac:dyDescent="0.15">
      <c r="B179" s="106" t="s">
        <v>1517</v>
      </c>
      <c r="C179" s="106"/>
      <c r="D179" s="106"/>
      <c r="E179" s="106">
        <v>0.28000000000000003</v>
      </c>
      <c r="F179" s="106" t="s">
        <v>183</v>
      </c>
      <c r="G179" s="107" t="e">
        <f>INGREDIENTS!#REF!*E179</f>
        <v>#REF!</v>
      </c>
      <c r="I179" s="106" t="s">
        <v>1517</v>
      </c>
      <c r="J179" s="106">
        <v>0.28000000000000003</v>
      </c>
      <c r="K179" s="106" t="s">
        <v>183</v>
      </c>
      <c r="L179" s="107" t="e">
        <f>INGREDIENTS!#REF!*J179</f>
        <v>#REF!</v>
      </c>
    </row>
    <row r="180" spans="2:12" x14ac:dyDescent="0.15">
      <c r="B180" s="106" t="s">
        <v>1497</v>
      </c>
      <c r="C180" s="106"/>
      <c r="D180" s="106"/>
      <c r="E180" s="106">
        <v>2.1000000000000001E-2</v>
      </c>
      <c r="F180" s="106" t="s">
        <v>183</v>
      </c>
      <c r="G180" s="107" t="e">
        <f>INGREDIENTS!#REF!*E180</f>
        <v>#REF!</v>
      </c>
      <c r="I180" s="106" t="s">
        <v>1497</v>
      </c>
      <c r="J180" s="106">
        <v>2.1000000000000001E-2</v>
      </c>
      <c r="K180" s="106" t="s">
        <v>183</v>
      </c>
      <c r="L180" s="107" t="e">
        <f>INGREDIENTS!#REF!*J180</f>
        <v>#REF!</v>
      </c>
    </row>
    <row r="181" spans="2:12" x14ac:dyDescent="0.15">
      <c r="B181" s="143" t="s">
        <v>1554</v>
      </c>
      <c r="C181" s="143"/>
      <c r="D181" s="143"/>
      <c r="E181" s="106"/>
      <c r="F181" s="106"/>
      <c r="G181" s="107"/>
      <c r="I181" s="196" t="s">
        <v>1681</v>
      </c>
      <c r="J181" s="196"/>
      <c r="K181" s="196"/>
      <c r="L181" s="107"/>
    </row>
    <row r="182" spans="2:12" x14ac:dyDescent="0.15">
      <c r="B182" s="106" t="s">
        <v>1566</v>
      </c>
      <c r="C182" s="106"/>
      <c r="D182" s="106"/>
      <c r="E182" s="106">
        <v>0.13</v>
      </c>
      <c r="F182" s="106" t="s">
        <v>183</v>
      </c>
      <c r="G182" s="107">
        <f>INGREDIENTS!$D$227*E182</f>
        <v>4.6669999999999998</v>
      </c>
      <c r="I182" s="106" t="s">
        <v>1566</v>
      </c>
      <c r="J182" s="106">
        <v>0.13</v>
      </c>
      <c r="K182" s="106" t="s">
        <v>183</v>
      </c>
      <c r="L182" s="107">
        <f>INGREDIENTS!$D$227*J182</f>
        <v>4.6669999999999998</v>
      </c>
    </row>
    <row r="183" spans="2:12" x14ac:dyDescent="0.15">
      <c r="B183" s="106" t="s">
        <v>1564</v>
      </c>
      <c r="C183" s="106"/>
      <c r="D183" s="106"/>
      <c r="E183" s="106">
        <v>0.13</v>
      </c>
      <c r="F183" s="106" t="s">
        <v>183</v>
      </c>
      <c r="G183" s="107">
        <f>INGREDIENTS!$D$235*E183</f>
        <v>2.9250000000000003</v>
      </c>
      <c r="I183" s="108" t="s">
        <v>1683</v>
      </c>
      <c r="J183" s="106">
        <v>0.13</v>
      </c>
      <c r="K183" s="106" t="s">
        <v>183</v>
      </c>
      <c r="L183" s="107">
        <f>INGREDIENTS!$D$235*J183</f>
        <v>2.9250000000000003</v>
      </c>
    </row>
    <row r="184" spans="2:12" x14ac:dyDescent="0.15">
      <c r="B184" s="106"/>
      <c r="C184" s="106"/>
      <c r="D184" s="106"/>
      <c r="E184" s="106"/>
      <c r="F184" s="106"/>
      <c r="G184" s="107"/>
      <c r="I184" s="197" t="s">
        <v>1684</v>
      </c>
      <c r="J184" s="197"/>
      <c r="K184" s="197"/>
      <c r="L184" s="107"/>
    </row>
    <row r="185" spans="2:12" x14ac:dyDescent="0.15">
      <c r="B185" s="106"/>
      <c r="C185" s="106"/>
      <c r="D185" s="106"/>
      <c r="E185" s="106"/>
      <c r="F185" s="106"/>
      <c r="G185" s="107"/>
      <c r="I185" s="196" t="s">
        <v>1685</v>
      </c>
      <c r="J185" s="196"/>
      <c r="K185" s="196"/>
      <c r="L185" s="107"/>
    </row>
    <row r="186" spans="2:12" x14ac:dyDescent="0.15">
      <c r="B186" s="106"/>
      <c r="C186" s="106"/>
      <c r="D186" s="106"/>
      <c r="E186" s="106"/>
      <c r="F186" s="106"/>
      <c r="G186" s="107"/>
      <c r="I186" s="196" t="s">
        <v>1686</v>
      </c>
      <c r="J186" s="196"/>
      <c r="K186" s="196"/>
      <c r="L186" s="107"/>
    </row>
    <row r="187" spans="2:12" x14ac:dyDescent="0.15">
      <c r="B187" s="106"/>
      <c r="C187" s="106"/>
      <c r="D187" s="106"/>
      <c r="E187" s="106"/>
      <c r="F187" s="106"/>
      <c r="G187" s="107"/>
      <c r="I187" s="196" t="s">
        <v>1687</v>
      </c>
      <c r="J187" s="196"/>
      <c r="K187" s="196"/>
      <c r="L187" s="107"/>
    </row>
    <row r="188" spans="2:12" x14ac:dyDescent="0.15">
      <c r="F188" s="136" t="s">
        <v>1490</v>
      </c>
      <c r="G188" s="114" t="e">
        <f>SUM(G168:G183)</f>
        <v>#REF!</v>
      </c>
      <c r="K188" s="136" t="s">
        <v>1490</v>
      </c>
      <c r="L188" s="114" t="e">
        <f>SUM(L168:L183)</f>
        <v>#REF!</v>
      </c>
    </row>
    <row r="189" spans="2:12" x14ac:dyDescent="0.15">
      <c r="B189" s="145" t="s">
        <v>1493</v>
      </c>
      <c r="C189" s="145"/>
      <c r="D189" s="145"/>
      <c r="E189" s="146" t="s">
        <v>1494</v>
      </c>
      <c r="F189" s="147" t="s">
        <v>1496</v>
      </c>
      <c r="G189" s="142" t="s">
        <v>1495</v>
      </c>
      <c r="I189" s="145" t="s">
        <v>1493</v>
      </c>
      <c r="J189" s="146" t="s">
        <v>1494</v>
      </c>
      <c r="K189" s="147" t="s">
        <v>1496</v>
      </c>
      <c r="L189" s="142" t="s">
        <v>1495</v>
      </c>
    </row>
    <row r="190" spans="2:12" x14ac:dyDescent="0.15">
      <c r="B190" s="148">
        <v>16</v>
      </c>
      <c r="C190" s="148"/>
      <c r="D190" s="148"/>
      <c r="E190" s="114">
        <v>12</v>
      </c>
      <c r="F190" s="132" t="e">
        <f>G$156/G190</f>
        <v>#REF!</v>
      </c>
      <c r="G190" s="149" t="e">
        <f>(B190*E190)-G$156</f>
        <v>#REF!</v>
      </c>
      <c r="I190" s="148">
        <v>16</v>
      </c>
      <c r="J190" s="114">
        <v>12</v>
      </c>
      <c r="K190" s="132">
        <f>L$156/L190</f>
        <v>0</v>
      </c>
      <c r="L190" s="149">
        <f>(I190*J190)-L$156</f>
        <v>192</v>
      </c>
    </row>
    <row r="194" spans="2:7" x14ac:dyDescent="0.15">
      <c r="B194" s="184" t="s">
        <v>1568</v>
      </c>
      <c r="C194" s="184"/>
      <c r="D194" s="184"/>
      <c r="E194" s="184"/>
      <c r="F194" s="184"/>
      <c r="G194" s="184"/>
    </row>
    <row r="195" spans="2:7" x14ac:dyDescent="0.15">
      <c r="B195" s="184"/>
      <c r="C195" s="184"/>
      <c r="D195" s="184"/>
      <c r="E195" s="184"/>
      <c r="F195" s="184"/>
      <c r="G195" s="184"/>
    </row>
    <row r="196" spans="2:7" ht="20" x14ac:dyDescent="0.2">
      <c r="B196" s="199" t="s">
        <v>1570</v>
      </c>
      <c r="C196" s="199"/>
      <c r="D196" s="199"/>
      <c r="E196" s="199"/>
      <c r="F196" s="199"/>
      <c r="G196" s="199"/>
    </row>
    <row r="197" spans="2:7" x14ac:dyDescent="0.15">
      <c r="B197" s="191"/>
      <c r="C197" s="191"/>
      <c r="D197" s="191"/>
      <c r="E197" s="191"/>
      <c r="F197" s="191"/>
      <c r="G197" s="191"/>
    </row>
    <row r="198" spans="2:7" ht="16" x14ac:dyDescent="0.2">
      <c r="B198" s="119" t="s">
        <v>1122</v>
      </c>
      <c r="C198" s="119"/>
      <c r="D198" s="119"/>
      <c r="E198" s="119" t="s">
        <v>1123</v>
      </c>
      <c r="F198" s="119" t="s">
        <v>1124</v>
      </c>
      <c r="G198" s="134" t="s">
        <v>1489</v>
      </c>
    </row>
    <row r="199" spans="2:7" x14ac:dyDescent="0.15">
      <c r="B199" s="143" t="s">
        <v>1543</v>
      </c>
      <c r="C199" s="143"/>
      <c r="D199" s="143"/>
      <c r="E199" s="106"/>
      <c r="F199" s="106"/>
      <c r="G199" s="107"/>
    </row>
    <row r="200" spans="2:7" x14ac:dyDescent="0.15">
      <c r="B200" s="106" t="s">
        <v>1483</v>
      </c>
      <c r="C200" s="106"/>
      <c r="D200" s="106"/>
      <c r="E200" s="106">
        <v>0.2</v>
      </c>
      <c r="F200" s="106" t="s">
        <v>183</v>
      </c>
      <c r="G200" s="107">
        <f>INGREDIENTS!$D$230*E200</f>
        <v>10.36</v>
      </c>
    </row>
    <row r="201" spans="2:7" x14ac:dyDescent="0.15">
      <c r="B201" s="106" t="s">
        <v>1511</v>
      </c>
      <c r="C201" s="106"/>
      <c r="D201" s="106"/>
      <c r="E201" s="106">
        <v>0.23</v>
      </c>
      <c r="F201" s="106" t="s">
        <v>1537</v>
      </c>
      <c r="G201" s="107" t="e">
        <f>INGREDIENTS!#REF!*E201</f>
        <v>#REF!</v>
      </c>
    </row>
    <row r="202" spans="2:7" x14ac:dyDescent="0.15">
      <c r="B202" s="106" t="s">
        <v>1478</v>
      </c>
      <c r="C202" s="106"/>
      <c r="D202" s="106"/>
      <c r="E202" s="106">
        <v>0.44999999999999996</v>
      </c>
      <c r="F202" s="106" t="s">
        <v>183</v>
      </c>
      <c r="G202" s="107">
        <f>INGREDIENTS!$D$223*E202</f>
        <v>2.6549999999999998</v>
      </c>
    </row>
    <row r="203" spans="2:7" x14ac:dyDescent="0.15">
      <c r="B203" s="106" t="s">
        <v>1522</v>
      </c>
      <c r="C203" s="106"/>
      <c r="D203" s="106"/>
      <c r="E203" s="106">
        <v>0.44999999999999996</v>
      </c>
      <c r="F203" s="106" t="s">
        <v>183</v>
      </c>
      <c r="G203" s="107">
        <f>INGREDIENTS!$D$223*E203</f>
        <v>2.6549999999999998</v>
      </c>
    </row>
    <row r="204" spans="2:7" x14ac:dyDescent="0.15">
      <c r="B204" s="143" t="s">
        <v>1544</v>
      </c>
      <c r="C204" s="143"/>
      <c r="D204" s="143"/>
      <c r="E204" s="106"/>
      <c r="F204" s="106"/>
      <c r="G204" s="107"/>
    </row>
    <row r="205" spans="2:7" x14ac:dyDescent="0.15">
      <c r="B205" s="106" t="s">
        <v>1484</v>
      </c>
      <c r="C205" s="106"/>
      <c r="D205" s="106"/>
      <c r="E205" s="106">
        <v>6</v>
      </c>
      <c r="F205" s="106" t="s">
        <v>1486</v>
      </c>
      <c r="G205" s="107" t="e">
        <f>INGREDIENTS!#REF!*E205</f>
        <v>#REF!</v>
      </c>
    </row>
    <row r="206" spans="2:7" x14ac:dyDescent="0.15">
      <c r="B206" s="106" t="s">
        <v>1512</v>
      </c>
      <c r="C206" s="106"/>
      <c r="D206" s="106"/>
      <c r="E206" s="106">
        <v>3</v>
      </c>
      <c r="F206" s="106" t="s">
        <v>1486</v>
      </c>
      <c r="G206" s="107" t="e">
        <f>INGREDIENTS!#REF!*E206</f>
        <v>#REF!</v>
      </c>
    </row>
    <row r="207" spans="2:7" x14ac:dyDescent="0.15">
      <c r="B207" s="143" t="s">
        <v>1553</v>
      </c>
      <c r="C207" s="143"/>
      <c r="D207" s="143"/>
      <c r="E207" s="106"/>
      <c r="F207" s="106"/>
      <c r="G207" s="107"/>
    </row>
    <row r="208" spans="2:7" x14ac:dyDescent="0.15">
      <c r="B208" s="106" t="s">
        <v>1479</v>
      </c>
      <c r="C208" s="106"/>
      <c r="D208" s="106"/>
      <c r="E208" s="106">
        <v>0.15000000000000002</v>
      </c>
      <c r="F208" s="106" t="s">
        <v>183</v>
      </c>
      <c r="G208" s="107">
        <f>INGREDIENTS!$D$225*E208</f>
        <v>5.4750000000000005</v>
      </c>
    </row>
    <row r="209" spans="2:12" x14ac:dyDescent="0.15">
      <c r="B209" s="106" t="s">
        <v>1517</v>
      </c>
      <c r="C209" s="106"/>
      <c r="D209" s="106"/>
      <c r="E209" s="106">
        <v>0.25</v>
      </c>
      <c r="F209" s="106" t="s">
        <v>183</v>
      </c>
      <c r="G209" s="107" t="e">
        <f>INGREDIENTS!#REF!*E209</f>
        <v>#REF!</v>
      </c>
    </row>
    <row r="210" spans="2:12" x14ac:dyDescent="0.15">
      <c r="B210" s="106" t="s">
        <v>1497</v>
      </c>
      <c r="C210" s="106"/>
      <c r="D210" s="106"/>
      <c r="E210" s="106">
        <v>2.1000000000000001E-2</v>
      </c>
      <c r="F210" s="106" t="s">
        <v>183</v>
      </c>
      <c r="G210" s="107" t="e">
        <f>INGREDIENTS!#REF!*E210</f>
        <v>#REF!</v>
      </c>
    </row>
    <row r="211" spans="2:12" x14ac:dyDescent="0.15">
      <c r="B211" s="143" t="s">
        <v>1554</v>
      </c>
      <c r="C211" s="143"/>
      <c r="D211" s="143"/>
      <c r="E211" s="106"/>
      <c r="F211" s="106"/>
      <c r="G211" s="107"/>
    </row>
    <row r="212" spans="2:12" x14ac:dyDescent="0.15">
      <c r="B212" s="106" t="s">
        <v>1513</v>
      </c>
      <c r="C212" s="106"/>
      <c r="D212" s="106"/>
      <c r="E212" s="106">
        <v>3.0000000000000001E-3</v>
      </c>
      <c r="F212" s="106" t="s">
        <v>183</v>
      </c>
      <c r="G212" s="107"/>
    </row>
    <row r="213" spans="2:12" x14ac:dyDescent="0.15">
      <c r="B213" s="106" t="s">
        <v>1514</v>
      </c>
      <c r="C213" s="106"/>
      <c r="D213" s="106"/>
      <c r="E213" s="106">
        <v>3</v>
      </c>
      <c r="F213" s="106" t="s">
        <v>1486</v>
      </c>
      <c r="G213" s="107">
        <f>'HOT Drinks '!$R$8</f>
        <v>0.66463009803921558</v>
      </c>
    </row>
    <row r="214" spans="2:12" x14ac:dyDescent="0.15">
      <c r="B214" s="106" t="s">
        <v>1562</v>
      </c>
      <c r="C214" s="106"/>
      <c r="D214" s="106"/>
      <c r="E214" s="106">
        <v>0.14000000000000001</v>
      </c>
      <c r="F214" s="106" t="s">
        <v>183</v>
      </c>
      <c r="G214" s="107">
        <f>INGREDIENTS!$D$236*E214</f>
        <v>3.4860000000000002</v>
      </c>
    </row>
    <row r="215" spans="2:12" x14ac:dyDescent="0.15">
      <c r="B215" s="106" t="s">
        <v>1492</v>
      </c>
      <c r="C215" s="106"/>
      <c r="D215" s="106"/>
      <c r="E215" s="106">
        <v>0.11</v>
      </c>
      <c r="F215" s="106" t="s">
        <v>183</v>
      </c>
      <c r="G215" s="107">
        <f>INGREDIENTS!$D$229*E215</f>
        <v>2.7389999999999999</v>
      </c>
    </row>
    <row r="216" spans="2:12" x14ac:dyDescent="0.15">
      <c r="B216" s="106" t="s">
        <v>1571</v>
      </c>
      <c r="C216" s="106"/>
      <c r="D216" s="106"/>
      <c r="E216" s="106">
        <v>0.01</v>
      </c>
      <c r="F216" s="106" t="s">
        <v>183</v>
      </c>
      <c r="G216" s="107">
        <f>INGREDIENTS!$D$254*E216</f>
        <v>1.5933333333333335</v>
      </c>
    </row>
    <row r="217" spans="2:12" x14ac:dyDescent="0.15">
      <c r="F217" s="136" t="s">
        <v>1490</v>
      </c>
      <c r="G217" s="114" t="e">
        <f>SUM(G199:G216)</f>
        <v>#REF!</v>
      </c>
    </row>
    <row r="218" spans="2:12" x14ac:dyDescent="0.15">
      <c r="B218" s="145" t="s">
        <v>1493</v>
      </c>
      <c r="C218" s="145"/>
      <c r="D218" s="145"/>
      <c r="E218" s="146" t="s">
        <v>1494</v>
      </c>
      <c r="F218" s="147" t="s">
        <v>1496</v>
      </c>
      <c r="G218" s="142" t="s">
        <v>1495</v>
      </c>
    </row>
    <row r="219" spans="2:12" x14ac:dyDescent="0.15">
      <c r="B219" s="148">
        <v>32</v>
      </c>
      <c r="C219" s="148"/>
      <c r="D219" s="148"/>
      <c r="E219" s="114">
        <v>6</v>
      </c>
      <c r="F219" s="132" t="e">
        <f>G$217/G219</f>
        <v>#REF!</v>
      </c>
      <c r="G219" s="149" t="e">
        <f>(B219*E219)-G$217</f>
        <v>#REF!</v>
      </c>
    </row>
    <row r="220" spans="2:12" x14ac:dyDescent="0.15">
      <c r="B220" s="148">
        <v>32</v>
      </c>
      <c r="C220" s="148"/>
      <c r="D220" s="148"/>
      <c r="E220" s="114">
        <v>5</v>
      </c>
      <c r="F220" s="132" t="e">
        <f>G$217/G220</f>
        <v>#REF!</v>
      </c>
      <c r="G220" s="149" t="e">
        <f>(B220*E220)-G$217</f>
        <v>#REF!</v>
      </c>
    </row>
    <row r="223" spans="2:12" x14ac:dyDescent="0.15">
      <c r="B223" s="198" t="s">
        <v>1677</v>
      </c>
      <c r="C223" s="198"/>
      <c r="D223" s="198"/>
      <c r="E223" s="198"/>
      <c r="F223" s="198"/>
      <c r="G223" s="198"/>
      <c r="I223" s="198" t="s">
        <v>1665</v>
      </c>
      <c r="J223" s="198"/>
      <c r="K223" s="198"/>
      <c r="L223" s="154"/>
    </row>
    <row r="224" spans="2:12" x14ac:dyDescent="0.15">
      <c r="B224" s="198"/>
      <c r="C224" s="198"/>
      <c r="D224" s="198"/>
      <c r="E224" s="198"/>
      <c r="F224" s="198"/>
      <c r="G224" s="198"/>
      <c r="I224" s="198"/>
      <c r="J224" s="198"/>
      <c r="K224" s="198"/>
      <c r="L224" s="154"/>
    </row>
    <row r="225" spans="2:12" ht="20" x14ac:dyDescent="0.2">
      <c r="B225" s="199" t="s">
        <v>1676</v>
      </c>
      <c r="C225" s="199"/>
      <c r="D225" s="199"/>
      <c r="E225" s="199"/>
      <c r="F225" s="199"/>
      <c r="G225" s="199"/>
      <c r="I225" s="199" t="s">
        <v>1676</v>
      </c>
      <c r="J225" s="199"/>
      <c r="K225" s="199"/>
      <c r="L225" s="155"/>
    </row>
    <row r="226" spans="2:12" x14ac:dyDescent="0.15">
      <c r="B226" s="191"/>
      <c r="C226" s="191"/>
      <c r="D226" s="191"/>
      <c r="E226" s="191"/>
      <c r="F226" s="191"/>
      <c r="G226" s="191"/>
      <c r="I226" s="191"/>
      <c r="J226" s="191"/>
      <c r="K226" s="191"/>
      <c r="L226" s="191"/>
    </row>
    <row r="227" spans="2:12" ht="16" x14ac:dyDescent="0.2">
      <c r="B227" s="119" t="s">
        <v>1122</v>
      </c>
      <c r="C227" s="119"/>
      <c r="D227" s="119"/>
      <c r="E227" s="119" t="s">
        <v>1123</v>
      </c>
      <c r="F227" s="119" t="s">
        <v>1124</v>
      </c>
      <c r="G227" s="134" t="s">
        <v>1489</v>
      </c>
      <c r="I227" s="119" t="s">
        <v>1122</v>
      </c>
      <c r="J227" s="119" t="s">
        <v>1123</v>
      </c>
      <c r="K227" s="119" t="s">
        <v>1124</v>
      </c>
      <c r="L227" s="134" t="s">
        <v>1489</v>
      </c>
    </row>
    <row r="228" spans="2:12" x14ac:dyDescent="0.15">
      <c r="B228" s="143" t="s">
        <v>1543</v>
      </c>
      <c r="C228" s="143"/>
      <c r="D228" s="143"/>
      <c r="E228" s="106"/>
      <c r="F228" s="106"/>
      <c r="G228" s="107"/>
      <c r="I228" s="196" t="s">
        <v>1691</v>
      </c>
      <c r="J228" s="196"/>
      <c r="K228" s="196"/>
      <c r="L228" s="107"/>
    </row>
    <row r="229" spans="2:12" x14ac:dyDescent="0.15">
      <c r="B229" s="106" t="s">
        <v>1483</v>
      </c>
      <c r="C229" s="106"/>
      <c r="D229" s="106"/>
      <c r="E229" s="106">
        <v>0.2</v>
      </c>
      <c r="F229" s="106" t="s">
        <v>183</v>
      </c>
      <c r="G229" s="107">
        <f>INGREDIENTS!$D$230*E229</f>
        <v>10.36</v>
      </c>
      <c r="I229" s="106" t="s">
        <v>1483</v>
      </c>
      <c r="J229" s="106">
        <v>200</v>
      </c>
      <c r="K229" s="106" t="s">
        <v>183</v>
      </c>
      <c r="L229" s="107"/>
    </row>
    <row r="230" spans="2:12" x14ac:dyDescent="0.15">
      <c r="B230" s="106" t="s">
        <v>1511</v>
      </c>
      <c r="C230" s="106"/>
      <c r="D230" s="106"/>
      <c r="E230" s="106">
        <v>0.23</v>
      </c>
      <c r="F230" s="106" t="s">
        <v>1537</v>
      </c>
      <c r="G230" s="107" t="e">
        <f>INGREDIENTS!#REF!*E230</f>
        <v>#REF!</v>
      </c>
      <c r="I230" s="106" t="s">
        <v>1511</v>
      </c>
      <c r="J230" s="106">
        <v>230</v>
      </c>
      <c r="K230" s="106" t="s">
        <v>1537</v>
      </c>
      <c r="L230" s="107"/>
    </row>
    <row r="231" spans="2:12" x14ac:dyDescent="0.15">
      <c r="B231" s="106" t="s">
        <v>1478</v>
      </c>
      <c r="C231" s="106"/>
      <c r="D231" s="106"/>
      <c r="E231" s="106">
        <v>0.44999999999999996</v>
      </c>
      <c r="F231" s="106" t="s">
        <v>183</v>
      </c>
      <c r="G231" s="107">
        <f>INGREDIENTS!$D$223*E231</f>
        <v>2.6549999999999998</v>
      </c>
      <c r="I231" s="106" t="s">
        <v>1478</v>
      </c>
      <c r="J231" s="106">
        <v>450</v>
      </c>
      <c r="K231" s="106" t="s">
        <v>183</v>
      </c>
      <c r="L231" s="107"/>
    </row>
    <row r="232" spans="2:12" x14ac:dyDescent="0.15">
      <c r="B232" s="106" t="s">
        <v>1522</v>
      </c>
      <c r="C232" s="106"/>
      <c r="D232" s="106"/>
      <c r="E232" s="106">
        <v>0.44999999999999996</v>
      </c>
      <c r="F232" s="106" t="s">
        <v>183</v>
      </c>
      <c r="G232" s="107">
        <f>INGREDIENTS!$D$223*E232</f>
        <v>2.6549999999999998</v>
      </c>
      <c r="I232" s="106" t="s">
        <v>1522</v>
      </c>
      <c r="J232" s="106">
        <v>450</v>
      </c>
      <c r="K232" s="106" t="s">
        <v>183</v>
      </c>
      <c r="L232" s="107"/>
    </row>
    <row r="233" spans="2:12" x14ac:dyDescent="0.15">
      <c r="B233" s="106" t="s">
        <v>1514</v>
      </c>
      <c r="C233" s="106"/>
      <c r="D233" s="106"/>
      <c r="E233" s="106">
        <v>2</v>
      </c>
      <c r="F233" s="106" t="s">
        <v>1486</v>
      </c>
      <c r="G233" s="107">
        <f>'HOT Drinks '!$R$8</f>
        <v>0.66463009803921558</v>
      </c>
      <c r="I233" s="106" t="s">
        <v>1514</v>
      </c>
      <c r="J233" s="106">
        <v>2</v>
      </c>
      <c r="K233" s="106" t="s">
        <v>1486</v>
      </c>
      <c r="L233" s="107"/>
    </row>
    <row r="234" spans="2:12" x14ac:dyDescent="0.15">
      <c r="B234" s="106" t="s">
        <v>1513</v>
      </c>
      <c r="C234" s="106"/>
      <c r="D234" s="106"/>
      <c r="E234" s="106">
        <v>3.0000000000000001E-3</v>
      </c>
      <c r="F234" s="106" t="s">
        <v>183</v>
      </c>
      <c r="G234" s="107"/>
      <c r="I234" s="106" t="s">
        <v>1513</v>
      </c>
      <c r="J234" s="108" t="s">
        <v>1668</v>
      </c>
      <c r="K234" s="106" t="s">
        <v>183</v>
      </c>
      <c r="L234" s="107"/>
    </row>
    <row r="235" spans="2:12" x14ac:dyDescent="0.15">
      <c r="B235" s="143" t="s">
        <v>1544</v>
      </c>
      <c r="C235" s="143"/>
      <c r="D235" s="143"/>
      <c r="E235" s="106"/>
      <c r="F235" s="106"/>
      <c r="G235" s="107"/>
      <c r="I235" s="196" t="s">
        <v>1688</v>
      </c>
      <c r="J235" s="196"/>
      <c r="K235" s="196"/>
      <c r="L235" s="107"/>
    </row>
    <row r="236" spans="2:12" x14ac:dyDescent="0.15">
      <c r="B236" s="106" t="s">
        <v>1484</v>
      </c>
      <c r="C236" s="106"/>
      <c r="D236" s="106"/>
      <c r="E236" s="106">
        <v>6</v>
      </c>
      <c r="F236" s="106" t="s">
        <v>1486</v>
      </c>
      <c r="G236" s="107" t="e">
        <f>INGREDIENTS!#REF!*E236</f>
        <v>#REF!</v>
      </c>
      <c r="I236" s="106" t="s">
        <v>1484</v>
      </c>
      <c r="J236" s="106">
        <v>6</v>
      </c>
      <c r="K236" s="106" t="s">
        <v>1486</v>
      </c>
      <c r="L236" s="107"/>
    </row>
    <row r="237" spans="2:12" x14ac:dyDescent="0.15">
      <c r="B237" s="106" t="s">
        <v>1512</v>
      </c>
      <c r="C237" s="106"/>
      <c r="D237" s="106"/>
      <c r="E237" s="106">
        <v>3</v>
      </c>
      <c r="F237" s="106" t="s">
        <v>1486</v>
      </c>
      <c r="G237" s="107" t="e">
        <f>INGREDIENTS!#REF!*E237</f>
        <v>#REF!</v>
      </c>
      <c r="I237" s="106" t="s">
        <v>1512</v>
      </c>
      <c r="J237" s="106">
        <v>3</v>
      </c>
      <c r="K237" s="106" t="s">
        <v>1486</v>
      </c>
      <c r="L237" s="107"/>
    </row>
    <row r="238" spans="2:12" x14ac:dyDescent="0.15">
      <c r="B238" s="143" t="s">
        <v>1553</v>
      </c>
      <c r="C238" s="143"/>
      <c r="D238" s="143"/>
      <c r="E238" s="106"/>
      <c r="F238" s="106"/>
      <c r="G238" s="107"/>
      <c r="I238" s="196" t="s">
        <v>1689</v>
      </c>
      <c r="J238" s="196"/>
      <c r="K238" s="196"/>
      <c r="L238" s="107"/>
    </row>
    <row r="239" spans="2:12" x14ac:dyDescent="0.15">
      <c r="B239" s="106" t="s">
        <v>1479</v>
      </c>
      <c r="C239" s="106"/>
      <c r="D239" s="106"/>
      <c r="E239" s="106">
        <v>0.15000000000000002</v>
      </c>
      <c r="F239" s="106" t="s">
        <v>183</v>
      </c>
      <c r="G239" s="107">
        <f>INGREDIENTS!$D$225*E239</f>
        <v>5.4750000000000005</v>
      </c>
      <c r="I239" s="106" t="s">
        <v>1479</v>
      </c>
      <c r="J239" s="106">
        <v>150</v>
      </c>
      <c r="K239" s="106" t="s">
        <v>183</v>
      </c>
      <c r="L239" s="107"/>
    </row>
    <row r="240" spans="2:12" x14ac:dyDescent="0.15">
      <c r="B240" s="106" t="s">
        <v>1517</v>
      </c>
      <c r="C240" s="106"/>
      <c r="D240" s="106"/>
      <c r="E240" s="106">
        <v>0.28000000000000003</v>
      </c>
      <c r="F240" s="106" t="s">
        <v>183</v>
      </c>
      <c r="G240" s="107" t="e">
        <f>INGREDIENTS!#REF!*E240</f>
        <v>#REF!</v>
      </c>
      <c r="I240" s="106" t="s">
        <v>1517</v>
      </c>
      <c r="J240" s="106">
        <v>280</v>
      </c>
      <c r="K240" s="106" t="s">
        <v>183</v>
      </c>
      <c r="L240" s="107"/>
    </row>
    <row r="241" spans="2:12" x14ac:dyDescent="0.15">
      <c r="B241" s="106" t="s">
        <v>1497</v>
      </c>
      <c r="C241" s="106"/>
      <c r="D241" s="106"/>
      <c r="E241" s="106">
        <v>2.1000000000000001E-2</v>
      </c>
      <c r="F241" s="106" t="s">
        <v>183</v>
      </c>
      <c r="G241" s="107" t="e">
        <f>INGREDIENTS!#REF!*E241</f>
        <v>#REF!</v>
      </c>
      <c r="I241" s="106" t="s">
        <v>1497</v>
      </c>
      <c r="J241" s="106">
        <v>21</v>
      </c>
      <c r="K241" s="106" t="s">
        <v>183</v>
      </c>
      <c r="L241" s="107"/>
    </row>
    <row r="242" spans="2:12" x14ac:dyDescent="0.15">
      <c r="B242" s="143" t="s">
        <v>1554</v>
      </c>
      <c r="C242" s="143"/>
      <c r="D242" s="143"/>
      <c r="E242" s="106"/>
      <c r="F242" s="106"/>
      <c r="G242" s="107"/>
      <c r="I242" s="196" t="s">
        <v>1692</v>
      </c>
      <c r="J242" s="196"/>
      <c r="K242" s="196"/>
      <c r="L242" s="107"/>
    </row>
    <row r="243" spans="2:12" x14ac:dyDescent="0.15">
      <c r="B243" s="106" t="s">
        <v>1566</v>
      </c>
      <c r="C243" s="106"/>
      <c r="D243" s="106"/>
      <c r="E243" s="106">
        <v>0.13</v>
      </c>
      <c r="F243" s="106" t="s">
        <v>183</v>
      </c>
      <c r="G243" s="107">
        <f>INGREDIENTS!$D$236*E243</f>
        <v>3.2370000000000001</v>
      </c>
      <c r="I243" s="106" t="s">
        <v>1566</v>
      </c>
      <c r="J243" s="106">
        <v>130</v>
      </c>
      <c r="K243" s="106" t="s">
        <v>183</v>
      </c>
      <c r="L243" s="107"/>
    </row>
    <row r="244" spans="2:12" x14ac:dyDescent="0.15">
      <c r="B244" s="106" t="s">
        <v>1564</v>
      </c>
      <c r="C244" s="106"/>
      <c r="D244" s="106"/>
      <c r="E244" s="106">
        <v>0.13</v>
      </c>
      <c r="F244" s="106" t="s">
        <v>183</v>
      </c>
      <c r="G244" s="107">
        <f>INGREDIENTS!$D$229*E244</f>
        <v>3.2370000000000001</v>
      </c>
      <c r="I244" s="106" t="s">
        <v>1564</v>
      </c>
      <c r="J244" s="106">
        <v>130</v>
      </c>
      <c r="K244" s="106" t="s">
        <v>183</v>
      </c>
      <c r="L244" s="107"/>
    </row>
    <row r="245" spans="2:12" x14ac:dyDescent="0.15">
      <c r="B245" s="106"/>
      <c r="C245" s="106"/>
      <c r="D245" s="106"/>
      <c r="E245" s="106"/>
      <c r="F245" s="106"/>
      <c r="G245" s="107"/>
      <c r="I245" s="196" t="s">
        <v>1690</v>
      </c>
      <c r="J245" s="196"/>
      <c r="K245" s="196"/>
      <c r="L245" s="107"/>
    </row>
    <row r="246" spans="2:12" x14ac:dyDescent="0.15">
      <c r="B246" s="106"/>
      <c r="C246" s="106"/>
      <c r="D246" s="106"/>
      <c r="E246" s="106"/>
      <c r="F246" s="106"/>
      <c r="G246" s="107"/>
      <c r="I246" s="196" t="s">
        <v>1693</v>
      </c>
      <c r="J246" s="196"/>
      <c r="K246" s="196"/>
      <c r="L246" s="107"/>
    </row>
    <row r="247" spans="2:12" x14ac:dyDescent="0.15">
      <c r="B247" s="106"/>
      <c r="C247" s="106"/>
      <c r="D247" s="106"/>
      <c r="E247" s="106"/>
      <c r="F247" s="106"/>
      <c r="G247" s="107"/>
      <c r="I247" s="197" t="s">
        <v>1700</v>
      </c>
      <c r="J247" s="197"/>
      <c r="K247" s="197"/>
      <c r="L247" s="107"/>
    </row>
    <row r="248" spans="2:12" x14ac:dyDescent="0.15">
      <c r="B248" s="106"/>
      <c r="C248" s="106"/>
      <c r="D248" s="106"/>
      <c r="E248" s="106"/>
      <c r="F248" s="106"/>
      <c r="G248" s="107"/>
      <c r="I248" s="196" t="s">
        <v>1694</v>
      </c>
      <c r="J248" s="196"/>
      <c r="K248" s="196"/>
      <c r="L248" s="107"/>
    </row>
    <row r="249" spans="2:12" x14ac:dyDescent="0.15">
      <c r="B249" s="106"/>
      <c r="C249" s="106"/>
      <c r="D249" s="106"/>
      <c r="E249" s="106"/>
      <c r="F249" s="106"/>
      <c r="G249" s="107"/>
      <c r="I249" s="196" t="s">
        <v>1695</v>
      </c>
      <c r="J249" s="196"/>
      <c r="K249" s="196"/>
      <c r="L249" s="107"/>
    </row>
    <row r="250" spans="2:12" x14ac:dyDescent="0.15">
      <c r="B250" s="106"/>
      <c r="C250" s="106"/>
      <c r="D250" s="106"/>
      <c r="E250" s="106"/>
      <c r="F250" s="106"/>
      <c r="G250" s="107"/>
      <c r="I250" s="196" t="s">
        <v>1696</v>
      </c>
      <c r="J250" s="196"/>
      <c r="K250" s="196"/>
      <c r="L250" s="107"/>
    </row>
    <row r="251" spans="2:12" x14ac:dyDescent="0.15">
      <c r="F251" s="136" t="s">
        <v>1490</v>
      </c>
      <c r="G251" s="114" t="e">
        <f>SUM(G228:G250)</f>
        <v>#REF!</v>
      </c>
      <c r="I251" s="136" t="s">
        <v>1670</v>
      </c>
      <c r="J251" s="136" t="s">
        <v>1675</v>
      </c>
      <c r="K251" s="136"/>
      <c r="L251" s="114"/>
    </row>
    <row r="252" spans="2:12" x14ac:dyDescent="0.15">
      <c r="B252" s="139" t="s">
        <v>1719</v>
      </c>
      <c r="C252" s="145"/>
      <c r="D252" s="145" t="s">
        <v>1493</v>
      </c>
      <c r="E252" s="146" t="s">
        <v>1494</v>
      </c>
      <c r="F252" s="147" t="s">
        <v>1496</v>
      </c>
      <c r="G252" s="142" t="s">
        <v>1495</v>
      </c>
      <c r="I252" s="136" t="s">
        <v>1672</v>
      </c>
      <c r="J252" s="149">
        <v>10.9</v>
      </c>
    </row>
    <row r="253" spans="2:12" x14ac:dyDescent="0.15">
      <c r="C253" s="148"/>
      <c r="D253" s="148">
        <f>4*5</f>
        <v>20</v>
      </c>
      <c r="E253" s="114">
        <v>10.9</v>
      </c>
      <c r="F253" s="132" t="e">
        <f>G$156/G253</f>
        <v>#REF!</v>
      </c>
      <c r="G253" s="149" t="e">
        <f>(D253*E253)-G$156</f>
        <v>#REF!</v>
      </c>
      <c r="I253" s="136" t="s">
        <v>1673</v>
      </c>
      <c r="J253" s="149">
        <v>9.9</v>
      </c>
    </row>
    <row r="254" spans="2:12" x14ac:dyDescent="0.15">
      <c r="C254" s="148"/>
      <c r="D254" s="148">
        <v>20</v>
      </c>
      <c r="E254" s="114">
        <v>9.9</v>
      </c>
      <c r="F254" s="132" t="e">
        <f>G$156/G254</f>
        <v>#REF!</v>
      </c>
      <c r="G254" s="149" t="e">
        <f>(D254*E254)-G$156</f>
        <v>#REF!</v>
      </c>
      <c r="I254" s="148"/>
      <c r="J254" s="114"/>
      <c r="K254" s="132"/>
      <c r="L254" s="149"/>
    </row>
    <row r="255" spans="2:12" x14ac:dyDescent="0.15">
      <c r="B255" s="139" t="s">
        <v>1720</v>
      </c>
      <c r="C255" s="145"/>
      <c r="D255" s="145" t="s">
        <v>1493</v>
      </c>
      <c r="E255" s="146" t="s">
        <v>1494</v>
      </c>
      <c r="F255" s="147" t="s">
        <v>1496</v>
      </c>
      <c r="G255" s="142" t="s">
        <v>1495</v>
      </c>
    </row>
    <row r="256" spans="2:12" x14ac:dyDescent="0.15">
      <c r="C256" s="148"/>
      <c r="D256" s="148">
        <f>4*5</f>
        <v>20</v>
      </c>
      <c r="E256" s="114">
        <v>12.5</v>
      </c>
      <c r="F256" s="132" t="e">
        <f>G$156/G256</f>
        <v>#REF!</v>
      </c>
      <c r="G256" s="149" t="e">
        <f>(D256*E256)-G$156</f>
        <v>#REF!</v>
      </c>
    </row>
    <row r="257" spans="2:12" x14ac:dyDescent="0.15">
      <c r="C257" s="148"/>
      <c r="D257" s="148">
        <v>20</v>
      </c>
      <c r="E257" s="114">
        <v>11.5</v>
      </c>
      <c r="F257" s="132" t="e">
        <f>G$156/G257</f>
        <v>#REF!</v>
      </c>
      <c r="G257" s="149" t="e">
        <f>(D257*E257)-G$156</f>
        <v>#REF!</v>
      </c>
    </row>
    <row r="259" spans="2:12" x14ac:dyDescent="0.15">
      <c r="B259" s="198" t="s">
        <v>1664</v>
      </c>
      <c r="C259" s="198"/>
      <c r="D259" s="198"/>
      <c r="E259" s="198"/>
      <c r="F259" s="198"/>
      <c r="G259" s="198"/>
      <c r="I259" s="198" t="s">
        <v>1665</v>
      </c>
      <c r="J259" s="198"/>
      <c r="K259" s="198"/>
      <c r="L259" s="154"/>
    </row>
    <row r="260" spans="2:12" x14ac:dyDescent="0.15">
      <c r="B260" s="198"/>
      <c r="C260" s="198"/>
      <c r="D260" s="198"/>
      <c r="E260" s="198"/>
      <c r="F260" s="198"/>
      <c r="G260" s="198"/>
      <c r="I260" s="198"/>
      <c r="J260" s="198"/>
      <c r="K260" s="198"/>
      <c r="L260" s="154"/>
    </row>
    <row r="261" spans="2:12" ht="23" x14ac:dyDescent="0.25">
      <c r="B261" s="185" t="s">
        <v>1697</v>
      </c>
      <c r="C261" s="185"/>
      <c r="D261" s="185"/>
      <c r="E261" s="185"/>
      <c r="F261" s="185"/>
      <c r="G261" s="185"/>
      <c r="I261" s="185" t="s">
        <v>1697</v>
      </c>
      <c r="J261" s="185"/>
      <c r="K261" s="185"/>
      <c r="L261" s="153"/>
    </row>
    <row r="262" spans="2:12" x14ac:dyDescent="0.15">
      <c r="B262" s="191"/>
      <c r="C262" s="191"/>
      <c r="D262" s="191"/>
      <c r="E262" s="191"/>
      <c r="F262" s="191"/>
      <c r="G262" s="191"/>
      <c r="I262" s="191"/>
      <c r="J262" s="191"/>
      <c r="K262" s="191"/>
      <c r="L262" s="191"/>
    </row>
    <row r="263" spans="2:12" ht="16" x14ac:dyDescent="0.2">
      <c r="B263" s="119" t="s">
        <v>1122</v>
      </c>
      <c r="C263" s="119"/>
      <c r="D263" s="119"/>
      <c r="E263" s="119" t="s">
        <v>1123</v>
      </c>
      <c r="F263" s="119" t="s">
        <v>1124</v>
      </c>
      <c r="G263" s="134" t="s">
        <v>1489</v>
      </c>
      <c r="I263" s="119" t="s">
        <v>1122</v>
      </c>
      <c r="J263" s="119" t="s">
        <v>1123</v>
      </c>
      <c r="K263" s="119" t="s">
        <v>1124</v>
      </c>
      <c r="L263" s="134" t="s">
        <v>1489</v>
      </c>
    </row>
    <row r="264" spans="2:12" x14ac:dyDescent="0.15">
      <c r="B264" s="143" t="s">
        <v>1543</v>
      </c>
      <c r="C264" s="143"/>
      <c r="D264" s="143"/>
      <c r="E264" s="106"/>
      <c r="F264" s="106"/>
      <c r="G264" s="107"/>
      <c r="I264" s="196" t="s">
        <v>1691</v>
      </c>
      <c r="J264" s="196"/>
      <c r="K264" s="196"/>
      <c r="L264" s="107"/>
    </row>
    <row r="265" spans="2:12" x14ac:dyDescent="0.15">
      <c r="B265" s="106" t="s">
        <v>1483</v>
      </c>
      <c r="C265" s="106"/>
      <c r="D265" s="106"/>
      <c r="E265" s="106">
        <v>0.1</v>
      </c>
      <c r="F265" s="106" t="s">
        <v>183</v>
      </c>
      <c r="G265" s="107">
        <f>INGREDIENTS!$D$230*E265</f>
        <v>5.18</v>
      </c>
      <c r="I265" s="106" t="s">
        <v>1483</v>
      </c>
      <c r="J265" s="106">
        <v>100</v>
      </c>
      <c r="K265" s="108" t="s">
        <v>1667</v>
      </c>
      <c r="L265" s="107"/>
    </row>
    <row r="266" spans="2:12" x14ac:dyDescent="0.15">
      <c r="B266" s="106" t="s">
        <v>1511</v>
      </c>
      <c r="C266" s="106"/>
      <c r="D266" s="106"/>
      <c r="E266" s="106">
        <v>0.14000000000000001</v>
      </c>
      <c r="F266" s="106" t="s">
        <v>1537</v>
      </c>
      <c r="G266" s="107" t="e">
        <f>INGREDIENTS!#REF!*E266</f>
        <v>#REF!</v>
      </c>
      <c r="I266" s="106" t="s">
        <v>1511</v>
      </c>
      <c r="J266" s="106">
        <v>140</v>
      </c>
      <c r="K266" s="108" t="s">
        <v>1666</v>
      </c>
      <c r="L266" s="107"/>
    </row>
    <row r="267" spans="2:12" x14ac:dyDescent="0.15">
      <c r="B267" s="106" t="s">
        <v>1478</v>
      </c>
      <c r="C267" s="106"/>
      <c r="D267" s="106"/>
      <c r="E267" s="106">
        <v>0.25</v>
      </c>
      <c r="F267" s="106" t="s">
        <v>183</v>
      </c>
      <c r="G267" s="107">
        <f>INGREDIENTS!$D$223*E267</f>
        <v>1.4750000000000001</v>
      </c>
      <c r="I267" s="106" t="s">
        <v>1478</v>
      </c>
      <c r="J267" s="106">
        <v>250</v>
      </c>
      <c r="K267" s="108" t="s">
        <v>1667</v>
      </c>
      <c r="L267" s="107"/>
    </row>
    <row r="268" spans="2:12" x14ac:dyDescent="0.15">
      <c r="B268" s="106" t="s">
        <v>1522</v>
      </c>
      <c r="C268" s="106"/>
      <c r="D268" s="106"/>
      <c r="E268" s="106">
        <v>0.25</v>
      </c>
      <c r="F268" s="106" t="s">
        <v>183</v>
      </c>
      <c r="G268" s="107">
        <f>INGREDIENTS!$D$223*E268</f>
        <v>1.4750000000000001</v>
      </c>
      <c r="I268" s="106" t="s">
        <v>1522</v>
      </c>
      <c r="J268" s="106">
        <v>250</v>
      </c>
      <c r="K268" s="108" t="s">
        <v>1667</v>
      </c>
      <c r="L268" s="107"/>
    </row>
    <row r="269" spans="2:12" x14ac:dyDescent="0.15">
      <c r="B269" s="106" t="s">
        <v>1513</v>
      </c>
      <c r="C269" s="106"/>
      <c r="D269" s="106"/>
      <c r="E269" s="106">
        <v>2.5000000000000001E-3</v>
      </c>
      <c r="F269" s="106" t="s">
        <v>183</v>
      </c>
      <c r="G269" s="107"/>
      <c r="I269" s="106" t="s">
        <v>1513</v>
      </c>
      <c r="J269" s="108" t="s">
        <v>1668</v>
      </c>
      <c r="K269" s="106"/>
      <c r="L269" s="107"/>
    </row>
    <row r="270" spans="2:12" x14ac:dyDescent="0.15">
      <c r="B270" s="106" t="s">
        <v>1514</v>
      </c>
      <c r="C270" s="106"/>
      <c r="D270" s="106"/>
      <c r="E270" s="106">
        <v>2</v>
      </c>
      <c r="F270" s="106" t="s">
        <v>1486</v>
      </c>
      <c r="G270" s="107">
        <f>'HOT Drinks '!$R$8</f>
        <v>0.66463009803921558</v>
      </c>
      <c r="I270" s="106" t="s">
        <v>1514</v>
      </c>
      <c r="J270" s="106">
        <v>2</v>
      </c>
      <c r="K270" s="108" t="s">
        <v>1669</v>
      </c>
      <c r="L270" s="107"/>
    </row>
    <row r="271" spans="2:12" x14ac:dyDescent="0.15">
      <c r="B271" s="143" t="s">
        <v>1544</v>
      </c>
      <c r="C271" s="143"/>
      <c r="D271" s="143"/>
      <c r="E271" s="106"/>
      <c r="F271" s="106"/>
      <c r="G271" s="107"/>
      <c r="I271" s="196" t="s">
        <v>1688</v>
      </c>
      <c r="J271" s="196"/>
      <c r="K271" s="196"/>
      <c r="L271" s="107"/>
    </row>
    <row r="272" spans="2:12" x14ac:dyDescent="0.15">
      <c r="B272" s="106" t="s">
        <v>1484</v>
      </c>
      <c r="C272" s="106"/>
      <c r="D272" s="106"/>
      <c r="E272" s="106">
        <v>4</v>
      </c>
      <c r="F272" s="106" t="s">
        <v>1486</v>
      </c>
      <c r="G272" s="107">
        <f>INGREDIENTS!$F$112*E272</f>
        <v>2.12</v>
      </c>
      <c r="I272" s="106" t="s">
        <v>1484</v>
      </c>
      <c r="J272" s="106">
        <v>4</v>
      </c>
      <c r="K272" s="108" t="s">
        <v>1669</v>
      </c>
      <c r="L272" s="107"/>
    </row>
    <row r="273" spans="2:12" x14ac:dyDescent="0.15">
      <c r="B273" s="106" t="s">
        <v>1512</v>
      </c>
      <c r="C273" s="106"/>
      <c r="D273" s="106"/>
      <c r="E273" s="106">
        <v>2</v>
      </c>
      <c r="F273" s="106" t="s">
        <v>1486</v>
      </c>
      <c r="G273" s="107">
        <f>INGREDIENTS!$F$112*E273</f>
        <v>1.06</v>
      </c>
      <c r="I273" s="106" t="s">
        <v>1512</v>
      </c>
      <c r="J273" s="106">
        <v>2</v>
      </c>
      <c r="K273" s="108" t="s">
        <v>1669</v>
      </c>
      <c r="L273" s="107"/>
    </row>
    <row r="274" spans="2:12" x14ac:dyDescent="0.15">
      <c r="B274" s="143" t="s">
        <v>1553</v>
      </c>
      <c r="C274" s="143"/>
      <c r="D274" s="143"/>
      <c r="E274" s="106"/>
      <c r="F274" s="106"/>
      <c r="G274" s="107"/>
      <c r="I274" s="196" t="s">
        <v>1689</v>
      </c>
      <c r="J274" s="196"/>
      <c r="K274" s="196"/>
      <c r="L274" s="107"/>
    </row>
    <row r="275" spans="2:12" x14ac:dyDescent="0.15">
      <c r="B275" s="106" t="s">
        <v>1479</v>
      </c>
      <c r="C275" s="106"/>
      <c r="D275" s="106"/>
      <c r="E275" s="106">
        <v>0.1</v>
      </c>
      <c r="F275" s="106" t="s">
        <v>183</v>
      </c>
      <c r="G275" s="107">
        <f>INGREDIENTS!$D$225*E275</f>
        <v>3.6500000000000004</v>
      </c>
      <c r="I275" s="106" t="s">
        <v>1479</v>
      </c>
      <c r="J275" s="106">
        <v>100</v>
      </c>
      <c r="K275" s="108" t="s">
        <v>1667</v>
      </c>
      <c r="L275" s="107"/>
    </row>
    <row r="276" spans="2:12" x14ac:dyDescent="0.15">
      <c r="B276" s="106" t="s">
        <v>1517</v>
      </c>
      <c r="C276" s="106"/>
      <c r="D276" s="106"/>
      <c r="E276" s="106">
        <v>0.24</v>
      </c>
      <c r="F276" s="106" t="s">
        <v>183</v>
      </c>
      <c r="G276" s="107" t="e">
        <f>INGREDIENTS!#REF!*E276</f>
        <v>#REF!</v>
      </c>
      <c r="I276" s="106" t="s">
        <v>1517</v>
      </c>
      <c r="J276" s="106">
        <v>240</v>
      </c>
      <c r="K276" s="108" t="s">
        <v>1667</v>
      </c>
      <c r="L276" s="107"/>
    </row>
    <row r="277" spans="2:12" x14ac:dyDescent="0.15">
      <c r="B277" s="106" t="s">
        <v>1497</v>
      </c>
      <c r="C277" s="106"/>
      <c r="D277" s="106"/>
      <c r="E277" s="106">
        <v>1.4999999999999999E-2</v>
      </c>
      <c r="F277" s="106" t="s">
        <v>183</v>
      </c>
      <c r="G277" s="107" t="e">
        <f>INGREDIENTS!#REF!*E277</f>
        <v>#REF!</v>
      </c>
      <c r="I277" s="106" t="s">
        <v>1497</v>
      </c>
      <c r="J277" s="106">
        <v>15</v>
      </c>
      <c r="K277" s="108" t="s">
        <v>1667</v>
      </c>
      <c r="L277" s="107"/>
    </row>
    <row r="278" spans="2:12" x14ac:dyDescent="0.15">
      <c r="B278" s="143" t="s">
        <v>1554</v>
      </c>
      <c r="C278" s="143"/>
      <c r="D278" s="143"/>
      <c r="E278" s="106"/>
      <c r="F278" s="106"/>
      <c r="G278" s="107"/>
      <c r="I278" s="196" t="s">
        <v>1692</v>
      </c>
      <c r="J278" s="196"/>
      <c r="K278" s="196"/>
      <c r="L278" s="107"/>
    </row>
    <row r="279" spans="2:12" x14ac:dyDescent="0.15">
      <c r="B279" s="106" t="s">
        <v>1564</v>
      </c>
      <c r="C279" s="106"/>
      <c r="D279" s="106"/>
      <c r="E279" s="106">
        <v>0.1</v>
      </c>
      <c r="F279" s="106" t="s">
        <v>183</v>
      </c>
      <c r="G279" s="107">
        <f>INGREDIENTS!$D$235*E279</f>
        <v>2.25</v>
      </c>
      <c r="I279" s="108" t="s">
        <v>1682</v>
      </c>
      <c r="J279" s="106">
        <v>80</v>
      </c>
      <c r="K279" s="108" t="s">
        <v>1667</v>
      </c>
      <c r="L279" s="107"/>
    </row>
    <row r="280" spans="2:12" x14ac:dyDescent="0.15">
      <c r="B280" s="106"/>
      <c r="C280" s="106"/>
      <c r="D280" s="106"/>
      <c r="E280" s="106"/>
      <c r="F280" s="106"/>
      <c r="G280" s="107"/>
      <c r="I280" s="196" t="s">
        <v>1690</v>
      </c>
      <c r="J280" s="196"/>
      <c r="K280" s="196"/>
      <c r="L280" s="107"/>
    </row>
    <row r="281" spans="2:12" x14ac:dyDescent="0.15">
      <c r="B281" s="106"/>
      <c r="C281" s="106"/>
      <c r="D281" s="106"/>
      <c r="E281" s="106"/>
      <c r="F281" s="106"/>
      <c r="G281" s="107"/>
      <c r="I281" s="196" t="s">
        <v>1698</v>
      </c>
      <c r="J281" s="196"/>
      <c r="K281" s="196"/>
      <c r="L281" s="107"/>
    </row>
    <row r="282" spans="2:12" x14ac:dyDescent="0.15">
      <c r="B282" s="106"/>
      <c r="C282" s="106"/>
      <c r="D282" s="106"/>
      <c r="E282" s="106"/>
      <c r="F282" s="106"/>
      <c r="G282" s="107"/>
      <c r="I282" s="197" t="s">
        <v>1699</v>
      </c>
      <c r="J282" s="197"/>
      <c r="K282" s="197"/>
      <c r="L282" s="107"/>
    </row>
    <row r="283" spans="2:12" x14ac:dyDescent="0.15">
      <c r="B283" s="106"/>
      <c r="C283" s="106"/>
      <c r="D283" s="106"/>
      <c r="E283" s="106"/>
      <c r="F283" s="106"/>
      <c r="G283" s="107"/>
      <c r="I283" s="196" t="s">
        <v>1694</v>
      </c>
      <c r="J283" s="196"/>
      <c r="K283" s="196"/>
      <c r="L283" s="107"/>
    </row>
    <row r="284" spans="2:12" x14ac:dyDescent="0.15">
      <c r="B284" s="106"/>
      <c r="C284" s="106"/>
      <c r="D284" s="106"/>
      <c r="E284" s="106"/>
      <c r="F284" s="106"/>
      <c r="G284" s="107"/>
      <c r="I284" s="196" t="s">
        <v>1695</v>
      </c>
      <c r="J284" s="196"/>
      <c r="K284" s="196"/>
      <c r="L284" s="107"/>
    </row>
    <row r="285" spans="2:12" x14ac:dyDescent="0.15">
      <c r="B285" s="106"/>
      <c r="C285" s="106"/>
      <c r="D285" s="106"/>
      <c r="E285" s="106"/>
      <c r="F285" s="106"/>
      <c r="G285" s="107"/>
      <c r="I285" s="196" t="s">
        <v>1696</v>
      </c>
      <c r="J285" s="196"/>
      <c r="K285" s="196"/>
      <c r="L285" s="107"/>
    </row>
    <row r="286" spans="2:12" x14ac:dyDescent="0.15">
      <c r="F286" s="136" t="s">
        <v>1490</v>
      </c>
      <c r="G286" s="114" t="e">
        <f>SUM(G265:G279)</f>
        <v>#REF!</v>
      </c>
      <c r="I286" s="136" t="s">
        <v>1670</v>
      </c>
      <c r="J286" s="136" t="s">
        <v>1671</v>
      </c>
      <c r="K286" s="136"/>
      <c r="L286" s="114"/>
    </row>
    <row r="287" spans="2:12" x14ac:dyDescent="0.15">
      <c r="B287" s="145" t="s">
        <v>1493</v>
      </c>
      <c r="C287" s="145"/>
      <c r="D287" s="145"/>
      <c r="E287" s="146" t="s">
        <v>1494</v>
      </c>
      <c r="F287" s="147" t="s">
        <v>1496</v>
      </c>
      <c r="G287" s="142" t="s">
        <v>1495</v>
      </c>
      <c r="I287" s="136" t="s">
        <v>1672</v>
      </c>
      <c r="J287" s="149">
        <v>4.9000000000000004</v>
      </c>
    </row>
    <row r="288" spans="2:12" x14ac:dyDescent="0.15">
      <c r="B288" s="148">
        <v>24</v>
      </c>
      <c r="C288" s="148"/>
      <c r="D288" s="148"/>
      <c r="E288" s="114">
        <v>4.9000000000000004</v>
      </c>
      <c r="F288" s="132" t="e">
        <f>G$286/G288</f>
        <v>#REF!</v>
      </c>
      <c r="G288" s="149" t="e">
        <f>(B288*E288)-G$286</f>
        <v>#REF!</v>
      </c>
      <c r="I288" s="136" t="s">
        <v>1673</v>
      </c>
      <c r="J288" s="149">
        <v>3.9</v>
      </c>
    </row>
    <row r="289" spans="2:7" x14ac:dyDescent="0.15">
      <c r="B289">
        <v>24</v>
      </c>
      <c r="E289" s="114">
        <v>3.9</v>
      </c>
      <c r="F289" s="132" t="e">
        <f>G$286/G289</f>
        <v>#REF!</v>
      </c>
      <c r="G289" s="149" t="e">
        <f>(B289*E289)-G$286</f>
        <v>#REF!</v>
      </c>
    </row>
    <row r="290" spans="2:7" x14ac:dyDescent="0.15">
      <c r="E290" s="114"/>
      <c r="F290" s="132"/>
      <c r="G290" s="149"/>
    </row>
  </sheetData>
  <mergeCells count="76">
    <mergeCell ref="I226:L226"/>
    <mergeCell ref="I223:K224"/>
    <mergeCell ref="I225:K225"/>
    <mergeCell ref="I250:K250"/>
    <mergeCell ref="I249:K249"/>
    <mergeCell ref="I248:K248"/>
    <mergeCell ref="I247:K247"/>
    <mergeCell ref="I242:K242"/>
    <mergeCell ref="B261:G261"/>
    <mergeCell ref="B262:G262"/>
    <mergeCell ref="I238:K238"/>
    <mergeCell ref="I235:K235"/>
    <mergeCell ref="I228:K228"/>
    <mergeCell ref="B259:G260"/>
    <mergeCell ref="B223:G224"/>
    <mergeCell ref="B225:G225"/>
    <mergeCell ref="B226:G226"/>
    <mergeCell ref="B137:G138"/>
    <mergeCell ref="B139:G139"/>
    <mergeCell ref="B140:G140"/>
    <mergeCell ref="B194:G195"/>
    <mergeCell ref="B196:G196"/>
    <mergeCell ref="B197:G197"/>
    <mergeCell ref="B165:G165"/>
    <mergeCell ref="B164:G164"/>
    <mergeCell ref="B162:G163"/>
    <mergeCell ref="N55:Q56"/>
    <mergeCell ref="N57:Q57"/>
    <mergeCell ref="N58:Q58"/>
    <mergeCell ref="B58:G58"/>
    <mergeCell ref="B55:G56"/>
    <mergeCell ref="B57:G57"/>
    <mergeCell ref="I55:L56"/>
    <mergeCell ref="I57:L57"/>
    <mergeCell ref="I58:L58"/>
    <mergeCell ref="B116:G116"/>
    <mergeCell ref="B117:G117"/>
    <mergeCell ref="B2:G3"/>
    <mergeCell ref="B4:G4"/>
    <mergeCell ref="B5:G5"/>
    <mergeCell ref="B25:G26"/>
    <mergeCell ref="B28:G28"/>
    <mergeCell ref="B80:G81"/>
    <mergeCell ref="B82:G82"/>
    <mergeCell ref="B83:G83"/>
    <mergeCell ref="B114:G115"/>
    <mergeCell ref="I187:K187"/>
    <mergeCell ref="I137:K138"/>
    <mergeCell ref="I139:K139"/>
    <mergeCell ref="I167:K167"/>
    <mergeCell ref="I174:K174"/>
    <mergeCell ref="I177:K177"/>
    <mergeCell ref="I142:K142"/>
    <mergeCell ref="I165:L165"/>
    <mergeCell ref="I181:K181"/>
    <mergeCell ref="I184:K184"/>
    <mergeCell ref="I185:K185"/>
    <mergeCell ref="I186:K186"/>
    <mergeCell ref="I140:L140"/>
    <mergeCell ref="I162:L163"/>
    <mergeCell ref="I164:L164"/>
    <mergeCell ref="I264:K264"/>
    <mergeCell ref="I271:K271"/>
    <mergeCell ref="I274:K274"/>
    <mergeCell ref="I278:K278"/>
    <mergeCell ref="I245:K245"/>
    <mergeCell ref="I246:K246"/>
    <mergeCell ref="I262:L262"/>
    <mergeCell ref="I261:K261"/>
    <mergeCell ref="I259:K260"/>
    <mergeCell ref="I285:K285"/>
    <mergeCell ref="I280:K280"/>
    <mergeCell ref="I281:K281"/>
    <mergeCell ref="I282:K282"/>
    <mergeCell ref="I283:K283"/>
    <mergeCell ref="I284:K28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925C-DA87-9F4F-8202-7E8EED72A1D3}">
  <dimension ref="B2:O180"/>
  <sheetViews>
    <sheetView topLeftCell="A42" zoomScale="75" workbookViewId="0">
      <selection activeCell="P39" sqref="P39"/>
    </sheetView>
  </sheetViews>
  <sheetFormatPr baseColWidth="10" defaultRowHeight="13" x14ac:dyDescent="0.15"/>
  <cols>
    <col min="2" max="2" width="30.5" bestFit="1" customWidth="1"/>
    <col min="7" max="7" width="29" bestFit="1" customWidth="1"/>
    <col min="12" max="12" width="29" bestFit="1" customWidth="1"/>
  </cols>
  <sheetData>
    <row r="2" spans="2:15" x14ac:dyDescent="0.15">
      <c r="B2" s="192" t="s">
        <v>1597</v>
      </c>
      <c r="C2" s="184"/>
      <c r="D2" s="184"/>
      <c r="E2" s="184"/>
      <c r="G2" s="192" t="s">
        <v>1598</v>
      </c>
      <c r="H2" s="184"/>
      <c r="I2" s="184"/>
      <c r="J2" s="184"/>
      <c r="L2" s="192" t="s">
        <v>1599</v>
      </c>
      <c r="M2" s="184"/>
      <c r="N2" s="184"/>
      <c r="O2" s="184"/>
    </row>
    <row r="3" spans="2:15" x14ac:dyDescent="0.15">
      <c r="B3" s="184"/>
      <c r="C3" s="184"/>
      <c r="D3" s="184"/>
      <c r="E3" s="184"/>
      <c r="G3" s="184"/>
      <c r="H3" s="184"/>
      <c r="I3" s="184"/>
      <c r="J3" s="184"/>
      <c r="L3" s="184"/>
      <c r="M3" s="184"/>
      <c r="N3" s="184"/>
      <c r="O3" s="184"/>
    </row>
    <row r="4" spans="2:15" ht="20" x14ac:dyDescent="0.2">
      <c r="B4" s="199" t="s">
        <v>1603</v>
      </c>
      <c r="C4" s="199"/>
      <c r="D4" s="199"/>
      <c r="E4" s="199"/>
      <c r="G4" s="199" t="s">
        <v>1603</v>
      </c>
      <c r="H4" s="199"/>
      <c r="I4" s="199"/>
      <c r="J4" s="199"/>
      <c r="L4" s="199" t="s">
        <v>1603</v>
      </c>
      <c r="M4" s="199"/>
      <c r="N4" s="199"/>
      <c r="O4" s="199"/>
    </row>
    <row r="5" spans="2:15" x14ac:dyDescent="0.15">
      <c r="B5" s="191"/>
      <c r="C5" s="191"/>
      <c r="D5" s="191"/>
      <c r="E5" s="191"/>
      <c r="G5" s="191"/>
      <c r="H5" s="191"/>
      <c r="I5" s="191"/>
      <c r="J5" s="191"/>
      <c r="L5" s="191"/>
      <c r="M5" s="191"/>
      <c r="N5" s="191"/>
      <c r="O5" s="191"/>
    </row>
    <row r="6" spans="2:15" ht="16" x14ac:dyDescent="0.2">
      <c r="B6" s="119" t="s">
        <v>1122</v>
      </c>
      <c r="C6" s="119" t="s">
        <v>1123</v>
      </c>
      <c r="D6" s="119" t="s">
        <v>1124</v>
      </c>
      <c r="E6" s="134" t="s">
        <v>1489</v>
      </c>
      <c r="G6" s="119" t="s">
        <v>1122</v>
      </c>
      <c r="H6" s="119" t="s">
        <v>1123</v>
      </c>
      <c r="I6" s="119" t="s">
        <v>1124</v>
      </c>
      <c r="J6" s="134" t="s">
        <v>1489</v>
      </c>
      <c r="L6" s="119" t="s">
        <v>1122</v>
      </c>
      <c r="M6" s="119" t="s">
        <v>1123</v>
      </c>
      <c r="N6" s="119" t="s">
        <v>1124</v>
      </c>
      <c r="O6" s="134" t="s">
        <v>1489</v>
      </c>
    </row>
    <row r="7" spans="2:15" x14ac:dyDescent="0.15">
      <c r="B7" s="196" t="s">
        <v>1582</v>
      </c>
      <c r="C7" s="196"/>
      <c r="D7" s="196"/>
      <c r="E7" s="196"/>
      <c r="G7" s="196" t="s">
        <v>1582</v>
      </c>
      <c r="H7" s="196"/>
      <c r="I7" s="196"/>
      <c r="J7" s="196"/>
      <c r="L7" s="196" t="s">
        <v>1582</v>
      </c>
      <c r="M7" s="196"/>
      <c r="N7" s="196"/>
      <c r="O7" s="196"/>
    </row>
    <row r="8" spans="2:15" x14ac:dyDescent="0.15">
      <c r="B8" s="108" t="s">
        <v>1578</v>
      </c>
      <c r="C8" s="106">
        <v>0.25</v>
      </c>
      <c r="D8" s="106" t="s">
        <v>183</v>
      </c>
      <c r="E8" s="107">
        <f>INGREDIENTS!$D$240*C8</f>
        <v>1.55</v>
      </c>
      <c r="G8" s="108" t="s">
        <v>1578</v>
      </c>
      <c r="H8" s="106">
        <v>0.25</v>
      </c>
      <c r="I8" s="106" t="s">
        <v>183</v>
      </c>
      <c r="J8" s="107">
        <f>INGREDIENTS!$D$240*H8</f>
        <v>1.55</v>
      </c>
      <c r="L8" s="108" t="s">
        <v>1578</v>
      </c>
      <c r="M8" s="106">
        <v>0.25</v>
      </c>
      <c r="N8" s="106" t="s">
        <v>183</v>
      </c>
      <c r="O8" s="107">
        <f>INGREDIENTS!$D$240*M8</f>
        <v>1.55</v>
      </c>
    </row>
    <row r="9" spans="2:15" x14ac:dyDescent="0.15">
      <c r="B9" s="196" t="s">
        <v>1580</v>
      </c>
      <c r="C9" s="196"/>
      <c r="D9" s="196"/>
      <c r="E9" s="196"/>
      <c r="G9" s="196" t="s">
        <v>1580</v>
      </c>
      <c r="H9" s="196"/>
      <c r="I9" s="196"/>
      <c r="J9" s="196"/>
      <c r="L9" s="196" t="s">
        <v>1580</v>
      </c>
      <c r="M9" s="196"/>
      <c r="N9" s="196"/>
      <c r="O9" s="196"/>
    </row>
    <row r="10" spans="2:15" x14ac:dyDescent="0.15">
      <c r="B10" s="108" t="s">
        <v>1602</v>
      </c>
      <c r="C10" s="106">
        <v>0.11</v>
      </c>
      <c r="D10" s="106" t="s">
        <v>183</v>
      </c>
      <c r="E10" s="107">
        <f>INGREDIENTS!$D$273*C10</f>
        <v>0.55549999999999999</v>
      </c>
      <c r="G10" s="108" t="s">
        <v>1602</v>
      </c>
      <c r="H10" s="106">
        <v>0.08</v>
      </c>
      <c r="I10" s="106" t="s">
        <v>183</v>
      </c>
      <c r="J10" s="107">
        <f>INGREDIENTS!$D$273*H10</f>
        <v>0.40399999999999997</v>
      </c>
      <c r="L10" s="108" t="s">
        <v>1602</v>
      </c>
      <c r="M10" s="106">
        <v>0.08</v>
      </c>
      <c r="N10" s="106" t="s">
        <v>183</v>
      </c>
      <c r="O10" s="107">
        <f>INGREDIENTS!$D$273*M10</f>
        <v>0.40399999999999997</v>
      </c>
    </row>
    <row r="11" spans="2:15" x14ac:dyDescent="0.15">
      <c r="B11" s="108" t="s">
        <v>1487</v>
      </c>
      <c r="C11" s="106">
        <v>0.03</v>
      </c>
      <c r="D11" s="106" t="s">
        <v>183</v>
      </c>
      <c r="E11" s="107">
        <f>INGREDIENTS!$D$228*C11</f>
        <v>0.29699999999999999</v>
      </c>
      <c r="G11" s="108" t="s">
        <v>1487</v>
      </c>
      <c r="H11" s="106">
        <v>0.03</v>
      </c>
      <c r="I11" s="106" t="s">
        <v>183</v>
      </c>
      <c r="J11" s="107">
        <f>INGREDIENTS!$D$228*H11</f>
        <v>0.29699999999999999</v>
      </c>
      <c r="L11" s="108" t="s">
        <v>1487</v>
      </c>
      <c r="M11" s="106">
        <v>0.03</v>
      </c>
      <c r="N11" s="106" t="s">
        <v>183</v>
      </c>
      <c r="O11" s="107">
        <f>INGREDIENTS!$D$228*M11</f>
        <v>0.29699999999999999</v>
      </c>
    </row>
    <row r="12" spans="2:15" x14ac:dyDescent="0.15">
      <c r="B12" s="106" t="s">
        <v>1513</v>
      </c>
      <c r="C12" s="106">
        <v>5.0000000000000001E-3</v>
      </c>
      <c r="D12" s="106" t="s">
        <v>183</v>
      </c>
      <c r="E12" s="107">
        <v>0.1</v>
      </c>
      <c r="G12" s="106" t="s">
        <v>1513</v>
      </c>
      <c r="H12" s="106">
        <v>5.0000000000000001E-3</v>
      </c>
      <c r="I12" s="106" t="s">
        <v>183</v>
      </c>
      <c r="J12" s="107">
        <v>0.1</v>
      </c>
      <c r="L12" s="106" t="s">
        <v>1513</v>
      </c>
      <c r="M12" s="106">
        <v>5.0000000000000001E-3</v>
      </c>
      <c r="N12" s="106" t="s">
        <v>183</v>
      </c>
      <c r="O12" s="107">
        <v>0.1</v>
      </c>
    </row>
    <row r="13" spans="2:15" x14ac:dyDescent="0.15">
      <c r="B13" s="108" t="s">
        <v>1593</v>
      </c>
      <c r="C13" s="106">
        <v>5.0000000000000001E-3</v>
      </c>
      <c r="D13" s="106" t="s">
        <v>183</v>
      </c>
      <c r="E13" s="107">
        <v>0.2</v>
      </c>
      <c r="G13" s="108" t="s">
        <v>1593</v>
      </c>
      <c r="H13" s="106">
        <v>5.0000000000000001E-3</v>
      </c>
      <c r="I13" s="106" t="s">
        <v>183</v>
      </c>
      <c r="J13" s="107">
        <v>0.2</v>
      </c>
      <c r="L13" s="108" t="s">
        <v>1593</v>
      </c>
      <c r="M13" s="106">
        <v>5.0000000000000001E-3</v>
      </c>
      <c r="N13" s="106" t="s">
        <v>183</v>
      </c>
      <c r="O13" s="107">
        <v>0.2</v>
      </c>
    </row>
    <row r="14" spans="2:15" x14ac:dyDescent="0.15">
      <c r="B14" s="196" t="s">
        <v>1581</v>
      </c>
      <c r="C14" s="196"/>
      <c r="D14" s="196"/>
      <c r="E14" s="196"/>
      <c r="G14" s="196" t="s">
        <v>1581</v>
      </c>
      <c r="H14" s="196"/>
      <c r="I14" s="196"/>
      <c r="J14" s="196"/>
      <c r="L14" s="196" t="s">
        <v>1581</v>
      </c>
      <c r="M14" s="196"/>
      <c r="N14" s="196"/>
      <c r="O14" s="196"/>
    </row>
    <row r="15" spans="2:15" x14ac:dyDescent="0.15">
      <c r="B15" s="106" t="s">
        <v>1484</v>
      </c>
      <c r="C15" s="106">
        <v>3</v>
      </c>
      <c r="D15" s="106" t="s">
        <v>1486</v>
      </c>
      <c r="E15" s="107">
        <f>INGREDIENTS!$F$112*C15</f>
        <v>1.59</v>
      </c>
      <c r="G15" s="106" t="s">
        <v>1484</v>
      </c>
      <c r="H15" s="106">
        <v>3</v>
      </c>
      <c r="I15" s="106" t="s">
        <v>1486</v>
      </c>
      <c r="J15" s="107">
        <f>INGREDIENTS!$F$112*H15</f>
        <v>1.59</v>
      </c>
      <c r="L15" s="106" t="s">
        <v>1484</v>
      </c>
      <c r="M15" s="106">
        <v>3</v>
      </c>
      <c r="N15" s="106" t="s">
        <v>1486</v>
      </c>
      <c r="O15" s="107">
        <f>INGREDIENTS!$F$112*M15</f>
        <v>1.59</v>
      </c>
    </row>
    <row r="16" spans="2:15" x14ac:dyDescent="0.15">
      <c r="B16" s="108" t="s">
        <v>1382</v>
      </c>
      <c r="C16" s="106">
        <v>120</v>
      </c>
      <c r="D16" s="108" t="s">
        <v>1165</v>
      </c>
      <c r="E16" s="107">
        <f>INGREDIENTS!$F$38*C16</f>
        <v>1.7112000000000001</v>
      </c>
      <c r="G16" s="108" t="s">
        <v>1382</v>
      </c>
      <c r="H16" s="106">
        <v>120</v>
      </c>
      <c r="I16" s="108" t="s">
        <v>1165</v>
      </c>
      <c r="J16" s="107">
        <f>INGREDIENTS!$F$38*H16</f>
        <v>1.7112000000000001</v>
      </c>
      <c r="L16" s="108" t="s">
        <v>1382</v>
      </c>
      <c r="M16" s="106">
        <v>120</v>
      </c>
      <c r="N16" s="108" t="s">
        <v>1165</v>
      </c>
      <c r="O16" s="107">
        <f>INGREDIENTS!$F$38*M16</f>
        <v>1.7112000000000001</v>
      </c>
    </row>
    <row r="17" spans="2:15" x14ac:dyDescent="0.15">
      <c r="B17" s="108" t="s">
        <v>1511</v>
      </c>
      <c r="C17" s="106">
        <v>130</v>
      </c>
      <c r="D17" s="108" t="s">
        <v>1165</v>
      </c>
      <c r="E17" s="107" t="e">
        <f>INGREDIENTS!#REF!*C17</f>
        <v>#REF!</v>
      </c>
      <c r="G17" s="108" t="s">
        <v>1511</v>
      </c>
      <c r="H17" s="106">
        <v>120</v>
      </c>
      <c r="I17" s="108" t="s">
        <v>1165</v>
      </c>
      <c r="J17" s="107" t="e">
        <f>INGREDIENTS!#REF!*H17</f>
        <v>#REF!</v>
      </c>
      <c r="L17" s="108" t="s">
        <v>1511</v>
      </c>
      <c r="M17" s="106">
        <v>120</v>
      </c>
      <c r="N17" s="108" t="s">
        <v>1165</v>
      </c>
      <c r="O17" s="107" t="e">
        <f>INGREDIENTS!#REF!*M17</f>
        <v>#REF!</v>
      </c>
    </row>
    <row r="18" spans="2:15" x14ac:dyDescent="0.15">
      <c r="B18" s="196" t="s">
        <v>1583</v>
      </c>
      <c r="C18" s="196"/>
      <c r="D18" s="196"/>
      <c r="E18" s="196"/>
      <c r="G18" s="196" t="s">
        <v>1583</v>
      </c>
      <c r="H18" s="196"/>
      <c r="I18" s="196"/>
      <c r="J18" s="196"/>
      <c r="L18" s="196" t="s">
        <v>1583</v>
      </c>
      <c r="M18" s="196"/>
      <c r="N18" s="196"/>
      <c r="O18" s="196"/>
    </row>
    <row r="19" spans="2:15" x14ac:dyDescent="0.15">
      <c r="B19" s="108" t="s">
        <v>1584</v>
      </c>
      <c r="C19" s="106">
        <v>2</v>
      </c>
      <c r="D19" s="108" t="s">
        <v>1486</v>
      </c>
      <c r="E19" s="107" t="e">
        <f>INGREDIENTS!#REF!*C19</f>
        <v>#REF!</v>
      </c>
      <c r="G19" s="108" t="s">
        <v>1584</v>
      </c>
      <c r="H19" s="106">
        <v>2</v>
      </c>
      <c r="I19" s="108" t="s">
        <v>1486</v>
      </c>
      <c r="J19" s="107" t="e">
        <f>INGREDIENTS!#REF!*H19</f>
        <v>#REF!</v>
      </c>
      <c r="L19" s="108" t="s">
        <v>1584</v>
      </c>
      <c r="M19" s="106">
        <v>2</v>
      </c>
      <c r="N19" s="108" t="s">
        <v>1486</v>
      </c>
      <c r="O19" s="107" t="e">
        <f>INGREDIENTS!#REF!*M19</f>
        <v>#REF!</v>
      </c>
    </row>
    <row r="20" spans="2:15" x14ac:dyDescent="0.15">
      <c r="B20" s="196" t="s">
        <v>1586</v>
      </c>
      <c r="C20" s="196"/>
      <c r="D20" s="196"/>
      <c r="E20" s="196"/>
      <c r="G20" s="196" t="s">
        <v>1586</v>
      </c>
      <c r="H20" s="196"/>
      <c r="I20" s="196"/>
      <c r="J20" s="196"/>
      <c r="L20" s="196" t="s">
        <v>1586</v>
      </c>
      <c r="M20" s="196"/>
      <c r="N20" s="196"/>
      <c r="O20" s="196"/>
    </row>
    <row r="21" spans="2:15" x14ac:dyDescent="0.15">
      <c r="B21" s="196" t="s">
        <v>1587</v>
      </c>
      <c r="C21" s="196"/>
      <c r="D21" s="196"/>
      <c r="E21" s="196"/>
      <c r="G21" s="196" t="s">
        <v>1587</v>
      </c>
      <c r="H21" s="196"/>
      <c r="I21" s="196"/>
      <c r="J21" s="196"/>
      <c r="L21" s="196" t="s">
        <v>1587</v>
      </c>
      <c r="M21" s="196"/>
      <c r="N21" s="196"/>
      <c r="O21" s="196"/>
    </row>
    <row r="22" spans="2:15" x14ac:dyDescent="0.15">
      <c r="B22" s="196" t="s">
        <v>1588</v>
      </c>
      <c r="C22" s="196"/>
      <c r="D22" s="196"/>
      <c r="E22" s="196"/>
      <c r="G22" s="196" t="s">
        <v>1588</v>
      </c>
      <c r="H22" s="196"/>
      <c r="I22" s="196"/>
      <c r="J22" s="196"/>
      <c r="L22" s="196" t="s">
        <v>1588</v>
      </c>
      <c r="M22" s="196"/>
      <c r="N22" s="196"/>
      <c r="O22" s="196"/>
    </row>
    <row r="23" spans="2:15" x14ac:dyDescent="0.15">
      <c r="B23" s="196" t="s">
        <v>1589</v>
      </c>
      <c r="C23" s="196"/>
      <c r="D23" s="196"/>
      <c r="E23" s="196"/>
      <c r="G23" s="196" t="s">
        <v>1589</v>
      </c>
      <c r="H23" s="196"/>
      <c r="I23" s="196"/>
      <c r="J23" s="196"/>
      <c r="L23" s="196" t="s">
        <v>1589</v>
      </c>
      <c r="M23" s="196"/>
      <c r="N23" s="196"/>
      <c r="O23" s="196"/>
    </row>
    <row r="24" spans="2:15" x14ac:dyDescent="0.15">
      <c r="B24" s="108" t="s">
        <v>1524</v>
      </c>
      <c r="C24" s="106">
        <v>2.5000000000000001E-2</v>
      </c>
      <c r="D24" s="108" t="s">
        <v>183</v>
      </c>
      <c r="E24" s="107">
        <f>INGREDIENTS!$D$233*C24</f>
        <v>0.14499999999999999</v>
      </c>
      <c r="G24" s="108" t="s">
        <v>1524</v>
      </c>
      <c r="H24" s="106">
        <v>2.5000000000000001E-2</v>
      </c>
      <c r="I24" s="108" t="s">
        <v>183</v>
      </c>
      <c r="J24" s="107">
        <f>INGREDIENTS!$D$233*H24</f>
        <v>0.14499999999999999</v>
      </c>
      <c r="L24" s="108" t="s">
        <v>1524</v>
      </c>
      <c r="M24" s="106">
        <v>2.5000000000000001E-2</v>
      </c>
      <c r="N24" s="108" t="s">
        <v>183</v>
      </c>
      <c r="O24" s="107">
        <f>INGREDIENTS!$D$233*M24</f>
        <v>0.14499999999999999</v>
      </c>
    </row>
    <row r="25" spans="2:15" x14ac:dyDescent="0.15">
      <c r="B25" s="136"/>
      <c r="C25" s="98"/>
      <c r="D25" s="136" t="s">
        <v>1490</v>
      </c>
      <c r="E25" s="114" t="e">
        <f>SUM(E7:E24)</f>
        <v>#REF!</v>
      </c>
      <c r="G25" s="136"/>
      <c r="H25" s="98"/>
      <c r="I25" s="136" t="s">
        <v>1490</v>
      </c>
      <c r="J25" s="114" t="e">
        <f>SUM(J7:J24)</f>
        <v>#REF!</v>
      </c>
      <c r="L25" s="136"/>
      <c r="M25" s="98"/>
      <c r="N25" s="136" t="s">
        <v>1490</v>
      </c>
      <c r="O25" s="114" t="e">
        <f>SUM(O7:O24)</f>
        <v>#REF!</v>
      </c>
    </row>
    <row r="26" spans="2:15" x14ac:dyDescent="0.15">
      <c r="B26" s="136"/>
      <c r="C26" s="98"/>
      <c r="D26" s="136" t="s">
        <v>1590</v>
      </c>
      <c r="E26" s="135">
        <v>12</v>
      </c>
      <c r="G26" s="136"/>
      <c r="H26" s="98"/>
      <c r="I26" s="136" t="s">
        <v>1590</v>
      </c>
      <c r="J26" s="135">
        <v>24</v>
      </c>
      <c r="L26" s="136"/>
      <c r="M26" s="98"/>
      <c r="N26" s="136" t="s">
        <v>1590</v>
      </c>
      <c r="O26" s="135">
        <v>48</v>
      </c>
    </row>
    <row r="27" spans="2:15" x14ac:dyDescent="0.15">
      <c r="B27" s="136"/>
      <c r="C27" s="98"/>
      <c r="D27" s="136" t="s">
        <v>1592</v>
      </c>
      <c r="E27" s="150" t="e">
        <f>E25/E26</f>
        <v>#REF!</v>
      </c>
      <c r="G27" s="136"/>
      <c r="H27" s="98"/>
      <c r="I27" s="136" t="s">
        <v>1592</v>
      </c>
      <c r="J27" s="150" t="e">
        <f>J25/J26</f>
        <v>#REF!</v>
      </c>
      <c r="L27" s="136"/>
      <c r="M27" s="98"/>
      <c r="N27" s="136" t="s">
        <v>1592</v>
      </c>
      <c r="O27" s="150" t="e">
        <f>O25/O26</f>
        <v>#REF!</v>
      </c>
    </row>
    <row r="28" spans="2:15" x14ac:dyDescent="0.15">
      <c r="B28" s="133" t="s">
        <v>1495</v>
      </c>
      <c r="C28" s="146" t="s">
        <v>1494</v>
      </c>
      <c r="D28" s="147" t="s">
        <v>1496</v>
      </c>
      <c r="E28" s="133" t="s">
        <v>1591</v>
      </c>
      <c r="G28" s="133" t="s">
        <v>1495</v>
      </c>
      <c r="H28" s="146" t="s">
        <v>1494</v>
      </c>
      <c r="I28" s="147" t="s">
        <v>1496</v>
      </c>
      <c r="J28" s="133" t="s">
        <v>1591</v>
      </c>
      <c r="L28" s="133" t="s">
        <v>1495</v>
      </c>
      <c r="M28" s="146" t="s">
        <v>1494</v>
      </c>
      <c r="N28" s="147" t="s">
        <v>1496</v>
      </c>
      <c r="O28" s="133" t="s">
        <v>1591</v>
      </c>
    </row>
    <row r="29" spans="2:15" x14ac:dyDescent="0.15">
      <c r="B29" s="149" t="e">
        <f>E29*E26</f>
        <v>#REF!</v>
      </c>
      <c r="C29" s="114">
        <v>5.8</v>
      </c>
      <c r="D29" s="132" t="e">
        <f>E27/C29</f>
        <v>#REF!</v>
      </c>
      <c r="E29" s="149" t="e">
        <f>C29-E27</f>
        <v>#REF!</v>
      </c>
      <c r="G29" s="149" t="e">
        <f>J29*J26</f>
        <v>#REF!</v>
      </c>
      <c r="H29" s="114">
        <v>3</v>
      </c>
      <c r="I29" s="132" t="e">
        <f>J27/H29</f>
        <v>#REF!</v>
      </c>
      <c r="J29" s="149" t="e">
        <f>H29-J27</f>
        <v>#REF!</v>
      </c>
      <c r="L29" s="149" t="e">
        <f>O29*O26</f>
        <v>#REF!</v>
      </c>
      <c r="M29" s="114">
        <v>2.5</v>
      </c>
      <c r="N29" s="132" t="e">
        <f>O27/M29</f>
        <v>#REF!</v>
      </c>
      <c r="O29" s="149" t="e">
        <f>M29-O27</f>
        <v>#REF!</v>
      </c>
    </row>
    <row r="30" spans="2:15" x14ac:dyDescent="0.15">
      <c r="B30" s="149" t="e">
        <f>E30*E26</f>
        <v>#REF!</v>
      </c>
      <c r="C30" s="114">
        <v>4.8</v>
      </c>
      <c r="D30" s="132" t="e">
        <f>E27/C30</f>
        <v>#REF!</v>
      </c>
      <c r="E30" s="149" t="e">
        <f>C30-E27</f>
        <v>#REF!</v>
      </c>
      <c r="G30" s="149" t="e">
        <f>J30*J26</f>
        <v>#REF!</v>
      </c>
      <c r="H30" s="114">
        <v>2.5</v>
      </c>
      <c r="I30" s="132" t="e">
        <f>J27/H30</f>
        <v>#REF!</v>
      </c>
      <c r="J30" s="149" t="e">
        <f>H30-J27</f>
        <v>#REF!</v>
      </c>
      <c r="L30" s="149" t="e">
        <f>O30*O26</f>
        <v>#REF!</v>
      </c>
      <c r="M30" s="114">
        <v>2</v>
      </c>
      <c r="N30" s="132" t="e">
        <f>O27/M30</f>
        <v>#REF!</v>
      </c>
      <c r="O30" s="149" t="e">
        <f>M30-O27</f>
        <v>#REF!</v>
      </c>
    </row>
    <row r="32" spans="2:15" x14ac:dyDescent="0.15">
      <c r="B32" s="192" t="s">
        <v>1597</v>
      </c>
      <c r="C32" s="184"/>
      <c r="D32" s="184"/>
      <c r="E32" s="184"/>
      <c r="G32" s="192" t="s">
        <v>1598</v>
      </c>
      <c r="H32" s="184"/>
      <c r="I32" s="184"/>
      <c r="J32" s="184"/>
      <c r="L32" s="192" t="s">
        <v>1598</v>
      </c>
      <c r="M32" s="184"/>
      <c r="N32" s="184"/>
      <c r="O32" s="184"/>
    </row>
    <row r="33" spans="2:15" x14ac:dyDescent="0.15">
      <c r="B33" s="184"/>
      <c r="C33" s="184"/>
      <c r="D33" s="184"/>
      <c r="E33" s="184"/>
      <c r="G33" s="184"/>
      <c r="H33" s="184"/>
      <c r="I33" s="184"/>
      <c r="J33" s="184"/>
      <c r="L33" s="184"/>
      <c r="M33" s="184"/>
      <c r="N33" s="184"/>
      <c r="O33" s="184"/>
    </row>
    <row r="34" spans="2:15" ht="20" x14ac:dyDescent="0.2">
      <c r="B34" s="199" t="s">
        <v>1594</v>
      </c>
      <c r="C34" s="199"/>
      <c r="D34" s="199"/>
      <c r="E34" s="199"/>
      <c r="G34" s="199" t="s">
        <v>1594</v>
      </c>
      <c r="H34" s="199"/>
      <c r="I34" s="199"/>
      <c r="J34" s="199"/>
      <c r="L34" s="199" t="s">
        <v>1594</v>
      </c>
      <c r="M34" s="199"/>
      <c r="N34" s="199"/>
      <c r="O34" s="199"/>
    </row>
    <row r="35" spans="2:15" x14ac:dyDescent="0.15">
      <c r="B35" s="191"/>
      <c r="C35" s="191"/>
      <c r="D35" s="191"/>
      <c r="E35" s="191"/>
      <c r="G35" s="191"/>
      <c r="H35" s="191"/>
      <c r="I35" s="191"/>
      <c r="J35" s="191"/>
      <c r="L35" s="191"/>
      <c r="M35" s="191"/>
      <c r="N35" s="191"/>
      <c r="O35" s="191"/>
    </row>
    <row r="36" spans="2:15" ht="16" x14ac:dyDescent="0.2">
      <c r="B36" s="119" t="s">
        <v>1122</v>
      </c>
      <c r="C36" s="119" t="s">
        <v>1123</v>
      </c>
      <c r="D36" s="119" t="s">
        <v>1124</v>
      </c>
      <c r="E36" s="134" t="s">
        <v>1489</v>
      </c>
      <c r="G36" s="119" t="s">
        <v>1122</v>
      </c>
      <c r="H36" s="119" t="s">
        <v>1123</v>
      </c>
      <c r="I36" s="119" t="s">
        <v>1124</v>
      </c>
      <c r="J36" s="134" t="s">
        <v>1489</v>
      </c>
      <c r="L36" s="119" t="s">
        <v>1122</v>
      </c>
      <c r="M36" s="119" t="s">
        <v>1123</v>
      </c>
      <c r="N36" s="119" t="s">
        <v>1124</v>
      </c>
      <c r="O36" s="134" t="s">
        <v>1489</v>
      </c>
    </row>
    <row r="37" spans="2:15" x14ac:dyDescent="0.15">
      <c r="B37" s="196" t="s">
        <v>1582</v>
      </c>
      <c r="C37" s="196"/>
      <c r="D37" s="196"/>
      <c r="E37" s="196"/>
      <c r="G37" s="196" t="s">
        <v>1582</v>
      </c>
      <c r="H37" s="196"/>
      <c r="I37" s="196"/>
      <c r="J37" s="196"/>
      <c r="L37" s="196" t="s">
        <v>1582</v>
      </c>
      <c r="M37" s="196"/>
      <c r="N37" s="196"/>
      <c r="O37" s="196"/>
    </row>
    <row r="38" spans="2:15" x14ac:dyDescent="0.15">
      <c r="B38" s="108" t="s">
        <v>1578</v>
      </c>
      <c r="C38" s="106">
        <v>0.35</v>
      </c>
      <c r="D38" s="106" t="s">
        <v>183</v>
      </c>
      <c r="E38" s="107">
        <f>INGREDIENTS!$D$240*C38</f>
        <v>2.17</v>
      </c>
      <c r="G38" s="108" t="s">
        <v>1578</v>
      </c>
      <c r="H38" s="106">
        <v>0.25</v>
      </c>
      <c r="I38" s="106" t="s">
        <v>183</v>
      </c>
      <c r="J38" s="107">
        <f>INGREDIENTS!$D$240*H38</f>
        <v>1.55</v>
      </c>
      <c r="L38" s="108" t="s">
        <v>1578</v>
      </c>
      <c r="M38" s="106">
        <v>0.25</v>
      </c>
      <c r="N38" s="106" t="s">
        <v>183</v>
      </c>
      <c r="O38" s="107">
        <f>INGREDIENTS!$D$240*M38</f>
        <v>1.55</v>
      </c>
    </row>
    <row r="39" spans="2:15" x14ac:dyDescent="0.15">
      <c r="B39" s="196" t="s">
        <v>1580</v>
      </c>
      <c r="C39" s="196"/>
      <c r="D39" s="196"/>
      <c r="E39" s="196"/>
      <c r="G39" s="196" t="s">
        <v>1580</v>
      </c>
      <c r="H39" s="196"/>
      <c r="I39" s="196"/>
      <c r="J39" s="196"/>
      <c r="L39" s="196" t="s">
        <v>1580</v>
      </c>
      <c r="M39" s="196"/>
      <c r="N39" s="196"/>
      <c r="O39" s="196"/>
    </row>
    <row r="40" spans="2:15" x14ac:dyDescent="0.15">
      <c r="B40" s="108" t="s">
        <v>1602</v>
      </c>
      <c r="C40" s="106">
        <v>0.22</v>
      </c>
      <c r="D40" s="106" t="s">
        <v>183</v>
      </c>
      <c r="E40" s="107">
        <f>INGREDIENTS!$D$273*C40</f>
        <v>1.111</v>
      </c>
      <c r="G40" s="108" t="s">
        <v>1602</v>
      </c>
      <c r="H40" s="106">
        <v>0.08</v>
      </c>
      <c r="I40" s="106" t="s">
        <v>183</v>
      </c>
      <c r="J40" s="107">
        <f>INGREDIENTS!$D$273*H40</f>
        <v>0.40399999999999997</v>
      </c>
      <c r="L40" s="108" t="s">
        <v>1602</v>
      </c>
      <c r="M40" s="106">
        <v>0.08</v>
      </c>
      <c r="N40" s="106" t="s">
        <v>183</v>
      </c>
      <c r="O40" s="107">
        <f>INGREDIENTS!$D$273*M40</f>
        <v>0.40399999999999997</v>
      </c>
    </row>
    <row r="41" spans="2:15" x14ac:dyDescent="0.15">
      <c r="B41" s="108" t="s">
        <v>1595</v>
      </c>
      <c r="C41" s="106">
        <v>1.4999999999999999E-2</v>
      </c>
      <c r="D41" s="106" t="s">
        <v>183</v>
      </c>
      <c r="E41" s="107">
        <f>INGREDIENTS!$D$225*C41</f>
        <v>0.54749999999999999</v>
      </c>
      <c r="G41" s="108" t="s">
        <v>1595</v>
      </c>
      <c r="H41" s="106">
        <v>1.4999999999999999E-2</v>
      </c>
      <c r="I41" s="106" t="s">
        <v>183</v>
      </c>
      <c r="J41" s="107">
        <f>INGREDIENTS!$D$225*H41</f>
        <v>0.54749999999999999</v>
      </c>
      <c r="L41" s="108" t="s">
        <v>1595</v>
      </c>
      <c r="M41" s="106">
        <v>1.4999999999999999E-2</v>
      </c>
      <c r="N41" s="106" t="s">
        <v>183</v>
      </c>
      <c r="O41" s="107">
        <f>INGREDIENTS!$D$225*M41</f>
        <v>0.54749999999999999</v>
      </c>
    </row>
    <row r="42" spans="2:15" x14ac:dyDescent="0.15">
      <c r="B42" s="108" t="s">
        <v>1487</v>
      </c>
      <c r="C42" s="106">
        <v>0.25</v>
      </c>
      <c r="D42" s="106" t="s">
        <v>183</v>
      </c>
      <c r="E42" s="107">
        <f>INGREDIENTS!$D$228*C42</f>
        <v>2.4750000000000001</v>
      </c>
      <c r="G42" s="108" t="s">
        <v>1487</v>
      </c>
      <c r="H42" s="106">
        <v>0.02</v>
      </c>
      <c r="I42" s="106" t="s">
        <v>183</v>
      </c>
      <c r="J42" s="107">
        <f>INGREDIENTS!$D$228*H42</f>
        <v>0.19800000000000001</v>
      </c>
      <c r="L42" s="108" t="s">
        <v>1487</v>
      </c>
      <c r="M42" s="106">
        <v>0.02</v>
      </c>
      <c r="N42" s="106" t="s">
        <v>183</v>
      </c>
      <c r="O42" s="107">
        <f>INGREDIENTS!$D$228*M42</f>
        <v>0.19800000000000001</v>
      </c>
    </row>
    <row r="43" spans="2:15" x14ac:dyDescent="0.15">
      <c r="B43" s="106" t="s">
        <v>1513</v>
      </c>
      <c r="C43" s="106">
        <v>5.0000000000000001E-3</v>
      </c>
      <c r="D43" s="106" t="s">
        <v>183</v>
      </c>
      <c r="E43" s="107">
        <v>0.1</v>
      </c>
      <c r="G43" s="106" t="s">
        <v>1513</v>
      </c>
      <c r="H43" s="106">
        <v>5.0000000000000001E-3</v>
      </c>
      <c r="I43" s="106" t="s">
        <v>183</v>
      </c>
      <c r="J43" s="107">
        <v>0.1</v>
      </c>
      <c r="L43" s="106" t="s">
        <v>1513</v>
      </c>
      <c r="M43" s="106">
        <v>5.0000000000000001E-3</v>
      </c>
      <c r="N43" s="106" t="s">
        <v>183</v>
      </c>
      <c r="O43" s="107">
        <v>0.1</v>
      </c>
    </row>
    <row r="44" spans="2:15" x14ac:dyDescent="0.15">
      <c r="B44" s="196" t="s">
        <v>1581</v>
      </c>
      <c r="C44" s="196"/>
      <c r="D44" s="196"/>
      <c r="E44" s="196"/>
      <c r="G44" s="196" t="s">
        <v>1581</v>
      </c>
      <c r="H44" s="196"/>
      <c r="I44" s="196"/>
      <c r="J44" s="196"/>
      <c r="L44" s="196" t="s">
        <v>1581</v>
      </c>
      <c r="M44" s="196"/>
      <c r="N44" s="196"/>
      <c r="O44" s="196"/>
    </row>
    <row r="45" spans="2:15" x14ac:dyDescent="0.15">
      <c r="B45" s="106" t="s">
        <v>1484</v>
      </c>
      <c r="C45" s="106">
        <v>3</v>
      </c>
      <c r="D45" s="106" t="s">
        <v>1486</v>
      </c>
      <c r="E45" s="107">
        <f>INGREDIENTS!$F$112*C45</f>
        <v>1.59</v>
      </c>
      <c r="G45" s="106" t="s">
        <v>1484</v>
      </c>
      <c r="H45" s="106">
        <v>3</v>
      </c>
      <c r="I45" s="106" t="s">
        <v>1486</v>
      </c>
      <c r="J45" s="107">
        <f>INGREDIENTS!$F$112*H45</f>
        <v>1.59</v>
      </c>
      <c r="L45" s="106" t="s">
        <v>1484</v>
      </c>
      <c r="M45" s="106">
        <v>3</v>
      </c>
      <c r="N45" s="106" t="s">
        <v>1486</v>
      </c>
      <c r="O45" s="107">
        <f>INGREDIENTS!$F$112*M45</f>
        <v>1.59</v>
      </c>
    </row>
    <row r="46" spans="2:15" x14ac:dyDescent="0.15">
      <c r="B46" s="108" t="s">
        <v>1382</v>
      </c>
      <c r="C46" s="106">
        <v>150</v>
      </c>
      <c r="D46" s="108" t="s">
        <v>1165</v>
      </c>
      <c r="E46" s="107">
        <f>INGREDIENTS!$F$38*C46</f>
        <v>2.1390000000000002</v>
      </c>
      <c r="G46" s="108" t="s">
        <v>1382</v>
      </c>
      <c r="H46" s="106">
        <v>120</v>
      </c>
      <c r="I46" s="108" t="s">
        <v>1165</v>
      </c>
      <c r="J46" s="107">
        <f>INGREDIENTS!$F$38*H46</f>
        <v>1.7112000000000001</v>
      </c>
      <c r="L46" s="108" t="s">
        <v>1382</v>
      </c>
      <c r="M46" s="106">
        <v>120</v>
      </c>
      <c r="N46" s="108" t="s">
        <v>1165</v>
      </c>
      <c r="O46" s="107">
        <f>INGREDIENTS!$F$38*M46</f>
        <v>1.7112000000000001</v>
      </c>
    </row>
    <row r="47" spans="2:15" x14ac:dyDescent="0.15">
      <c r="B47" s="108" t="s">
        <v>1511</v>
      </c>
      <c r="C47" s="106">
        <v>180</v>
      </c>
      <c r="D47" s="108" t="s">
        <v>1165</v>
      </c>
      <c r="E47" s="107" t="e">
        <f>INGREDIENTS!#REF!*C47</f>
        <v>#REF!</v>
      </c>
      <c r="G47" s="108" t="s">
        <v>1511</v>
      </c>
      <c r="H47" s="106">
        <v>120</v>
      </c>
      <c r="I47" s="108" t="s">
        <v>1165</v>
      </c>
      <c r="J47" s="107" t="e">
        <f>INGREDIENTS!#REF!*H47</f>
        <v>#REF!</v>
      </c>
      <c r="L47" s="108" t="s">
        <v>1511</v>
      </c>
      <c r="M47" s="106">
        <v>120</v>
      </c>
      <c r="N47" s="108" t="s">
        <v>1165</v>
      </c>
      <c r="O47" s="107" t="e">
        <f>INGREDIENTS!#REF!*M47</f>
        <v>#REF!</v>
      </c>
    </row>
    <row r="48" spans="2:15" x14ac:dyDescent="0.15">
      <c r="B48" s="196" t="s">
        <v>1583</v>
      </c>
      <c r="C48" s="196"/>
      <c r="D48" s="196"/>
      <c r="E48" s="196"/>
      <c r="G48" s="196" t="s">
        <v>1583</v>
      </c>
      <c r="H48" s="196"/>
      <c r="I48" s="196"/>
      <c r="J48" s="196"/>
      <c r="L48" s="196" t="s">
        <v>1583</v>
      </c>
      <c r="M48" s="196"/>
      <c r="N48" s="196"/>
      <c r="O48" s="196"/>
    </row>
    <row r="49" spans="2:15" x14ac:dyDescent="0.15">
      <c r="B49" s="108" t="s">
        <v>1596</v>
      </c>
      <c r="C49" s="106">
        <v>0.05</v>
      </c>
      <c r="D49" s="108" t="s">
        <v>1486</v>
      </c>
      <c r="E49" s="107">
        <f>INGREDIENTS!$D$237*C49</f>
        <v>1.0250000000000001</v>
      </c>
      <c r="G49" s="108" t="s">
        <v>1596</v>
      </c>
      <c r="H49" s="106">
        <v>0.05</v>
      </c>
      <c r="I49" s="108" t="s">
        <v>1486</v>
      </c>
      <c r="J49" s="107">
        <f>INGREDIENTS!$D$237*H49</f>
        <v>1.0250000000000001</v>
      </c>
      <c r="L49" s="108" t="s">
        <v>1596</v>
      </c>
      <c r="M49" s="106">
        <v>0.05</v>
      </c>
      <c r="N49" s="108" t="s">
        <v>1486</v>
      </c>
      <c r="O49" s="107">
        <f>INGREDIENTS!$D$237*M49</f>
        <v>1.0250000000000001</v>
      </c>
    </row>
    <row r="50" spans="2:15" x14ac:dyDescent="0.15">
      <c r="B50" s="108" t="s">
        <v>1585</v>
      </c>
      <c r="C50" s="106">
        <v>0.05</v>
      </c>
      <c r="D50" s="106" t="s">
        <v>183</v>
      </c>
      <c r="E50" s="107">
        <f>INGREDIENTS!$D$235*C50</f>
        <v>1.125</v>
      </c>
      <c r="G50" s="108" t="s">
        <v>1585</v>
      </c>
      <c r="H50" s="106">
        <v>0.05</v>
      </c>
      <c r="I50" s="106" t="s">
        <v>183</v>
      </c>
      <c r="J50" s="107">
        <f>INGREDIENTS!$D$235*H50</f>
        <v>1.125</v>
      </c>
      <c r="L50" s="108" t="s">
        <v>1585</v>
      </c>
      <c r="M50" s="106">
        <v>0.05</v>
      </c>
      <c r="N50" s="106" t="s">
        <v>183</v>
      </c>
      <c r="O50" s="107">
        <f>INGREDIENTS!$D$235*M50</f>
        <v>1.125</v>
      </c>
    </row>
    <row r="51" spans="2:15" x14ac:dyDescent="0.15">
      <c r="B51" s="196" t="s">
        <v>1586</v>
      </c>
      <c r="C51" s="196"/>
      <c r="D51" s="196"/>
      <c r="E51" s="196"/>
      <c r="G51" s="196" t="s">
        <v>1586</v>
      </c>
      <c r="H51" s="196"/>
      <c r="I51" s="196"/>
      <c r="J51" s="196"/>
      <c r="L51" s="196" t="s">
        <v>1586</v>
      </c>
      <c r="M51" s="196"/>
      <c r="N51" s="196"/>
      <c r="O51" s="196"/>
    </row>
    <row r="52" spans="2:15" x14ac:dyDescent="0.15">
      <c r="B52" s="196" t="s">
        <v>1587</v>
      </c>
      <c r="C52" s="196"/>
      <c r="D52" s="196"/>
      <c r="E52" s="196"/>
      <c r="G52" s="196" t="s">
        <v>1587</v>
      </c>
      <c r="H52" s="196"/>
      <c r="I52" s="196"/>
      <c r="J52" s="196"/>
      <c r="L52" s="196" t="s">
        <v>1587</v>
      </c>
      <c r="M52" s="196"/>
      <c r="N52" s="196"/>
      <c r="O52" s="196"/>
    </row>
    <row r="53" spans="2:15" x14ac:dyDescent="0.15">
      <c r="B53" s="196" t="s">
        <v>1588</v>
      </c>
      <c r="C53" s="196"/>
      <c r="D53" s="196"/>
      <c r="E53" s="196"/>
      <c r="G53" s="196" t="s">
        <v>1588</v>
      </c>
      <c r="H53" s="196"/>
      <c r="I53" s="196"/>
      <c r="J53" s="196"/>
      <c r="L53" s="196" t="s">
        <v>1588</v>
      </c>
      <c r="M53" s="196"/>
      <c r="N53" s="196"/>
      <c r="O53" s="196"/>
    </row>
    <row r="54" spans="2:15" x14ac:dyDescent="0.15">
      <c r="B54" s="196" t="s">
        <v>1589</v>
      </c>
      <c r="C54" s="196"/>
      <c r="D54" s="196"/>
      <c r="E54" s="196"/>
      <c r="G54" s="196" t="s">
        <v>1589</v>
      </c>
      <c r="H54" s="196"/>
      <c r="I54" s="196"/>
      <c r="J54" s="196"/>
      <c r="L54" s="196" t="s">
        <v>1589</v>
      </c>
      <c r="M54" s="196"/>
      <c r="N54" s="196"/>
      <c r="O54" s="196"/>
    </row>
    <row r="55" spans="2:15" x14ac:dyDescent="0.15">
      <c r="B55" s="108" t="s">
        <v>1524</v>
      </c>
      <c r="C55" s="106">
        <v>2.5000000000000001E-2</v>
      </c>
      <c r="D55" s="108" t="s">
        <v>183</v>
      </c>
      <c r="E55" s="107">
        <f>INGREDIENTS!$D$233*C55</f>
        <v>0.14499999999999999</v>
      </c>
      <c r="G55" s="108" t="s">
        <v>1524</v>
      </c>
      <c r="H55" s="106">
        <v>2.5000000000000001E-2</v>
      </c>
      <c r="I55" s="108" t="s">
        <v>183</v>
      </c>
      <c r="J55" s="107">
        <f>INGREDIENTS!$D$233*H55</f>
        <v>0.14499999999999999</v>
      </c>
      <c r="L55" s="108" t="s">
        <v>1524</v>
      </c>
      <c r="M55" s="106">
        <v>2.5000000000000001E-2</v>
      </c>
      <c r="N55" s="108" t="s">
        <v>183</v>
      </c>
      <c r="O55" s="107">
        <f>INGREDIENTS!$D$233*M55</f>
        <v>0.14499999999999999</v>
      </c>
    </row>
    <row r="56" spans="2:15" x14ac:dyDescent="0.15">
      <c r="B56" s="136"/>
      <c r="C56" s="98"/>
      <c r="D56" s="136" t="s">
        <v>1490</v>
      </c>
      <c r="E56" s="114" t="e">
        <f>SUM(E37:E55)</f>
        <v>#REF!</v>
      </c>
      <c r="G56" s="136"/>
      <c r="H56" s="98"/>
      <c r="I56" s="136" t="s">
        <v>1490</v>
      </c>
      <c r="J56" s="114" t="e">
        <f>SUM(J37:J55)</f>
        <v>#REF!</v>
      </c>
      <c r="L56" s="136"/>
      <c r="M56" s="98"/>
      <c r="N56" s="136" t="s">
        <v>1490</v>
      </c>
      <c r="O56" s="114" t="e">
        <f>SUM(O37:O55)</f>
        <v>#REF!</v>
      </c>
    </row>
    <row r="57" spans="2:15" x14ac:dyDescent="0.15">
      <c r="B57" s="136"/>
      <c r="C57" s="98"/>
      <c r="D57" s="136" t="s">
        <v>1590</v>
      </c>
      <c r="E57" s="135">
        <v>12</v>
      </c>
      <c r="G57" s="136"/>
      <c r="H57" s="98"/>
      <c r="I57" s="136" t="s">
        <v>1590</v>
      </c>
      <c r="J57" s="135">
        <v>24</v>
      </c>
      <c r="L57" s="136"/>
      <c r="M57" s="98"/>
      <c r="N57" s="136" t="s">
        <v>1590</v>
      </c>
      <c r="O57" s="135">
        <v>48</v>
      </c>
    </row>
    <row r="58" spans="2:15" x14ac:dyDescent="0.15">
      <c r="B58" s="136"/>
      <c r="C58" s="98"/>
      <c r="D58" s="136" t="s">
        <v>1592</v>
      </c>
      <c r="E58" s="150" t="e">
        <f>E56/E57</f>
        <v>#REF!</v>
      </c>
      <c r="G58" s="136"/>
      <c r="H58" s="98"/>
      <c r="I58" s="136" t="s">
        <v>1592</v>
      </c>
      <c r="J58" s="150" t="e">
        <f>J56/J57</f>
        <v>#REF!</v>
      </c>
      <c r="L58" s="136"/>
      <c r="M58" s="98"/>
      <c r="N58" s="136" t="s">
        <v>1592</v>
      </c>
      <c r="O58" s="150" t="e">
        <f>O56/O57</f>
        <v>#REF!</v>
      </c>
    </row>
    <row r="59" spans="2:15" x14ac:dyDescent="0.15">
      <c r="B59" s="133" t="s">
        <v>1495</v>
      </c>
      <c r="C59" s="146" t="s">
        <v>1494</v>
      </c>
      <c r="D59" s="147" t="s">
        <v>1496</v>
      </c>
      <c r="E59" s="133" t="s">
        <v>1591</v>
      </c>
      <c r="G59" s="133" t="s">
        <v>1495</v>
      </c>
      <c r="H59" s="146" t="s">
        <v>1494</v>
      </c>
      <c r="I59" s="147" t="s">
        <v>1496</v>
      </c>
      <c r="J59" s="133" t="s">
        <v>1591</v>
      </c>
      <c r="L59" s="133" t="s">
        <v>1495</v>
      </c>
      <c r="M59" s="146" t="s">
        <v>1494</v>
      </c>
      <c r="N59" s="147" t="s">
        <v>1496</v>
      </c>
      <c r="O59" s="133" t="s">
        <v>1591</v>
      </c>
    </row>
    <row r="60" spans="2:15" x14ac:dyDescent="0.15">
      <c r="B60" s="149" t="e">
        <f>E60*E57</f>
        <v>#REF!</v>
      </c>
      <c r="C60" s="114">
        <v>5.8</v>
      </c>
      <c r="D60" s="132" t="e">
        <f>E58/C60</f>
        <v>#REF!</v>
      </c>
      <c r="E60" s="149" t="e">
        <f>C60-E58</f>
        <v>#REF!</v>
      </c>
      <c r="G60" s="149" t="e">
        <f>J60*J57</f>
        <v>#REF!</v>
      </c>
      <c r="H60" s="114">
        <v>3</v>
      </c>
      <c r="I60" s="132" t="e">
        <f>J58/H60</f>
        <v>#REF!</v>
      </c>
      <c r="J60" s="149" t="e">
        <f>H60-J58</f>
        <v>#REF!</v>
      </c>
      <c r="L60" s="149" t="e">
        <f>O60*O57</f>
        <v>#REF!</v>
      </c>
      <c r="M60" s="114">
        <v>2.5</v>
      </c>
      <c r="N60" s="132" t="e">
        <f>O58/M60</f>
        <v>#REF!</v>
      </c>
      <c r="O60" s="149" t="e">
        <f>M60-O58</f>
        <v>#REF!</v>
      </c>
    </row>
    <row r="61" spans="2:15" x14ac:dyDescent="0.15">
      <c r="B61" s="149" t="e">
        <f>E61*E57</f>
        <v>#REF!</v>
      </c>
      <c r="C61" s="114">
        <v>4.8</v>
      </c>
      <c r="D61" s="132" t="e">
        <f>E58/C61</f>
        <v>#REF!</v>
      </c>
      <c r="E61" s="149" t="e">
        <f>C61-E58</f>
        <v>#REF!</v>
      </c>
      <c r="G61" s="149" t="e">
        <f>J61*J57</f>
        <v>#REF!</v>
      </c>
      <c r="H61" s="114">
        <v>2.5</v>
      </c>
      <c r="I61" s="132" t="e">
        <f>J58/H61</f>
        <v>#REF!</v>
      </c>
      <c r="J61" s="149" t="e">
        <f>H61-J58</f>
        <v>#REF!</v>
      </c>
      <c r="L61" s="149" t="e">
        <f>O61*O57</f>
        <v>#REF!</v>
      </c>
      <c r="M61" s="114">
        <v>2</v>
      </c>
      <c r="N61" s="132" t="e">
        <f>O58/M61</f>
        <v>#REF!</v>
      </c>
      <c r="O61" s="149" t="e">
        <f>M61-O58</f>
        <v>#REF!</v>
      </c>
    </row>
    <row r="64" spans="2:15" x14ac:dyDescent="0.15">
      <c r="B64" s="192" t="s">
        <v>1597</v>
      </c>
      <c r="C64" s="184"/>
      <c r="D64" s="184"/>
      <c r="E64" s="184"/>
      <c r="G64" s="192" t="s">
        <v>1597</v>
      </c>
      <c r="H64" s="184"/>
      <c r="I64" s="184"/>
      <c r="J64" s="184"/>
    </row>
    <row r="65" spans="2:10" x14ac:dyDescent="0.15">
      <c r="B65" s="184"/>
      <c r="C65" s="184"/>
      <c r="D65" s="184"/>
      <c r="E65" s="184"/>
      <c r="G65" s="184"/>
      <c r="H65" s="184"/>
      <c r="I65" s="184"/>
      <c r="J65" s="184"/>
    </row>
    <row r="66" spans="2:10" ht="20" x14ac:dyDescent="0.2">
      <c r="B66" s="199" t="s">
        <v>1652</v>
      </c>
      <c r="C66" s="199"/>
      <c r="D66" s="199"/>
      <c r="E66" s="199"/>
      <c r="G66" s="199" t="s">
        <v>1653</v>
      </c>
      <c r="H66" s="199"/>
      <c r="I66" s="199"/>
      <c r="J66" s="199"/>
    </row>
    <row r="67" spans="2:10" x14ac:dyDescent="0.15">
      <c r="B67" s="191"/>
      <c r="C67" s="191"/>
      <c r="D67" s="191"/>
      <c r="E67" s="191"/>
      <c r="G67" s="191"/>
      <c r="H67" s="191"/>
      <c r="I67" s="191"/>
      <c r="J67" s="191"/>
    </row>
    <row r="68" spans="2:10" ht="16" x14ac:dyDescent="0.2">
      <c r="B68" s="119" t="s">
        <v>1122</v>
      </c>
      <c r="C68" s="119" t="s">
        <v>1123</v>
      </c>
      <c r="D68" s="119" t="s">
        <v>1124</v>
      </c>
      <c r="E68" s="134" t="s">
        <v>1489</v>
      </c>
      <c r="G68" s="119" t="s">
        <v>1122</v>
      </c>
      <c r="H68" s="119" t="s">
        <v>1123</v>
      </c>
      <c r="I68" s="119" t="s">
        <v>1124</v>
      </c>
      <c r="J68" s="134" t="s">
        <v>1489</v>
      </c>
    </row>
    <row r="69" spans="2:10" x14ac:dyDescent="0.15">
      <c r="B69" s="196" t="s">
        <v>1582</v>
      </c>
      <c r="C69" s="196"/>
      <c r="D69" s="196"/>
      <c r="E69" s="196"/>
      <c r="G69" s="196" t="s">
        <v>1582</v>
      </c>
      <c r="H69" s="196"/>
      <c r="I69" s="196"/>
      <c r="J69" s="196"/>
    </row>
    <row r="70" spans="2:10" x14ac:dyDescent="0.15">
      <c r="B70" s="108" t="s">
        <v>1578</v>
      </c>
      <c r="C70" s="106">
        <v>0.35</v>
      </c>
      <c r="D70" s="106" t="s">
        <v>183</v>
      </c>
      <c r="E70" s="107">
        <f>INGREDIENTS!$D$240*C70</f>
        <v>2.17</v>
      </c>
      <c r="G70" s="108" t="s">
        <v>1578</v>
      </c>
      <c r="H70" s="106">
        <v>0.35</v>
      </c>
      <c r="I70" s="106" t="s">
        <v>183</v>
      </c>
      <c r="J70" s="107">
        <f>INGREDIENTS!$D$240*H70</f>
        <v>2.17</v>
      </c>
    </row>
    <row r="71" spans="2:10" x14ac:dyDescent="0.15">
      <c r="B71" s="196" t="s">
        <v>1580</v>
      </c>
      <c r="C71" s="196"/>
      <c r="D71" s="196"/>
      <c r="E71" s="196"/>
      <c r="G71" s="196" t="s">
        <v>1580</v>
      </c>
      <c r="H71" s="196"/>
      <c r="I71" s="196"/>
      <c r="J71" s="196"/>
    </row>
    <row r="72" spans="2:10" x14ac:dyDescent="0.15">
      <c r="B72" s="108" t="s">
        <v>1602</v>
      </c>
      <c r="C72" s="106">
        <v>0.2</v>
      </c>
      <c r="D72" s="106" t="s">
        <v>183</v>
      </c>
      <c r="E72" s="107">
        <f>INGREDIENTS!$D$273*C72</f>
        <v>1.01</v>
      </c>
      <c r="G72" s="108" t="s">
        <v>1602</v>
      </c>
      <c r="H72" s="106">
        <v>0.2</v>
      </c>
      <c r="I72" s="106" t="s">
        <v>183</v>
      </c>
      <c r="J72" s="107">
        <f>INGREDIENTS!$D$273*H72</f>
        <v>1.01</v>
      </c>
    </row>
    <row r="73" spans="2:10" x14ac:dyDescent="0.15">
      <c r="B73" s="108" t="s">
        <v>1487</v>
      </c>
      <c r="C73" s="106">
        <v>0.03</v>
      </c>
      <c r="D73" s="106" t="s">
        <v>183</v>
      </c>
      <c r="E73" s="107">
        <f>INGREDIENTS!$D$228*C73</f>
        <v>0.29699999999999999</v>
      </c>
      <c r="G73" s="108" t="s">
        <v>1487</v>
      </c>
      <c r="H73" s="106">
        <v>0.03</v>
      </c>
      <c r="I73" s="106" t="s">
        <v>183</v>
      </c>
      <c r="J73" s="107">
        <f>INGREDIENTS!$D$228*H73</f>
        <v>0.29699999999999999</v>
      </c>
    </row>
    <row r="74" spans="2:10" x14ac:dyDescent="0.15">
      <c r="B74" s="106" t="s">
        <v>1513</v>
      </c>
      <c r="C74" s="106">
        <v>5.0000000000000001E-3</v>
      </c>
      <c r="D74" s="106" t="s">
        <v>183</v>
      </c>
      <c r="E74" s="107">
        <v>0.1</v>
      </c>
      <c r="G74" s="106" t="s">
        <v>1513</v>
      </c>
      <c r="H74" s="106">
        <v>5.0000000000000001E-3</v>
      </c>
      <c r="I74" s="106" t="s">
        <v>183</v>
      </c>
      <c r="J74" s="107">
        <v>0.1</v>
      </c>
    </row>
    <row r="75" spans="2:10" x14ac:dyDescent="0.15">
      <c r="B75" s="196" t="s">
        <v>1581</v>
      </c>
      <c r="C75" s="196"/>
      <c r="D75" s="196"/>
      <c r="E75" s="196"/>
      <c r="G75" s="196" t="s">
        <v>1581</v>
      </c>
      <c r="H75" s="196"/>
      <c r="I75" s="196"/>
      <c r="J75" s="196"/>
    </row>
    <row r="76" spans="2:10" x14ac:dyDescent="0.15">
      <c r="B76" s="106" t="s">
        <v>1484</v>
      </c>
      <c r="C76" s="106">
        <v>3</v>
      </c>
      <c r="D76" s="106" t="s">
        <v>1486</v>
      </c>
      <c r="E76" s="107">
        <f>INGREDIENTS!$F$112*C76</f>
        <v>1.59</v>
      </c>
      <c r="G76" s="106" t="s">
        <v>1484</v>
      </c>
      <c r="H76" s="106">
        <v>3</v>
      </c>
      <c r="I76" s="106" t="s">
        <v>1486</v>
      </c>
      <c r="J76" s="107">
        <f>INGREDIENTS!$F$112*H76</f>
        <v>1.59</v>
      </c>
    </row>
    <row r="77" spans="2:10" x14ac:dyDescent="0.15">
      <c r="B77" s="108" t="s">
        <v>1382</v>
      </c>
      <c r="C77" s="106">
        <v>150</v>
      </c>
      <c r="D77" s="108" t="s">
        <v>1165</v>
      </c>
      <c r="E77" s="107">
        <f>INGREDIENTS!$F$38*C77</f>
        <v>2.1390000000000002</v>
      </c>
      <c r="G77" s="108" t="s">
        <v>1382</v>
      </c>
      <c r="H77" s="106">
        <v>150</v>
      </c>
      <c r="I77" s="108" t="s">
        <v>1165</v>
      </c>
      <c r="J77" s="107">
        <f>INGREDIENTS!$F$38*H77</f>
        <v>2.1390000000000002</v>
      </c>
    </row>
    <row r="78" spans="2:10" x14ac:dyDescent="0.15">
      <c r="B78" s="108" t="s">
        <v>1511</v>
      </c>
      <c r="C78" s="106">
        <v>180</v>
      </c>
      <c r="D78" s="108" t="s">
        <v>1165</v>
      </c>
      <c r="E78" s="107" t="e">
        <f>INGREDIENTS!#REF!*C78</f>
        <v>#REF!</v>
      </c>
      <c r="G78" s="108" t="s">
        <v>1511</v>
      </c>
      <c r="H78" s="106">
        <v>180</v>
      </c>
      <c r="I78" s="108" t="s">
        <v>1165</v>
      </c>
      <c r="J78" s="107" t="e">
        <f>INGREDIENTS!#REF!*H78</f>
        <v>#REF!</v>
      </c>
    </row>
    <row r="79" spans="2:10" x14ac:dyDescent="0.15">
      <c r="B79" s="196" t="s">
        <v>1583</v>
      </c>
      <c r="C79" s="196"/>
      <c r="D79" s="196"/>
      <c r="E79" s="196"/>
      <c r="G79" s="196" t="s">
        <v>1583</v>
      </c>
      <c r="H79" s="196"/>
      <c r="I79" s="196"/>
      <c r="J79" s="196"/>
    </row>
    <row r="80" spans="2:10" x14ac:dyDescent="0.15">
      <c r="B80" s="108" t="s">
        <v>1651</v>
      </c>
      <c r="C80" s="106">
        <v>0.1</v>
      </c>
      <c r="D80" s="108" t="s">
        <v>183</v>
      </c>
      <c r="E80" s="107">
        <f>INGREDIENTS!$D$270*C80</f>
        <v>2.3000000000000003</v>
      </c>
      <c r="G80" s="108" t="s">
        <v>1584</v>
      </c>
      <c r="H80" s="106">
        <v>2</v>
      </c>
      <c r="I80" s="108" t="s">
        <v>1486</v>
      </c>
      <c r="J80" s="107" t="e">
        <f>INGREDIENTS!#REF!*H80</f>
        <v>#REF!</v>
      </c>
    </row>
    <row r="81" spans="2:10" x14ac:dyDescent="0.15">
      <c r="B81" s="108" t="s">
        <v>1654</v>
      </c>
      <c r="C81" s="106">
        <v>0.06</v>
      </c>
      <c r="D81" s="108" t="s">
        <v>1486</v>
      </c>
      <c r="E81" s="107">
        <f>INGREDIENTS!$D$237*C81</f>
        <v>1.23</v>
      </c>
      <c r="G81" s="108" t="s">
        <v>1654</v>
      </c>
      <c r="H81" s="106">
        <v>0.06</v>
      </c>
      <c r="I81" s="108" t="s">
        <v>1486</v>
      </c>
      <c r="J81" s="107">
        <f>INGREDIENTS!$D$237*H81</f>
        <v>1.23</v>
      </c>
    </row>
    <row r="82" spans="2:10" x14ac:dyDescent="0.15">
      <c r="B82" s="196" t="s">
        <v>1586</v>
      </c>
      <c r="C82" s="196"/>
      <c r="D82" s="196"/>
      <c r="E82" s="196"/>
      <c r="G82" s="196" t="s">
        <v>1586</v>
      </c>
      <c r="H82" s="196"/>
      <c r="I82" s="196"/>
      <c r="J82" s="196"/>
    </row>
    <row r="83" spans="2:10" x14ac:dyDescent="0.15">
      <c r="B83" s="196" t="s">
        <v>1587</v>
      </c>
      <c r="C83" s="196"/>
      <c r="D83" s="196"/>
      <c r="E83" s="196"/>
      <c r="G83" s="196" t="s">
        <v>1587</v>
      </c>
      <c r="H83" s="196"/>
      <c r="I83" s="196"/>
      <c r="J83" s="196"/>
    </row>
    <row r="84" spans="2:10" x14ac:dyDescent="0.15">
      <c r="B84" s="196" t="s">
        <v>1588</v>
      </c>
      <c r="C84" s="196"/>
      <c r="D84" s="196"/>
      <c r="E84" s="196"/>
      <c r="G84" s="196" t="s">
        <v>1588</v>
      </c>
      <c r="H84" s="196"/>
      <c r="I84" s="196"/>
      <c r="J84" s="196"/>
    </row>
    <row r="85" spans="2:10" x14ac:dyDescent="0.15">
      <c r="B85" s="196" t="s">
        <v>1589</v>
      </c>
      <c r="C85" s="196"/>
      <c r="D85" s="196"/>
      <c r="E85" s="196"/>
      <c r="G85" s="196" t="s">
        <v>1589</v>
      </c>
      <c r="H85" s="196"/>
      <c r="I85" s="196"/>
      <c r="J85" s="196"/>
    </row>
    <row r="86" spans="2:10" x14ac:dyDescent="0.15">
      <c r="B86" s="108" t="s">
        <v>1524</v>
      </c>
      <c r="C86" s="106">
        <v>2.5000000000000001E-2</v>
      </c>
      <c r="D86" s="108" t="s">
        <v>183</v>
      </c>
      <c r="E86" s="107">
        <f>INGREDIENTS!$D$233*C86</f>
        <v>0.14499999999999999</v>
      </c>
      <c r="G86" s="108" t="s">
        <v>1524</v>
      </c>
      <c r="H86" s="106">
        <v>2.5000000000000001E-2</v>
      </c>
      <c r="I86" s="108" t="s">
        <v>183</v>
      </c>
      <c r="J86" s="107">
        <f>INGREDIENTS!$D$233*H86</f>
        <v>0.14499999999999999</v>
      </c>
    </row>
    <row r="87" spans="2:10" x14ac:dyDescent="0.15">
      <c r="B87" s="136"/>
      <c r="C87" s="98"/>
      <c r="D87" s="136" t="s">
        <v>1490</v>
      </c>
      <c r="E87" s="114" t="e">
        <f>SUM(E69:E86)</f>
        <v>#REF!</v>
      </c>
      <c r="G87" s="136"/>
      <c r="H87" s="98"/>
      <c r="I87" s="136" t="s">
        <v>1490</v>
      </c>
      <c r="J87" s="114" t="e">
        <f>SUM(J69:J86)</f>
        <v>#REF!</v>
      </c>
    </row>
    <row r="88" spans="2:10" x14ac:dyDescent="0.15">
      <c r="B88" s="136"/>
      <c r="C88" s="98"/>
      <c r="D88" s="136" t="s">
        <v>1590</v>
      </c>
      <c r="E88" s="135">
        <v>12</v>
      </c>
      <c r="G88" s="136"/>
      <c r="H88" s="98"/>
      <c r="I88" s="136" t="s">
        <v>1590</v>
      </c>
      <c r="J88" s="135">
        <v>12</v>
      </c>
    </row>
    <row r="89" spans="2:10" x14ac:dyDescent="0.15">
      <c r="B89" s="136"/>
      <c r="C89" s="98"/>
      <c r="D89" s="136" t="s">
        <v>1592</v>
      </c>
      <c r="E89" s="150" t="e">
        <f>E87/E88</f>
        <v>#REF!</v>
      </c>
      <c r="G89" s="136"/>
      <c r="H89" s="98"/>
      <c r="I89" s="136" t="s">
        <v>1592</v>
      </c>
      <c r="J89" s="150" t="e">
        <f>J87/J88</f>
        <v>#REF!</v>
      </c>
    </row>
    <row r="90" spans="2:10" x14ac:dyDescent="0.15">
      <c r="B90" s="133" t="s">
        <v>1495</v>
      </c>
      <c r="C90" s="146" t="s">
        <v>1494</v>
      </c>
      <c r="D90" s="147" t="s">
        <v>1496</v>
      </c>
      <c r="E90" s="133" t="s">
        <v>1591</v>
      </c>
      <c r="G90" s="133" t="s">
        <v>1495</v>
      </c>
      <c r="H90" s="146" t="s">
        <v>1494</v>
      </c>
      <c r="I90" s="147" t="s">
        <v>1496</v>
      </c>
      <c r="J90" s="133" t="s">
        <v>1591</v>
      </c>
    </row>
    <row r="91" spans="2:10" x14ac:dyDescent="0.15">
      <c r="B91" s="149" t="e">
        <f>E91*E88</f>
        <v>#REF!</v>
      </c>
      <c r="C91" s="114">
        <v>5.8</v>
      </c>
      <c r="D91" s="132" t="e">
        <f>E89/C91</f>
        <v>#REF!</v>
      </c>
      <c r="E91" s="149" t="e">
        <f>C91-E89</f>
        <v>#REF!</v>
      </c>
      <c r="G91" s="149" t="e">
        <f>J91*J88</f>
        <v>#REF!</v>
      </c>
      <c r="H91" s="114">
        <v>5.8</v>
      </c>
      <c r="I91" s="132" t="e">
        <f>J89/H91</f>
        <v>#REF!</v>
      </c>
      <c r="J91" s="149" t="e">
        <f>H91-J89</f>
        <v>#REF!</v>
      </c>
    </row>
    <row r="92" spans="2:10" x14ac:dyDescent="0.15">
      <c r="B92" s="149" t="e">
        <f>E92*E88</f>
        <v>#REF!</v>
      </c>
      <c r="C92" s="114">
        <v>4.8</v>
      </c>
      <c r="D92" s="132" t="e">
        <f>E89/C92</f>
        <v>#REF!</v>
      </c>
      <c r="E92" s="149" t="e">
        <f>C92-E89</f>
        <v>#REF!</v>
      </c>
      <c r="G92" s="149" t="e">
        <f>J92*J88</f>
        <v>#REF!</v>
      </c>
      <c r="H92" s="114">
        <v>4.8</v>
      </c>
      <c r="I92" s="132" t="e">
        <f>J89/H92</f>
        <v>#REF!</v>
      </c>
      <c r="J92" s="149" t="e">
        <f>H92-J89</f>
        <v>#REF!</v>
      </c>
    </row>
    <row r="94" spans="2:10" x14ac:dyDescent="0.15">
      <c r="B94" s="192" t="s">
        <v>1597</v>
      </c>
      <c r="C94" s="184"/>
      <c r="D94" s="184"/>
      <c r="E94" s="184"/>
    </row>
    <row r="95" spans="2:10" x14ac:dyDescent="0.15">
      <c r="B95" s="184"/>
      <c r="C95" s="184"/>
      <c r="D95" s="184"/>
      <c r="E95" s="184"/>
    </row>
    <row r="96" spans="2:10" ht="20" x14ac:dyDescent="0.2">
      <c r="B96" s="199" t="s">
        <v>1648</v>
      </c>
      <c r="C96" s="199"/>
      <c r="D96" s="199"/>
      <c r="E96" s="199"/>
    </row>
    <row r="97" spans="2:5" x14ac:dyDescent="0.15">
      <c r="B97" s="191"/>
      <c r="C97" s="191"/>
      <c r="D97" s="191"/>
      <c r="E97" s="191"/>
    </row>
    <row r="98" spans="2:5" ht="16" x14ac:dyDescent="0.2">
      <c r="B98" s="119" t="s">
        <v>1122</v>
      </c>
      <c r="C98" s="119" t="s">
        <v>1123</v>
      </c>
      <c r="D98" s="119" t="s">
        <v>1124</v>
      </c>
      <c r="E98" s="134" t="s">
        <v>1489</v>
      </c>
    </row>
    <row r="99" spans="2:5" x14ac:dyDescent="0.15">
      <c r="B99" s="196" t="s">
        <v>1582</v>
      </c>
      <c r="C99" s="196"/>
      <c r="D99" s="196"/>
      <c r="E99" s="196"/>
    </row>
    <row r="100" spans="2:5" x14ac:dyDescent="0.15">
      <c r="B100" s="108" t="s">
        <v>1578</v>
      </c>
      <c r="C100" s="106">
        <v>0.35</v>
      </c>
      <c r="D100" s="106" t="s">
        <v>183</v>
      </c>
      <c r="E100" s="107">
        <f>INGREDIENTS!$D$240*C100</f>
        <v>2.17</v>
      </c>
    </row>
    <row r="101" spans="2:5" x14ac:dyDescent="0.15">
      <c r="B101" s="196" t="s">
        <v>1580</v>
      </c>
      <c r="C101" s="196"/>
      <c r="D101" s="196"/>
      <c r="E101" s="196"/>
    </row>
    <row r="102" spans="2:5" x14ac:dyDescent="0.15">
      <c r="B102" s="108" t="s">
        <v>1602</v>
      </c>
      <c r="C102" s="106">
        <v>0.2</v>
      </c>
      <c r="D102" s="106" t="s">
        <v>183</v>
      </c>
      <c r="E102" s="107">
        <f>INGREDIENTS!$D$273*C102</f>
        <v>1.01</v>
      </c>
    </row>
    <row r="103" spans="2:5" x14ac:dyDescent="0.15">
      <c r="B103" s="108" t="s">
        <v>1487</v>
      </c>
      <c r="C103" s="106">
        <v>0.03</v>
      </c>
      <c r="D103" s="106" t="s">
        <v>183</v>
      </c>
      <c r="E103" s="107">
        <f>INGREDIENTS!$D$228*C103</f>
        <v>0.29699999999999999</v>
      </c>
    </row>
    <row r="104" spans="2:5" x14ac:dyDescent="0.15">
      <c r="B104" s="106" t="s">
        <v>1513</v>
      </c>
      <c r="C104" s="106">
        <v>5.0000000000000001E-3</v>
      </c>
      <c r="D104" s="106" t="s">
        <v>183</v>
      </c>
      <c r="E104" s="107">
        <v>0.1</v>
      </c>
    </row>
    <row r="105" spans="2:5" x14ac:dyDescent="0.15">
      <c r="B105" s="196" t="s">
        <v>1581</v>
      </c>
      <c r="C105" s="196"/>
      <c r="D105" s="196"/>
      <c r="E105" s="196"/>
    </row>
    <row r="106" spans="2:5" x14ac:dyDescent="0.15">
      <c r="B106" s="106" t="s">
        <v>1484</v>
      </c>
      <c r="C106" s="106">
        <v>3</v>
      </c>
      <c r="D106" s="106" t="s">
        <v>1486</v>
      </c>
      <c r="E106" s="107">
        <f>INGREDIENTS!$F$112*C106</f>
        <v>1.59</v>
      </c>
    </row>
    <row r="107" spans="2:5" x14ac:dyDescent="0.15">
      <c r="B107" s="108" t="s">
        <v>1382</v>
      </c>
      <c r="C107" s="106">
        <v>150</v>
      </c>
      <c r="D107" s="108" t="s">
        <v>1165</v>
      </c>
      <c r="E107" s="107">
        <f>INGREDIENTS!$F$38*C107</f>
        <v>2.1390000000000002</v>
      </c>
    </row>
    <row r="108" spans="2:5" x14ac:dyDescent="0.15">
      <c r="B108" s="108" t="s">
        <v>1511</v>
      </c>
      <c r="C108" s="106">
        <v>180</v>
      </c>
      <c r="D108" s="108" t="s">
        <v>1165</v>
      </c>
      <c r="E108" s="107" t="e">
        <f>INGREDIENTS!#REF!*C108</f>
        <v>#REF!</v>
      </c>
    </row>
    <row r="109" spans="2:5" x14ac:dyDescent="0.15">
      <c r="B109" s="196" t="s">
        <v>1583</v>
      </c>
      <c r="C109" s="196"/>
      <c r="D109" s="196"/>
      <c r="E109" s="196"/>
    </row>
    <row r="110" spans="2:5" x14ac:dyDescent="0.15">
      <c r="B110" s="108" t="s">
        <v>1604</v>
      </c>
      <c r="C110" s="106">
        <v>0.08</v>
      </c>
      <c r="D110" s="108" t="s">
        <v>183</v>
      </c>
      <c r="E110" s="107">
        <f>INGREDIENTS!$D$271*C110</f>
        <v>2.1120000000000001</v>
      </c>
    </row>
    <row r="111" spans="2:5" x14ac:dyDescent="0.15">
      <c r="B111" s="196" t="s">
        <v>1586</v>
      </c>
      <c r="C111" s="196"/>
      <c r="D111" s="196"/>
      <c r="E111" s="196"/>
    </row>
    <row r="112" spans="2:5" x14ac:dyDescent="0.15">
      <c r="B112" s="196" t="s">
        <v>1587</v>
      </c>
      <c r="C112" s="196"/>
      <c r="D112" s="196"/>
      <c r="E112" s="196"/>
    </row>
    <row r="113" spans="2:5" x14ac:dyDescent="0.15">
      <c r="B113" s="196" t="s">
        <v>1588</v>
      </c>
      <c r="C113" s="196"/>
      <c r="D113" s="196"/>
      <c r="E113" s="196"/>
    </row>
    <row r="114" spans="2:5" x14ac:dyDescent="0.15">
      <c r="B114" s="196" t="s">
        <v>1589</v>
      </c>
      <c r="C114" s="196"/>
      <c r="D114" s="196"/>
      <c r="E114" s="196"/>
    </row>
    <row r="115" spans="2:5" x14ac:dyDescent="0.15">
      <c r="B115" s="108" t="s">
        <v>1524</v>
      </c>
      <c r="C115" s="106">
        <v>2.5000000000000001E-2</v>
      </c>
      <c r="D115" s="108" t="s">
        <v>183</v>
      </c>
      <c r="E115" s="107">
        <f>INGREDIENTS!$D$233*C115</f>
        <v>0.14499999999999999</v>
      </c>
    </row>
    <row r="116" spans="2:5" x14ac:dyDescent="0.15">
      <c r="B116" s="136"/>
      <c r="C116" s="98"/>
      <c r="D116" s="136" t="s">
        <v>1490</v>
      </c>
      <c r="E116" s="114" t="e">
        <f>SUM(E99:E115)</f>
        <v>#REF!</v>
      </c>
    </row>
    <row r="117" spans="2:5" x14ac:dyDescent="0.15">
      <c r="B117" s="136"/>
      <c r="C117" s="98"/>
      <c r="D117" s="136" t="s">
        <v>1590</v>
      </c>
      <c r="E117" s="135">
        <v>12</v>
      </c>
    </row>
    <row r="118" spans="2:5" x14ac:dyDescent="0.15">
      <c r="B118" s="136"/>
      <c r="C118" s="98"/>
      <c r="D118" s="136" t="s">
        <v>1592</v>
      </c>
      <c r="E118" s="150" t="e">
        <f>E116/E117</f>
        <v>#REF!</v>
      </c>
    </row>
    <row r="119" spans="2:5" x14ac:dyDescent="0.15">
      <c r="B119" s="133" t="s">
        <v>1495</v>
      </c>
      <c r="C119" s="146" t="s">
        <v>1494</v>
      </c>
      <c r="D119" s="147" t="s">
        <v>1496</v>
      </c>
      <c r="E119" s="133" t="s">
        <v>1591</v>
      </c>
    </row>
    <row r="120" spans="2:5" x14ac:dyDescent="0.15">
      <c r="B120" s="149" t="e">
        <f>E120*E117</f>
        <v>#REF!</v>
      </c>
      <c r="C120" s="114">
        <v>5.8</v>
      </c>
      <c r="D120" s="132" t="e">
        <f>E118/C120</f>
        <v>#REF!</v>
      </c>
      <c r="E120" s="149" t="e">
        <f>C120-E118</f>
        <v>#REF!</v>
      </c>
    </row>
    <row r="121" spans="2:5" x14ac:dyDescent="0.15">
      <c r="B121" s="149" t="e">
        <f>E121*E117</f>
        <v>#REF!</v>
      </c>
      <c r="C121" s="114">
        <v>4.8</v>
      </c>
      <c r="D121" s="132" t="e">
        <f>E118/C121</f>
        <v>#REF!</v>
      </c>
      <c r="E121" s="149" t="e">
        <f>C121-E118</f>
        <v>#REF!</v>
      </c>
    </row>
    <row r="124" spans="2:5" x14ac:dyDescent="0.15">
      <c r="B124" s="192" t="s">
        <v>1597</v>
      </c>
      <c r="C124" s="184"/>
      <c r="D124" s="184"/>
      <c r="E124" s="184"/>
    </row>
    <row r="125" spans="2:5" x14ac:dyDescent="0.15">
      <c r="B125" s="184"/>
      <c r="C125" s="184"/>
      <c r="D125" s="184"/>
      <c r="E125" s="184"/>
    </row>
    <row r="126" spans="2:5" ht="20" x14ac:dyDescent="0.2">
      <c r="B126" s="199" t="s">
        <v>1647</v>
      </c>
      <c r="C126" s="199"/>
      <c r="D126" s="199"/>
      <c r="E126" s="199"/>
    </row>
    <row r="127" spans="2:5" x14ac:dyDescent="0.15">
      <c r="B127" s="191"/>
      <c r="C127" s="191"/>
      <c r="D127" s="191"/>
      <c r="E127" s="191"/>
    </row>
    <row r="128" spans="2:5" ht="16" x14ac:dyDescent="0.2">
      <c r="B128" s="119" t="s">
        <v>1122</v>
      </c>
      <c r="C128" s="119" t="s">
        <v>1123</v>
      </c>
      <c r="D128" s="119" t="s">
        <v>1124</v>
      </c>
      <c r="E128" s="134" t="s">
        <v>1489</v>
      </c>
    </row>
    <row r="129" spans="2:5" x14ac:dyDescent="0.15">
      <c r="B129" s="196" t="s">
        <v>1582</v>
      </c>
      <c r="C129" s="196"/>
      <c r="D129" s="196"/>
      <c r="E129" s="196"/>
    </row>
    <row r="130" spans="2:5" x14ac:dyDescent="0.15">
      <c r="B130" s="108" t="s">
        <v>1578</v>
      </c>
      <c r="C130" s="108">
        <v>0.35</v>
      </c>
      <c r="D130" s="106" t="s">
        <v>183</v>
      </c>
      <c r="E130" s="107">
        <f>INGREDIENTS!$D$240*C130</f>
        <v>2.17</v>
      </c>
    </row>
    <row r="131" spans="2:5" x14ac:dyDescent="0.15">
      <c r="B131" s="196" t="s">
        <v>1580</v>
      </c>
      <c r="C131" s="196"/>
      <c r="D131" s="196"/>
      <c r="E131" s="196"/>
    </row>
    <row r="132" spans="2:5" x14ac:dyDescent="0.15">
      <c r="B132" s="108" t="s">
        <v>1602</v>
      </c>
      <c r="C132" s="106">
        <v>0.2</v>
      </c>
      <c r="D132" s="106" t="s">
        <v>183</v>
      </c>
      <c r="E132" s="107">
        <f>INGREDIENTS!$D$273*C132</f>
        <v>1.01</v>
      </c>
    </row>
    <row r="133" spans="2:5" x14ac:dyDescent="0.15">
      <c r="B133" s="108" t="s">
        <v>1487</v>
      </c>
      <c r="C133" s="106">
        <v>0.05</v>
      </c>
      <c r="D133" s="106" t="s">
        <v>183</v>
      </c>
      <c r="E133" s="107">
        <f>INGREDIENTS!$D$228*C133</f>
        <v>0.49500000000000005</v>
      </c>
    </row>
    <row r="134" spans="2:5" x14ac:dyDescent="0.15">
      <c r="B134" s="106" t="s">
        <v>1513</v>
      </c>
      <c r="C134" s="106">
        <v>5.0000000000000001E-3</v>
      </c>
      <c r="D134" s="106" t="s">
        <v>183</v>
      </c>
      <c r="E134" s="107">
        <v>0.1</v>
      </c>
    </row>
    <row r="135" spans="2:5" x14ac:dyDescent="0.15">
      <c r="B135" s="196" t="s">
        <v>1581</v>
      </c>
      <c r="C135" s="196"/>
      <c r="D135" s="196"/>
      <c r="E135" s="196"/>
    </row>
    <row r="136" spans="2:5" x14ac:dyDescent="0.15">
      <c r="B136" s="106" t="s">
        <v>1484</v>
      </c>
      <c r="C136" s="106">
        <v>3</v>
      </c>
      <c r="D136" s="106" t="s">
        <v>1486</v>
      </c>
      <c r="E136" s="107">
        <f>INGREDIENTS!$F$112*C136</f>
        <v>1.59</v>
      </c>
    </row>
    <row r="137" spans="2:5" x14ac:dyDescent="0.15">
      <c r="B137" s="108" t="s">
        <v>1382</v>
      </c>
      <c r="C137" s="106">
        <v>150</v>
      </c>
      <c r="D137" s="108" t="s">
        <v>1165</v>
      </c>
      <c r="E137" s="107">
        <f>INGREDIENTS!$F$38*C137</f>
        <v>2.1390000000000002</v>
      </c>
    </row>
    <row r="138" spans="2:5" x14ac:dyDescent="0.15">
      <c r="B138" s="108" t="s">
        <v>1511</v>
      </c>
      <c r="C138" s="106">
        <f>45*4</f>
        <v>180</v>
      </c>
      <c r="D138" s="108" t="s">
        <v>1165</v>
      </c>
      <c r="E138" s="107" t="e">
        <f>INGREDIENTS!#REF!*C138</f>
        <v>#REF!</v>
      </c>
    </row>
    <row r="139" spans="2:5" x14ac:dyDescent="0.15">
      <c r="B139" s="196" t="s">
        <v>1583</v>
      </c>
      <c r="C139" s="196"/>
      <c r="D139" s="196"/>
      <c r="E139" s="196"/>
    </row>
    <row r="140" spans="2:5" x14ac:dyDescent="0.15">
      <c r="B140" s="108" t="s">
        <v>1596</v>
      </c>
      <c r="C140" s="106">
        <v>0.06</v>
      </c>
      <c r="D140" s="108" t="s">
        <v>1486</v>
      </c>
      <c r="E140" s="107">
        <f>INGREDIENTS!$D$237*C140</f>
        <v>1.23</v>
      </c>
    </row>
    <row r="141" spans="2:5" x14ac:dyDescent="0.15">
      <c r="B141" s="108" t="s">
        <v>1604</v>
      </c>
      <c r="C141" s="106">
        <v>0.1</v>
      </c>
      <c r="D141" s="108" t="s">
        <v>183</v>
      </c>
      <c r="E141" s="107">
        <f>INGREDIENTS!$D$271*C141</f>
        <v>2.64</v>
      </c>
    </row>
    <row r="142" spans="2:5" x14ac:dyDescent="0.15">
      <c r="B142" s="196" t="s">
        <v>1586</v>
      </c>
      <c r="C142" s="196"/>
      <c r="D142" s="196"/>
      <c r="E142" s="196"/>
    </row>
    <row r="143" spans="2:5" x14ac:dyDescent="0.15">
      <c r="B143" s="196" t="s">
        <v>1587</v>
      </c>
      <c r="C143" s="196"/>
      <c r="D143" s="196"/>
      <c r="E143" s="196"/>
    </row>
    <row r="144" spans="2:5" x14ac:dyDescent="0.15">
      <c r="B144" s="196" t="s">
        <v>1588</v>
      </c>
      <c r="C144" s="196"/>
      <c r="D144" s="196"/>
      <c r="E144" s="196"/>
    </row>
    <row r="145" spans="2:5" x14ac:dyDescent="0.15">
      <c r="B145" s="196" t="s">
        <v>1589</v>
      </c>
      <c r="C145" s="196"/>
      <c r="D145" s="196"/>
      <c r="E145" s="196"/>
    </row>
    <row r="146" spans="2:5" x14ac:dyDescent="0.15">
      <c r="B146" s="108" t="s">
        <v>1524</v>
      </c>
      <c r="C146" s="106">
        <v>2.5000000000000001E-2</v>
      </c>
      <c r="D146" s="108" t="s">
        <v>183</v>
      </c>
      <c r="E146" s="107">
        <f>INGREDIENTS!$D$233*C146</f>
        <v>0.14499999999999999</v>
      </c>
    </row>
    <row r="147" spans="2:5" x14ac:dyDescent="0.15">
      <c r="B147" s="136"/>
      <c r="C147" s="98"/>
      <c r="D147" s="136" t="s">
        <v>1490</v>
      </c>
      <c r="E147" s="114" t="e">
        <f>SUM(E129:E146)</f>
        <v>#REF!</v>
      </c>
    </row>
    <row r="148" spans="2:5" x14ac:dyDescent="0.15">
      <c r="B148" s="136"/>
      <c r="C148" s="101"/>
      <c r="D148" s="136" t="s">
        <v>1590</v>
      </c>
      <c r="E148" s="135">
        <v>18</v>
      </c>
    </row>
    <row r="149" spans="2:5" x14ac:dyDescent="0.15">
      <c r="B149" s="136"/>
      <c r="C149" s="98"/>
      <c r="D149" s="136" t="s">
        <v>1592</v>
      </c>
      <c r="E149" s="150" t="e">
        <f>E147/E148</f>
        <v>#REF!</v>
      </c>
    </row>
    <row r="150" spans="2:5" x14ac:dyDescent="0.15">
      <c r="B150" s="133" t="s">
        <v>1495</v>
      </c>
      <c r="C150" s="146" t="s">
        <v>1494</v>
      </c>
      <c r="D150" s="147" t="s">
        <v>1496</v>
      </c>
      <c r="E150" s="133" t="s">
        <v>1591</v>
      </c>
    </row>
    <row r="151" spans="2:5" x14ac:dyDescent="0.15">
      <c r="B151" s="149" t="e">
        <f>E151*E148</f>
        <v>#REF!</v>
      </c>
      <c r="C151" s="114">
        <v>5.9</v>
      </c>
      <c r="D151" s="132" t="e">
        <f>E149/C151</f>
        <v>#REF!</v>
      </c>
      <c r="E151" s="149" t="e">
        <f>C151-E149</f>
        <v>#REF!</v>
      </c>
    </row>
    <row r="152" spans="2:5" x14ac:dyDescent="0.15">
      <c r="B152" s="149" t="e">
        <f>E152*E148</f>
        <v>#REF!</v>
      </c>
      <c r="C152" s="114">
        <v>4.9000000000000004</v>
      </c>
      <c r="D152" s="132" t="e">
        <f>E149/C152</f>
        <v>#REF!</v>
      </c>
      <c r="E152" s="149" t="e">
        <f>C152-E149</f>
        <v>#REF!</v>
      </c>
    </row>
    <row r="155" spans="2:5" x14ac:dyDescent="0.15">
      <c r="B155" s="192"/>
      <c r="C155" s="184"/>
      <c r="D155" s="184"/>
      <c r="E155" s="184"/>
    </row>
    <row r="156" spans="2:5" x14ac:dyDescent="0.15">
      <c r="B156" s="184"/>
      <c r="C156" s="184"/>
      <c r="D156" s="184"/>
      <c r="E156" s="184"/>
    </row>
    <row r="157" spans="2:5" ht="20" x14ac:dyDescent="0.2">
      <c r="B157" s="199" t="s">
        <v>1614</v>
      </c>
      <c r="C157" s="199"/>
      <c r="D157" s="199"/>
      <c r="E157" s="199"/>
    </row>
    <row r="158" spans="2:5" x14ac:dyDescent="0.15">
      <c r="B158" s="191"/>
      <c r="C158" s="191"/>
      <c r="D158" s="191"/>
      <c r="E158" s="191"/>
    </row>
    <row r="159" spans="2:5" ht="16" x14ac:dyDescent="0.2">
      <c r="B159" s="119" t="s">
        <v>1122</v>
      </c>
      <c r="C159" s="119" t="s">
        <v>1123</v>
      </c>
      <c r="D159" s="119" t="s">
        <v>1124</v>
      </c>
      <c r="E159" s="134" t="s">
        <v>1489</v>
      </c>
    </row>
    <row r="160" spans="2:5" x14ac:dyDescent="0.15">
      <c r="B160" s="196" t="s">
        <v>1582</v>
      </c>
      <c r="C160" s="196"/>
      <c r="D160" s="196"/>
      <c r="E160" s="196"/>
    </row>
    <row r="161" spans="2:5" x14ac:dyDescent="0.15">
      <c r="B161" s="108" t="s">
        <v>1615</v>
      </c>
      <c r="C161" s="106">
        <v>7.0000000000000007E-2</v>
      </c>
      <c r="D161" s="106" t="s">
        <v>183</v>
      </c>
      <c r="E161" s="107">
        <f>INGREDIENTS!$D$278*C161</f>
        <v>2.0327999999999999</v>
      </c>
    </row>
    <row r="162" spans="2:5" x14ac:dyDescent="0.15">
      <c r="B162" s="108" t="s">
        <v>1480</v>
      </c>
      <c r="C162" s="106">
        <v>7.0000000000000007E-2</v>
      </c>
      <c r="D162" s="106" t="s">
        <v>183</v>
      </c>
      <c r="E162" s="107">
        <f>INGREDIENTS!$D$226*C162</f>
        <v>2.7930000000000001</v>
      </c>
    </row>
    <row r="163" spans="2:5" x14ac:dyDescent="0.15">
      <c r="B163" s="108" t="s">
        <v>1524</v>
      </c>
      <c r="C163" s="106">
        <v>0.12</v>
      </c>
      <c r="D163" s="106" t="s">
        <v>183</v>
      </c>
      <c r="E163" s="107">
        <f>INGREDIENTS!$D$233*C163</f>
        <v>0.69599999999999995</v>
      </c>
    </row>
    <row r="164" spans="2:5" x14ac:dyDescent="0.15">
      <c r="B164" s="108" t="s">
        <v>1487</v>
      </c>
      <c r="C164" s="106">
        <v>0.02</v>
      </c>
      <c r="D164" s="106" t="s">
        <v>183</v>
      </c>
      <c r="E164" s="107">
        <f>INGREDIENTS!$D$228*C164</f>
        <v>0.19800000000000001</v>
      </c>
    </row>
    <row r="165" spans="2:5" x14ac:dyDescent="0.15">
      <c r="B165" s="108" t="s">
        <v>1491</v>
      </c>
      <c r="C165" s="106">
        <v>5.0000000000000001E-3</v>
      </c>
      <c r="D165" s="106" t="s">
        <v>183</v>
      </c>
      <c r="E165" s="107">
        <f>INGREDIENTS!$D$231*C165</f>
        <v>7.8E-2</v>
      </c>
    </row>
    <row r="166" spans="2:5" x14ac:dyDescent="0.15">
      <c r="B166" s="196" t="s">
        <v>1581</v>
      </c>
      <c r="C166" s="196"/>
      <c r="D166" s="196"/>
      <c r="E166" s="196"/>
    </row>
    <row r="167" spans="2:5" x14ac:dyDescent="0.15">
      <c r="B167" s="108" t="s">
        <v>1617</v>
      </c>
      <c r="C167" s="106">
        <v>4</v>
      </c>
      <c r="D167" s="106" t="s">
        <v>1486</v>
      </c>
      <c r="E167" s="107">
        <f>INGREDIENTS!$F$112*C167</f>
        <v>2.12</v>
      </c>
    </row>
    <row r="168" spans="2:5" x14ac:dyDescent="0.15">
      <c r="B168" s="108" t="s">
        <v>1618</v>
      </c>
      <c r="C168" s="106">
        <v>0.12</v>
      </c>
      <c r="D168" s="108" t="s">
        <v>183</v>
      </c>
      <c r="E168" s="107">
        <f>INGREDIENTS!$D$230*C168</f>
        <v>6.2159999999999993</v>
      </c>
    </row>
    <row r="169" spans="2:5" x14ac:dyDescent="0.15">
      <c r="B169" s="196" t="s">
        <v>1619</v>
      </c>
      <c r="C169" s="196"/>
      <c r="D169" s="196"/>
      <c r="E169" s="196"/>
    </row>
    <row r="170" spans="2:5" x14ac:dyDescent="0.15">
      <c r="B170" s="196" t="s">
        <v>1621</v>
      </c>
      <c r="C170" s="196"/>
      <c r="D170" s="196"/>
      <c r="E170" s="196"/>
    </row>
    <row r="171" spans="2:5" x14ac:dyDescent="0.15">
      <c r="B171" s="196" t="s">
        <v>1620</v>
      </c>
      <c r="C171" s="196"/>
      <c r="D171" s="196"/>
      <c r="E171" s="196"/>
    </row>
    <row r="172" spans="2:5" x14ac:dyDescent="0.15">
      <c r="B172" s="196" t="s">
        <v>1589</v>
      </c>
      <c r="C172" s="196"/>
      <c r="D172" s="196"/>
      <c r="E172" s="196"/>
    </row>
    <row r="173" spans="2:5" x14ac:dyDescent="0.15">
      <c r="B173" s="108" t="s">
        <v>1524</v>
      </c>
      <c r="C173" s="106">
        <v>2.5000000000000001E-2</v>
      </c>
      <c r="D173" s="108" t="s">
        <v>183</v>
      </c>
      <c r="E173" s="107">
        <f>INGREDIENTS!$D$233*C173</f>
        <v>0.14499999999999999</v>
      </c>
    </row>
    <row r="174" spans="2:5" x14ac:dyDescent="0.15">
      <c r="B174" s="108" t="s">
        <v>1604</v>
      </c>
      <c r="C174" s="106">
        <v>0.04</v>
      </c>
      <c r="D174" s="108" t="s">
        <v>183</v>
      </c>
      <c r="E174" s="107">
        <f>INGREDIENTS!$D$271*C174</f>
        <v>1.056</v>
      </c>
    </row>
    <row r="175" spans="2:5" x14ac:dyDescent="0.15">
      <c r="B175" s="136"/>
      <c r="C175" s="98"/>
      <c r="D175" s="136" t="s">
        <v>1490</v>
      </c>
      <c r="E175" s="114">
        <f>SUM(E160:E174)</f>
        <v>15.334800000000001</v>
      </c>
    </row>
    <row r="176" spans="2:5" x14ac:dyDescent="0.15">
      <c r="B176" s="136"/>
      <c r="C176" s="98"/>
      <c r="D176" s="136" t="s">
        <v>1590</v>
      </c>
      <c r="E176" s="135">
        <v>10</v>
      </c>
    </row>
    <row r="177" spans="2:5" x14ac:dyDescent="0.15">
      <c r="B177" s="136"/>
      <c r="C177" s="98"/>
      <c r="D177" s="136" t="s">
        <v>1592</v>
      </c>
      <c r="E177" s="150">
        <f>E175/E176</f>
        <v>1.5334800000000002</v>
      </c>
    </row>
    <row r="178" spans="2:5" x14ac:dyDescent="0.15">
      <c r="B178" s="133" t="s">
        <v>1495</v>
      </c>
      <c r="C178" s="146" t="s">
        <v>1494</v>
      </c>
      <c r="D178" s="147" t="s">
        <v>1496</v>
      </c>
      <c r="E178" s="133" t="s">
        <v>1591</v>
      </c>
    </row>
    <row r="179" spans="2:5" x14ac:dyDescent="0.15">
      <c r="B179" s="149">
        <f>E179*E176</f>
        <v>53.665200000000006</v>
      </c>
      <c r="C179" s="114">
        <v>6.9</v>
      </c>
      <c r="D179" s="132">
        <f>E177/C179</f>
        <v>0.22224347826086957</v>
      </c>
      <c r="E179" s="149">
        <f>C179-E177</f>
        <v>5.3665200000000004</v>
      </c>
    </row>
    <row r="180" spans="2:5" x14ac:dyDescent="0.15">
      <c r="B180" s="149">
        <f>E180*E176</f>
        <v>43.665200000000006</v>
      </c>
      <c r="C180" s="114">
        <v>5.9</v>
      </c>
      <c r="D180" s="132">
        <f>E177/C180</f>
        <v>0.25991186440677966</v>
      </c>
      <c r="E180" s="149">
        <f>C180-E177</f>
        <v>4.3665200000000004</v>
      </c>
    </row>
  </sheetData>
  <mergeCells count="119">
    <mergeCell ref="G85:J85"/>
    <mergeCell ref="B109:E109"/>
    <mergeCell ref="B111:E111"/>
    <mergeCell ref="B112:E112"/>
    <mergeCell ref="B113:E113"/>
    <mergeCell ref="L53:O53"/>
    <mergeCell ref="L54:O54"/>
    <mergeCell ref="B64:E65"/>
    <mergeCell ref="B66:E66"/>
    <mergeCell ref="B67:E67"/>
    <mergeCell ref="B69:E69"/>
    <mergeCell ref="G53:J53"/>
    <mergeCell ref="G54:J54"/>
    <mergeCell ref="B53:E53"/>
    <mergeCell ref="B54:E54"/>
    <mergeCell ref="G64:J65"/>
    <mergeCell ref="G66:J66"/>
    <mergeCell ref="G67:J67"/>
    <mergeCell ref="G69:J69"/>
    <mergeCell ref="G71:J71"/>
    <mergeCell ref="G75:J75"/>
    <mergeCell ref="G79:J79"/>
    <mergeCell ref="G82:J82"/>
    <mergeCell ref="G83:J83"/>
    <mergeCell ref="G84:J84"/>
    <mergeCell ref="L52:O52"/>
    <mergeCell ref="L21:O21"/>
    <mergeCell ref="L22:O22"/>
    <mergeCell ref="L23:O23"/>
    <mergeCell ref="L32:O33"/>
    <mergeCell ref="L34:O34"/>
    <mergeCell ref="L35:O35"/>
    <mergeCell ref="L37:O37"/>
    <mergeCell ref="L39:O39"/>
    <mergeCell ref="L44:O44"/>
    <mergeCell ref="L48:O48"/>
    <mergeCell ref="L51:O51"/>
    <mergeCell ref="L14:O14"/>
    <mergeCell ref="L18:O18"/>
    <mergeCell ref="L20:O20"/>
    <mergeCell ref="G37:J37"/>
    <mergeCell ref="G39:J39"/>
    <mergeCell ref="G14:J14"/>
    <mergeCell ref="G18:J18"/>
    <mergeCell ref="G20:J20"/>
    <mergeCell ref="L2:O3"/>
    <mergeCell ref="L4:O4"/>
    <mergeCell ref="L5:O5"/>
    <mergeCell ref="L7:O7"/>
    <mergeCell ref="L9:O9"/>
    <mergeCell ref="B20:E20"/>
    <mergeCell ref="B18:E18"/>
    <mergeCell ref="B14:E14"/>
    <mergeCell ref="B9:E9"/>
    <mergeCell ref="B7:E7"/>
    <mergeCell ref="G52:J52"/>
    <mergeCell ref="G21:J21"/>
    <mergeCell ref="G22:J22"/>
    <mergeCell ref="G23:J23"/>
    <mergeCell ref="G32:J33"/>
    <mergeCell ref="G34:J34"/>
    <mergeCell ref="G35:J35"/>
    <mergeCell ref="B145:E145"/>
    <mergeCell ref="B135:E135"/>
    <mergeCell ref="B139:E139"/>
    <mergeCell ref="B142:E142"/>
    <mergeCell ref="B143:E143"/>
    <mergeCell ref="B144:E144"/>
    <mergeCell ref="B124:E125"/>
    <mergeCell ref="B126:E126"/>
    <mergeCell ref="G2:J3"/>
    <mergeCell ref="G4:J4"/>
    <mergeCell ref="G5:J5"/>
    <mergeCell ref="G7:J7"/>
    <mergeCell ref="G9:J9"/>
    <mergeCell ref="G44:J44"/>
    <mergeCell ref="G48:J48"/>
    <mergeCell ref="G51:J51"/>
    <mergeCell ref="B32:E33"/>
    <mergeCell ref="B34:E34"/>
    <mergeCell ref="B35:E35"/>
    <mergeCell ref="B37:E37"/>
    <mergeCell ref="B39:E39"/>
    <mergeCell ref="B2:E3"/>
    <mergeCell ref="B4:E4"/>
    <mergeCell ref="B5:E5"/>
    <mergeCell ref="B172:E172"/>
    <mergeCell ref="B169:E169"/>
    <mergeCell ref="B171:E171"/>
    <mergeCell ref="B166:E166"/>
    <mergeCell ref="B170:E170"/>
    <mergeCell ref="B155:E156"/>
    <mergeCell ref="B157:E157"/>
    <mergeCell ref="B158:E158"/>
    <mergeCell ref="B160:E160"/>
    <mergeCell ref="B127:E127"/>
    <mergeCell ref="B129:E129"/>
    <mergeCell ref="B131:E131"/>
    <mergeCell ref="B52:E52"/>
    <mergeCell ref="B21:E21"/>
    <mergeCell ref="B22:E22"/>
    <mergeCell ref="B23:E23"/>
    <mergeCell ref="B44:E44"/>
    <mergeCell ref="B48:E48"/>
    <mergeCell ref="B51:E51"/>
    <mergeCell ref="B84:E84"/>
    <mergeCell ref="B71:E71"/>
    <mergeCell ref="B75:E75"/>
    <mergeCell ref="B79:E79"/>
    <mergeCell ref="B82:E82"/>
    <mergeCell ref="B83:E83"/>
    <mergeCell ref="B114:E114"/>
    <mergeCell ref="B85:E85"/>
    <mergeCell ref="B94:E95"/>
    <mergeCell ref="B96:E96"/>
    <mergeCell ref="B97:E97"/>
    <mergeCell ref="B99:E99"/>
    <mergeCell ref="B101:E101"/>
    <mergeCell ref="B105:E10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CD6F-6E72-4742-8F05-DC9103609DC1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EAE7-F3FE-3E4C-8A19-C8F092353BF6}">
  <dimension ref="B2:G74"/>
  <sheetViews>
    <sheetView topLeftCell="A24" workbookViewId="0">
      <selection activeCell="I57" sqref="I57"/>
    </sheetView>
  </sheetViews>
  <sheetFormatPr baseColWidth="10" defaultRowHeight="13" x14ac:dyDescent="0.15"/>
  <cols>
    <col min="1" max="1" width="8.5" customWidth="1"/>
    <col min="2" max="2" width="29.6640625" bestFit="1" customWidth="1"/>
  </cols>
  <sheetData>
    <row r="2" spans="2:5" x14ac:dyDescent="0.15">
      <c r="B2" s="192"/>
      <c r="C2" s="184"/>
      <c r="D2" s="184"/>
      <c r="E2" s="184"/>
    </row>
    <row r="3" spans="2:5" x14ac:dyDescent="0.15">
      <c r="B3" s="184"/>
      <c r="C3" s="184"/>
      <c r="D3" s="184"/>
      <c r="E3" s="184"/>
    </row>
    <row r="4" spans="2:5" ht="20" x14ac:dyDescent="0.2">
      <c r="B4" s="199" t="s">
        <v>1626</v>
      </c>
      <c r="C4" s="199"/>
      <c r="D4" s="199"/>
      <c r="E4" s="199"/>
    </row>
    <row r="5" spans="2:5" x14ac:dyDescent="0.15">
      <c r="B5" s="191"/>
      <c r="C5" s="191"/>
      <c r="D5" s="191"/>
      <c r="E5" s="191"/>
    </row>
    <row r="6" spans="2:5" ht="16" x14ac:dyDescent="0.2">
      <c r="B6" s="119" t="s">
        <v>1122</v>
      </c>
      <c r="C6" s="119" t="s">
        <v>1123</v>
      </c>
      <c r="D6" s="119" t="s">
        <v>1124</v>
      </c>
      <c r="E6" s="134" t="s">
        <v>1489</v>
      </c>
    </row>
    <row r="7" spans="2:5" x14ac:dyDescent="0.15">
      <c r="B7" s="108" t="s">
        <v>1483</v>
      </c>
      <c r="C7" s="106">
        <v>0.22</v>
      </c>
      <c r="D7" s="108" t="s">
        <v>183</v>
      </c>
      <c r="E7" s="107">
        <f>INGREDIENTS!$D$230*C7</f>
        <v>11.395999999999999</v>
      </c>
    </row>
    <row r="8" spans="2:5" x14ac:dyDescent="0.15">
      <c r="B8" s="108" t="s">
        <v>1524</v>
      </c>
      <c r="C8" s="106">
        <v>0.08</v>
      </c>
      <c r="D8" s="108" t="s">
        <v>183</v>
      </c>
      <c r="E8" s="107">
        <f>INGREDIENTS!$D$233*C8</f>
        <v>0.46399999999999997</v>
      </c>
    </row>
    <row r="9" spans="2:5" x14ac:dyDescent="0.15">
      <c r="B9" s="108" t="s">
        <v>1622</v>
      </c>
      <c r="C9" s="106">
        <v>5.0000000000000001E-3</v>
      </c>
      <c r="D9" s="106" t="s">
        <v>183</v>
      </c>
      <c r="E9" s="107">
        <f>INGREDIENTS!$D$240*C9</f>
        <v>3.1000000000000003E-2</v>
      </c>
    </row>
    <row r="10" spans="2:5" x14ac:dyDescent="0.15">
      <c r="B10" s="108" t="s">
        <v>1623</v>
      </c>
      <c r="C10" s="106">
        <v>0.25</v>
      </c>
      <c r="D10" s="108" t="s">
        <v>183</v>
      </c>
      <c r="E10" s="107" t="e">
        <f>INGREDIENTS!#REF!*C10</f>
        <v>#REF!</v>
      </c>
    </row>
    <row r="11" spans="2:5" x14ac:dyDescent="0.15">
      <c r="B11" s="108" t="s">
        <v>1624</v>
      </c>
      <c r="C11" s="106">
        <v>2</v>
      </c>
      <c r="D11" s="108" t="s">
        <v>1486</v>
      </c>
      <c r="E11" s="107" t="e">
        <f>INGREDIENTS!#REF!*C11</f>
        <v>#REF!</v>
      </c>
    </row>
    <row r="12" spans="2:5" x14ac:dyDescent="0.15">
      <c r="B12" s="108" t="s">
        <v>1497</v>
      </c>
      <c r="C12" s="106">
        <v>0.1</v>
      </c>
      <c r="D12" s="106" t="s">
        <v>183</v>
      </c>
      <c r="E12" s="107">
        <v>15</v>
      </c>
    </row>
    <row r="13" spans="2:5" x14ac:dyDescent="0.15">
      <c r="B13" s="108" t="s">
        <v>1524</v>
      </c>
      <c r="C13" s="106">
        <v>0.05</v>
      </c>
      <c r="D13" s="106" t="s">
        <v>183</v>
      </c>
      <c r="E13" s="107">
        <f>INGREDIENTS!$D$239*C13</f>
        <v>1.2949999999999999</v>
      </c>
    </row>
    <row r="14" spans="2:5" x14ac:dyDescent="0.15">
      <c r="B14" s="108" t="s">
        <v>1625</v>
      </c>
      <c r="C14" s="106">
        <v>1</v>
      </c>
      <c r="D14" s="108" t="s">
        <v>1486</v>
      </c>
      <c r="E14" s="107">
        <f>INGREDIENTS!$D$277*C14</f>
        <v>32.93</v>
      </c>
    </row>
    <row r="15" spans="2:5" x14ac:dyDescent="0.15">
      <c r="B15" s="108"/>
      <c r="C15" s="106"/>
      <c r="D15" s="106"/>
      <c r="E15" s="107"/>
    </row>
    <row r="16" spans="2:5" x14ac:dyDescent="0.15">
      <c r="B16" s="196"/>
      <c r="C16" s="196"/>
      <c r="D16" s="196"/>
      <c r="E16" s="196"/>
    </row>
    <row r="17" spans="2:5" x14ac:dyDescent="0.15">
      <c r="B17" s="196"/>
      <c r="C17" s="196"/>
      <c r="D17" s="196"/>
      <c r="E17" s="196"/>
    </row>
    <row r="18" spans="2:5" x14ac:dyDescent="0.15">
      <c r="B18" s="108"/>
      <c r="C18" s="106"/>
      <c r="D18" s="106"/>
      <c r="E18" s="107"/>
    </row>
    <row r="19" spans="2:5" x14ac:dyDescent="0.15">
      <c r="B19" s="136"/>
      <c r="C19" s="98"/>
      <c r="D19" s="136" t="s">
        <v>1490</v>
      </c>
      <c r="E19" s="114" t="e">
        <f>SUM(E7:E18)</f>
        <v>#REF!</v>
      </c>
    </row>
    <row r="20" spans="2:5" x14ac:dyDescent="0.15">
      <c r="B20" s="136"/>
      <c r="C20" s="98"/>
      <c r="D20" s="136" t="s">
        <v>1590</v>
      </c>
      <c r="E20" s="135">
        <v>18</v>
      </c>
    </row>
    <row r="21" spans="2:5" x14ac:dyDescent="0.15">
      <c r="B21" s="136"/>
      <c r="C21" s="98"/>
      <c r="D21" s="136" t="s">
        <v>1592</v>
      </c>
      <c r="E21" s="150" t="e">
        <f>E19/E20</f>
        <v>#REF!</v>
      </c>
    </row>
    <row r="22" spans="2:5" x14ac:dyDescent="0.15">
      <c r="B22" s="133" t="s">
        <v>1495</v>
      </c>
      <c r="C22" s="146" t="s">
        <v>1494</v>
      </c>
      <c r="D22" s="147" t="s">
        <v>1496</v>
      </c>
      <c r="E22" s="133" t="s">
        <v>1591</v>
      </c>
    </row>
    <row r="23" spans="2:5" x14ac:dyDescent="0.15">
      <c r="B23" s="149" t="e">
        <f>E23*E20</f>
        <v>#REF!</v>
      </c>
      <c r="C23" s="114">
        <v>6</v>
      </c>
      <c r="D23" s="132" t="e">
        <f>E21/C23</f>
        <v>#REF!</v>
      </c>
      <c r="E23" s="149" t="e">
        <f>C23-E21</f>
        <v>#REF!</v>
      </c>
    </row>
    <row r="24" spans="2:5" x14ac:dyDescent="0.15">
      <c r="B24" s="149" t="e">
        <f>E24*E20</f>
        <v>#REF!</v>
      </c>
      <c r="C24" s="114">
        <v>5</v>
      </c>
      <c r="D24" s="132" t="e">
        <f>E21/C24</f>
        <v>#REF!</v>
      </c>
      <c r="E24" s="149" t="e">
        <f>C24-E21</f>
        <v>#REF!</v>
      </c>
    </row>
    <row r="25" spans="2:5" x14ac:dyDescent="0.15">
      <c r="B25" s="201"/>
      <c r="C25" s="201"/>
      <c r="D25" s="201"/>
      <c r="E25" s="201"/>
    </row>
    <row r="26" spans="2:5" x14ac:dyDescent="0.15">
      <c r="B26" s="192"/>
      <c r="C26" s="184"/>
      <c r="D26" s="184"/>
      <c r="E26" s="184"/>
    </row>
    <row r="27" spans="2:5" x14ac:dyDescent="0.15">
      <c r="B27" s="184"/>
      <c r="C27" s="184"/>
      <c r="D27" s="184"/>
      <c r="E27" s="184"/>
    </row>
    <row r="28" spans="2:5" ht="20" x14ac:dyDescent="0.2">
      <c r="B28" s="199" t="s">
        <v>1627</v>
      </c>
      <c r="C28" s="199"/>
      <c r="D28" s="199"/>
      <c r="E28" s="199"/>
    </row>
    <row r="29" spans="2:5" x14ac:dyDescent="0.15">
      <c r="B29" s="191"/>
      <c r="C29" s="191"/>
      <c r="D29" s="191"/>
      <c r="E29" s="191"/>
    </row>
    <row r="30" spans="2:5" ht="16" x14ac:dyDescent="0.2">
      <c r="B30" s="119" t="s">
        <v>1122</v>
      </c>
      <c r="C30" s="119" t="s">
        <v>1123</v>
      </c>
      <c r="D30" s="119" t="s">
        <v>1124</v>
      </c>
      <c r="E30" s="134" t="s">
        <v>1489</v>
      </c>
    </row>
    <row r="31" spans="2:5" x14ac:dyDescent="0.15">
      <c r="B31" s="108" t="s">
        <v>1483</v>
      </c>
      <c r="C31" s="106">
        <v>0.17</v>
      </c>
      <c r="D31" s="108" t="s">
        <v>183</v>
      </c>
      <c r="E31" s="107">
        <f>INGREDIENTS!$D$230*C31</f>
        <v>8.8060000000000009</v>
      </c>
    </row>
    <row r="32" spans="2:5" x14ac:dyDescent="0.15">
      <c r="B32" s="108" t="s">
        <v>1524</v>
      </c>
      <c r="C32" s="106">
        <v>0.08</v>
      </c>
      <c r="D32" s="108" t="s">
        <v>183</v>
      </c>
      <c r="E32" s="107">
        <f>INGREDIENTS!$D$233*C32</f>
        <v>0.46399999999999997</v>
      </c>
    </row>
    <row r="33" spans="2:5" x14ac:dyDescent="0.15">
      <c r="B33" s="108" t="s">
        <v>1623</v>
      </c>
      <c r="C33" s="106">
        <v>0.25</v>
      </c>
      <c r="D33" s="108" t="s">
        <v>183</v>
      </c>
      <c r="E33" s="107" t="e">
        <f>INGREDIENTS!#REF!*C33</f>
        <v>#REF!</v>
      </c>
    </row>
    <row r="34" spans="2:5" x14ac:dyDescent="0.15">
      <c r="B34" s="108" t="s">
        <v>1497</v>
      </c>
      <c r="C34" s="106">
        <v>0.1</v>
      </c>
      <c r="D34" s="106" t="s">
        <v>183</v>
      </c>
      <c r="E34" s="107">
        <v>15</v>
      </c>
    </row>
    <row r="35" spans="2:5" x14ac:dyDescent="0.15">
      <c r="B35" s="108" t="s">
        <v>1513</v>
      </c>
      <c r="C35" s="106">
        <v>2</v>
      </c>
      <c r="D35" s="108" t="s">
        <v>1486</v>
      </c>
      <c r="E35" s="107" t="e">
        <f>INGREDIENTS!#REF!*C35</f>
        <v>#REF!</v>
      </c>
    </row>
    <row r="36" spans="2:5" x14ac:dyDescent="0.15">
      <c r="B36" s="108" t="s">
        <v>1629</v>
      </c>
      <c r="C36" s="106">
        <v>0.1</v>
      </c>
      <c r="D36" s="106" t="s">
        <v>183</v>
      </c>
      <c r="E36" s="107">
        <v>15</v>
      </c>
    </row>
    <row r="37" spans="2:5" x14ac:dyDescent="0.15">
      <c r="B37" s="108" t="s">
        <v>1524</v>
      </c>
      <c r="C37" s="106">
        <v>0.05</v>
      </c>
      <c r="D37" s="106" t="s">
        <v>183</v>
      </c>
      <c r="E37" s="107">
        <f>INGREDIENTS!$D$239*C37</f>
        <v>1.2949999999999999</v>
      </c>
    </row>
    <row r="38" spans="2:5" x14ac:dyDescent="0.15">
      <c r="B38" s="108" t="s">
        <v>1630</v>
      </c>
      <c r="C38" s="106">
        <v>1</v>
      </c>
      <c r="D38" s="108" t="s">
        <v>1486</v>
      </c>
      <c r="E38" s="107">
        <f>INGREDIENTS!$D$277*C38</f>
        <v>32.93</v>
      </c>
    </row>
    <row r="39" spans="2:5" x14ac:dyDescent="0.15">
      <c r="B39" s="108"/>
      <c r="C39" s="106"/>
      <c r="D39" s="106"/>
      <c r="E39" s="107"/>
    </row>
    <row r="40" spans="2:5" x14ac:dyDescent="0.15">
      <c r="B40" s="196"/>
      <c r="C40" s="196"/>
      <c r="D40" s="196"/>
      <c r="E40" s="196"/>
    </row>
    <row r="41" spans="2:5" x14ac:dyDescent="0.15">
      <c r="B41" s="196"/>
      <c r="C41" s="196"/>
      <c r="D41" s="196"/>
      <c r="E41" s="196"/>
    </row>
    <row r="42" spans="2:5" x14ac:dyDescent="0.15">
      <c r="B42" s="108" t="s">
        <v>1628</v>
      </c>
      <c r="C42" s="106">
        <v>4</v>
      </c>
      <c r="D42" s="108" t="s">
        <v>1486</v>
      </c>
      <c r="E42" s="107">
        <f>1.5*C42</f>
        <v>6</v>
      </c>
    </row>
    <row r="43" spans="2:5" x14ac:dyDescent="0.15">
      <c r="B43" s="136"/>
      <c r="C43" s="98"/>
      <c r="D43" s="136" t="s">
        <v>1490</v>
      </c>
      <c r="E43" s="114" t="e">
        <f>SUM(E31:E42)</f>
        <v>#REF!</v>
      </c>
    </row>
    <row r="44" spans="2:5" x14ac:dyDescent="0.15">
      <c r="B44" s="136"/>
      <c r="C44" s="98"/>
      <c r="D44" s="136" t="s">
        <v>1590</v>
      </c>
      <c r="E44" s="135">
        <v>18</v>
      </c>
    </row>
    <row r="45" spans="2:5" x14ac:dyDescent="0.15">
      <c r="B45" s="136"/>
      <c r="C45" s="98"/>
      <c r="D45" s="136" t="s">
        <v>1592</v>
      </c>
      <c r="E45" s="150" t="e">
        <f>E43/E44</f>
        <v>#REF!</v>
      </c>
    </row>
    <row r="46" spans="2:5" x14ac:dyDescent="0.15">
      <c r="B46" s="133" t="s">
        <v>1495</v>
      </c>
      <c r="C46" s="146" t="s">
        <v>1494</v>
      </c>
      <c r="D46" s="147" t="s">
        <v>1496</v>
      </c>
      <c r="E46" s="133" t="s">
        <v>1591</v>
      </c>
    </row>
    <row r="47" spans="2:5" x14ac:dyDescent="0.15">
      <c r="B47" s="149" t="e">
        <f>E47*E44</f>
        <v>#REF!</v>
      </c>
      <c r="C47" s="114">
        <v>6</v>
      </c>
      <c r="D47" s="132" t="e">
        <f>E45/C47</f>
        <v>#REF!</v>
      </c>
      <c r="E47" s="149" t="e">
        <f>C47-E45</f>
        <v>#REF!</v>
      </c>
    </row>
    <row r="48" spans="2:5" x14ac:dyDescent="0.15">
      <c r="B48" s="149" t="e">
        <f>E48*E44</f>
        <v>#REF!</v>
      </c>
      <c r="C48" s="114">
        <v>5</v>
      </c>
      <c r="D48" s="132" t="e">
        <f>E45/C48</f>
        <v>#REF!</v>
      </c>
      <c r="E48" s="149" t="e">
        <f>C48-E45</f>
        <v>#REF!</v>
      </c>
    </row>
    <row r="49" spans="2:7" x14ac:dyDescent="0.15">
      <c r="B49" s="201"/>
      <c r="C49" s="201"/>
      <c r="D49" s="201"/>
      <c r="E49" s="201"/>
    </row>
    <row r="52" spans="2:7" x14ac:dyDescent="0.15">
      <c r="B52" s="192"/>
      <c r="C52" s="192"/>
      <c r="D52" s="192"/>
      <c r="E52" s="184"/>
      <c r="F52" s="184"/>
      <c r="G52" s="184"/>
    </row>
    <row r="53" spans="2:7" x14ac:dyDescent="0.15">
      <c r="B53" s="184"/>
      <c r="C53" s="184"/>
      <c r="D53" s="184"/>
      <c r="E53" s="184"/>
      <c r="F53" s="184"/>
      <c r="G53" s="184"/>
    </row>
    <row r="54" spans="2:7" ht="20" x14ac:dyDescent="0.2">
      <c r="B54" s="199" t="s">
        <v>1605</v>
      </c>
      <c r="C54" s="199"/>
      <c r="D54" s="199"/>
      <c r="E54" s="199"/>
      <c r="F54" s="199"/>
      <c r="G54" s="199"/>
    </row>
    <row r="55" spans="2:7" x14ac:dyDescent="0.15">
      <c r="B55" s="191"/>
      <c r="C55" s="191"/>
      <c r="D55" s="191"/>
      <c r="E55" s="191"/>
      <c r="F55" s="191"/>
      <c r="G55" s="191"/>
    </row>
    <row r="56" spans="2:7" ht="16" x14ac:dyDescent="0.2">
      <c r="B56" s="119" t="s">
        <v>1122</v>
      </c>
      <c r="C56" s="119" t="s">
        <v>1123</v>
      </c>
      <c r="D56" s="119" t="s">
        <v>1124</v>
      </c>
      <c r="E56" s="119" t="s">
        <v>1123</v>
      </c>
      <c r="F56" s="119" t="s">
        <v>1124</v>
      </c>
      <c r="G56" s="134" t="s">
        <v>1489</v>
      </c>
    </row>
    <row r="57" spans="2:7" x14ac:dyDescent="0.15">
      <c r="B57" s="196" t="s">
        <v>1606</v>
      </c>
      <c r="C57" s="196"/>
      <c r="D57" s="196"/>
      <c r="E57" s="159"/>
      <c r="F57" s="159"/>
      <c r="G57" s="159"/>
    </row>
    <row r="58" spans="2:7" x14ac:dyDescent="0.15">
      <c r="B58" s="108" t="s">
        <v>1585</v>
      </c>
      <c r="C58" s="108">
        <v>250</v>
      </c>
      <c r="D58" s="108" t="s">
        <v>1667</v>
      </c>
      <c r="E58" s="106">
        <v>0.25</v>
      </c>
      <c r="F58" s="106" t="s">
        <v>183</v>
      </c>
      <c r="G58" s="107">
        <f>INGREDIENTS!$D$240*E58</f>
        <v>1.55</v>
      </c>
    </row>
    <row r="59" spans="2:7" x14ac:dyDescent="0.15">
      <c r="B59" s="108" t="s">
        <v>1564</v>
      </c>
      <c r="C59" s="108">
        <v>250</v>
      </c>
      <c r="D59" s="108" t="s">
        <v>1667</v>
      </c>
      <c r="E59" s="106">
        <v>0.25</v>
      </c>
      <c r="F59" s="106" t="s">
        <v>183</v>
      </c>
      <c r="G59" s="107">
        <f>INGREDIENTS!$D$240*E59</f>
        <v>1.55</v>
      </c>
    </row>
    <row r="60" spans="2:7" x14ac:dyDescent="0.15">
      <c r="B60" s="108" t="s">
        <v>1511</v>
      </c>
      <c r="C60" s="108">
        <v>100</v>
      </c>
      <c r="D60" s="108" t="s">
        <v>1666</v>
      </c>
      <c r="E60" s="106">
        <v>100</v>
      </c>
      <c r="F60" s="108" t="s">
        <v>1165</v>
      </c>
      <c r="G60" s="107" t="e">
        <f>INGREDIENTS!#REF!*E60</f>
        <v>#REF!</v>
      </c>
    </row>
    <row r="61" spans="2:7" x14ac:dyDescent="0.15">
      <c r="B61" s="196" t="s">
        <v>1607</v>
      </c>
      <c r="C61" s="196"/>
      <c r="D61" s="196"/>
      <c r="E61" s="159"/>
      <c r="F61" s="159"/>
      <c r="G61" s="159"/>
    </row>
    <row r="62" spans="2:7" x14ac:dyDescent="0.15">
      <c r="B62" s="108" t="s">
        <v>1608</v>
      </c>
      <c r="C62" s="108">
        <v>100</v>
      </c>
      <c r="D62" s="108" t="s">
        <v>1667</v>
      </c>
      <c r="E62" s="106">
        <v>0.1</v>
      </c>
      <c r="F62" s="106" t="s">
        <v>183</v>
      </c>
      <c r="G62" s="107">
        <f>INGREDIENTS!$D$248*E62</f>
        <v>4.5</v>
      </c>
    </row>
    <row r="63" spans="2:7" x14ac:dyDescent="0.15">
      <c r="B63" s="108" t="s">
        <v>1609</v>
      </c>
      <c r="C63" s="108">
        <v>50</v>
      </c>
      <c r="D63" s="108" t="s">
        <v>1667</v>
      </c>
      <c r="E63" s="106">
        <v>0.05</v>
      </c>
      <c r="F63" s="106" t="s">
        <v>183</v>
      </c>
      <c r="G63" s="107">
        <f>INGREDIENTS!$D$239*E63</f>
        <v>1.2949999999999999</v>
      </c>
    </row>
    <row r="64" spans="2:7" x14ac:dyDescent="0.15">
      <c r="B64" s="108" t="s">
        <v>1611</v>
      </c>
      <c r="C64" s="108">
        <v>80</v>
      </c>
      <c r="D64" s="108" t="s">
        <v>1667</v>
      </c>
      <c r="E64" s="106">
        <v>0.08</v>
      </c>
      <c r="F64" s="108" t="s">
        <v>183</v>
      </c>
      <c r="G64" s="107">
        <f>INGREDIENTS!$D$277*E64</f>
        <v>2.6343999999999999</v>
      </c>
    </row>
    <row r="65" spans="2:7" x14ac:dyDescent="0.15">
      <c r="B65" s="108" t="s">
        <v>1487</v>
      </c>
      <c r="C65" s="108">
        <v>25</v>
      </c>
      <c r="D65" s="108" t="s">
        <v>1667</v>
      </c>
      <c r="E65" s="106">
        <v>2.5000000000000001E-2</v>
      </c>
      <c r="F65" s="106" t="s">
        <v>183</v>
      </c>
      <c r="G65" s="107">
        <f>INGREDIENTS!$D$228*E65</f>
        <v>0.24750000000000003</v>
      </c>
    </row>
    <row r="66" spans="2:7" x14ac:dyDescent="0.15">
      <c r="B66" s="196" t="s">
        <v>1612</v>
      </c>
      <c r="C66" s="196"/>
      <c r="D66" s="196"/>
      <c r="E66" s="159"/>
      <c r="F66" s="159"/>
      <c r="G66" s="159"/>
    </row>
    <row r="67" spans="2:7" x14ac:dyDescent="0.15">
      <c r="B67" s="196" t="s">
        <v>1613</v>
      </c>
      <c r="C67" s="196"/>
      <c r="D67" s="196"/>
      <c r="E67" s="196"/>
      <c r="F67" s="196"/>
      <c r="G67" s="196"/>
    </row>
    <row r="68" spans="2:7" x14ac:dyDescent="0.15">
      <c r="B68" s="108" t="s">
        <v>1487</v>
      </c>
      <c r="C68" s="108">
        <v>10</v>
      </c>
      <c r="D68" s="108" t="s">
        <v>1667</v>
      </c>
      <c r="E68" s="106">
        <v>0.01</v>
      </c>
      <c r="F68" s="106" t="s">
        <v>183</v>
      </c>
      <c r="G68" s="107">
        <f>INGREDIENTS!$D$228*E68</f>
        <v>9.9000000000000005E-2</v>
      </c>
    </row>
    <row r="69" spans="2:7" x14ac:dyDescent="0.15">
      <c r="B69" s="136"/>
      <c r="C69" s="136" t="s">
        <v>1670</v>
      </c>
      <c r="D69" s="135">
        <v>8</v>
      </c>
      <c r="E69" s="98"/>
      <c r="F69" s="136" t="s">
        <v>1490</v>
      </c>
      <c r="G69" s="114" t="e">
        <f>SUM(G57:G68)</f>
        <v>#REF!</v>
      </c>
    </row>
    <row r="70" spans="2:7" x14ac:dyDescent="0.15">
      <c r="B70" s="136"/>
      <c r="C70" s="136" t="s">
        <v>1672</v>
      </c>
      <c r="D70" s="160">
        <v>10.9</v>
      </c>
      <c r="E70" s="98"/>
      <c r="F70" s="136" t="s">
        <v>1590</v>
      </c>
      <c r="G70" s="135">
        <v>8</v>
      </c>
    </row>
    <row r="71" spans="2:7" x14ac:dyDescent="0.15">
      <c r="B71" s="136"/>
      <c r="C71" s="136" t="s">
        <v>1717</v>
      </c>
      <c r="D71" s="160">
        <v>9.9</v>
      </c>
      <c r="E71" s="98"/>
      <c r="F71" s="136" t="s">
        <v>1592</v>
      </c>
      <c r="G71" s="150" t="e">
        <f>G69/G70</f>
        <v>#REF!</v>
      </c>
    </row>
    <row r="72" spans="2:7" x14ac:dyDescent="0.15">
      <c r="B72" s="133" t="s">
        <v>1495</v>
      </c>
      <c r="C72" s="133"/>
      <c r="D72" s="133"/>
      <c r="E72" s="146" t="s">
        <v>1494</v>
      </c>
      <c r="F72" s="147" t="s">
        <v>1496</v>
      </c>
      <c r="G72" s="133" t="s">
        <v>1591</v>
      </c>
    </row>
    <row r="73" spans="2:7" x14ac:dyDescent="0.15">
      <c r="B73" s="149" t="e">
        <f>G73*G70</f>
        <v>#REF!</v>
      </c>
      <c r="C73" s="149"/>
      <c r="D73" s="149"/>
      <c r="E73" s="114">
        <v>9.9</v>
      </c>
      <c r="F73" s="132" t="e">
        <f>G71/E73</f>
        <v>#REF!</v>
      </c>
      <c r="G73" s="149" t="e">
        <f>E73-G71</f>
        <v>#REF!</v>
      </c>
    </row>
    <row r="74" spans="2:7" x14ac:dyDescent="0.15">
      <c r="B74" s="149" t="e">
        <f>G74*G70</f>
        <v>#REF!</v>
      </c>
      <c r="C74" s="149"/>
      <c r="D74" s="149"/>
      <c r="E74" s="114">
        <v>8.9</v>
      </c>
      <c r="F74" s="132" t="e">
        <f>G71/E74</f>
        <v>#REF!</v>
      </c>
      <c r="G74" s="149" t="e">
        <f>E74-G71</f>
        <v>#REF!</v>
      </c>
    </row>
  </sheetData>
  <mergeCells count="19">
    <mergeCell ref="B67:G67"/>
    <mergeCell ref="B52:G53"/>
    <mergeCell ref="B54:G54"/>
    <mergeCell ref="B55:G55"/>
    <mergeCell ref="B57:D57"/>
    <mergeCell ref="B61:D61"/>
    <mergeCell ref="B66:D66"/>
    <mergeCell ref="B2:E3"/>
    <mergeCell ref="B4:E4"/>
    <mergeCell ref="B5:E5"/>
    <mergeCell ref="B16:E16"/>
    <mergeCell ref="B49:E49"/>
    <mergeCell ref="B17:E17"/>
    <mergeCell ref="B26:E27"/>
    <mergeCell ref="B28:E28"/>
    <mergeCell ref="B29:E29"/>
    <mergeCell ref="B40:E40"/>
    <mergeCell ref="B41:E41"/>
    <mergeCell ref="B25:E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FE5A-8709-4132-92B3-C787AA1F9286}">
  <dimension ref="A1:I68"/>
  <sheetViews>
    <sheetView zoomScale="50" workbookViewId="0">
      <selection activeCell="J33" sqref="J33"/>
    </sheetView>
  </sheetViews>
  <sheetFormatPr baseColWidth="10" defaultColWidth="8.83203125" defaultRowHeight="28" x14ac:dyDescent="0.3"/>
  <cols>
    <col min="1" max="1" width="18.5" style="59" customWidth="1"/>
    <col min="2" max="2" width="74" style="59" customWidth="1"/>
    <col min="3" max="3" width="29.6640625" style="88" bestFit="1" customWidth="1"/>
    <col min="4" max="4" width="19.33203125" style="88" customWidth="1"/>
    <col min="5" max="5" width="22.83203125" style="91" bestFit="1" customWidth="1"/>
    <col min="6" max="6" width="38.6640625" style="89" customWidth="1"/>
    <col min="7" max="7" width="26.33203125" style="90" customWidth="1"/>
    <col min="8" max="8" width="19.5" style="90" bestFit="1" customWidth="1"/>
    <col min="9" max="9" width="44.33203125" style="90" customWidth="1"/>
    <col min="10" max="10" width="23.83203125" style="59" customWidth="1"/>
    <col min="11" max="16384" width="8.83203125" style="59"/>
  </cols>
  <sheetData>
    <row r="1" spans="1:9" ht="28.5" customHeight="1" x14ac:dyDescent="0.3">
      <c r="A1" s="224" t="s">
        <v>1207</v>
      </c>
      <c r="B1" s="224"/>
      <c r="C1" s="224"/>
      <c r="D1" s="224"/>
      <c r="E1" s="224"/>
      <c r="F1" s="224"/>
      <c r="G1" s="224"/>
      <c r="H1" s="224"/>
      <c r="I1" s="225"/>
    </row>
    <row r="2" spans="1:9" ht="28.5" customHeight="1" x14ac:dyDescent="0.3">
      <c r="A2" s="224"/>
      <c r="B2" s="224"/>
      <c r="C2" s="224"/>
      <c r="D2" s="224"/>
      <c r="E2" s="224"/>
      <c r="F2" s="224"/>
      <c r="G2" s="224"/>
      <c r="H2" s="224"/>
      <c r="I2" s="225"/>
    </row>
    <row r="3" spans="1:9" ht="28.5" customHeight="1" x14ac:dyDescent="0.3">
      <c r="A3" s="224"/>
      <c r="B3" s="224"/>
      <c r="C3" s="224"/>
      <c r="D3" s="224"/>
      <c r="E3" s="224"/>
      <c r="F3" s="224"/>
      <c r="G3" s="224"/>
      <c r="H3" s="224"/>
      <c r="I3" s="225"/>
    </row>
    <row r="4" spans="1:9" ht="28.5" customHeight="1" x14ac:dyDescent="0.3">
      <c r="A4" s="224"/>
      <c r="B4" s="224"/>
      <c r="C4" s="224"/>
      <c r="D4" s="224"/>
      <c r="E4" s="224"/>
      <c r="F4" s="224"/>
      <c r="G4" s="224"/>
      <c r="H4" s="224"/>
      <c r="I4" s="225"/>
    </row>
    <row r="5" spans="1:9" ht="28.5" customHeight="1" x14ac:dyDescent="0.3">
      <c r="A5" s="226"/>
      <c r="B5" s="226"/>
      <c r="C5" s="226"/>
      <c r="D5" s="226"/>
      <c r="E5" s="226"/>
      <c r="F5" s="226"/>
      <c r="G5" s="226"/>
      <c r="H5" s="226"/>
      <c r="I5" s="212"/>
    </row>
    <row r="6" spans="1:9" ht="42" x14ac:dyDescent="0.3">
      <c r="A6" s="60" t="s">
        <v>174</v>
      </c>
      <c r="B6" s="61" t="s">
        <v>1208</v>
      </c>
      <c r="C6" s="62" t="s">
        <v>1209</v>
      </c>
      <c r="D6" s="60" t="s">
        <v>1210</v>
      </c>
      <c r="E6" s="63" t="s">
        <v>1211</v>
      </c>
      <c r="F6" s="61" t="s">
        <v>1212</v>
      </c>
      <c r="G6" s="64" t="s">
        <v>1213</v>
      </c>
      <c r="H6" s="60" t="s">
        <v>1214</v>
      </c>
      <c r="I6" s="60" t="s">
        <v>1215</v>
      </c>
    </row>
    <row r="7" spans="1:9" ht="28.5" customHeight="1" x14ac:dyDescent="0.3">
      <c r="A7" s="65"/>
      <c r="B7" s="65" t="s">
        <v>1216</v>
      </c>
      <c r="C7" s="66" t="s">
        <v>1217</v>
      </c>
      <c r="D7" s="66" t="s">
        <v>1217</v>
      </c>
      <c r="E7" s="67">
        <v>69.5</v>
      </c>
      <c r="F7" s="215" t="s">
        <v>1218</v>
      </c>
      <c r="G7" s="68">
        <v>0.9</v>
      </c>
      <c r="H7" s="69">
        <f t="shared" ref="H7:H60" si="0">G7*E7</f>
        <v>62.550000000000004</v>
      </c>
      <c r="I7" s="207">
        <f>SUM(H7:H15)</f>
        <v>654.90000000000009</v>
      </c>
    </row>
    <row r="8" spans="1:9" x14ac:dyDescent="0.3">
      <c r="A8" s="65"/>
      <c r="B8" s="65" t="s">
        <v>1219</v>
      </c>
      <c r="C8" s="66" t="s">
        <v>1217</v>
      </c>
      <c r="D8" s="66" t="s">
        <v>1217</v>
      </c>
      <c r="E8" s="67">
        <v>55</v>
      </c>
      <c r="F8" s="216"/>
      <c r="G8" s="68">
        <v>1</v>
      </c>
      <c r="H8" s="69">
        <f t="shared" si="0"/>
        <v>55</v>
      </c>
      <c r="I8" s="208"/>
    </row>
    <row r="9" spans="1:9" x14ac:dyDescent="0.3">
      <c r="A9" s="65"/>
      <c r="B9" s="65" t="s">
        <v>1220</v>
      </c>
      <c r="C9" s="66" t="s">
        <v>1217</v>
      </c>
      <c r="D9" s="70" t="s">
        <v>1217</v>
      </c>
      <c r="E9" s="67">
        <v>55</v>
      </c>
      <c r="F9" s="216"/>
      <c r="G9" s="68">
        <v>1.5</v>
      </c>
      <c r="H9" s="69">
        <f t="shared" si="0"/>
        <v>82.5</v>
      </c>
      <c r="I9" s="208"/>
    </row>
    <row r="10" spans="1:9" x14ac:dyDescent="0.3">
      <c r="A10" s="65"/>
      <c r="B10" s="65" t="s">
        <v>1221</v>
      </c>
      <c r="C10" s="66" t="s">
        <v>1217</v>
      </c>
      <c r="D10" s="70" t="s">
        <v>1217</v>
      </c>
      <c r="E10" s="67">
        <v>55</v>
      </c>
      <c r="F10" s="216"/>
      <c r="G10" s="68">
        <v>1</v>
      </c>
      <c r="H10" s="69">
        <f t="shared" si="0"/>
        <v>55</v>
      </c>
      <c r="I10" s="208"/>
    </row>
    <row r="11" spans="1:9" x14ac:dyDescent="0.3">
      <c r="A11" s="65"/>
      <c r="B11" s="65" t="s">
        <v>1222</v>
      </c>
      <c r="C11" s="66" t="s">
        <v>1217</v>
      </c>
      <c r="D11" s="70" t="s">
        <v>1217</v>
      </c>
      <c r="E11" s="67">
        <v>55</v>
      </c>
      <c r="F11" s="216"/>
      <c r="G11" s="68">
        <v>0.7</v>
      </c>
      <c r="H11" s="69">
        <f t="shared" si="0"/>
        <v>38.5</v>
      </c>
      <c r="I11" s="208"/>
    </row>
    <row r="12" spans="1:9" x14ac:dyDescent="0.3">
      <c r="A12" s="65"/>
      <c r="B12" s="65" t="s">
        <v>1223</v>
      </c>
      <c r="C12" s="66" t="s">
        <v>1217</v>
      </c>
      <c r="D12" s="70" t="s">
        <v>1217</v>
      </c>
      <c r="E12" s="67">
        <v>69.5</v>
      </c>
      <c r="F12" s="216"/>
      <c r="G12" s="68">
        <v>1.3</v>
      </c>
      <c r="H12" s="69">
        <f t="shared" si="0"/>
        <v>90.350000000000009</v>
      </c>
      <c r="I12" s="208"/>
    </row>
    <row r="13" spans="1:9" x14ac:dyDescent="0.3">
      <c r="A13" s="65"/>
      <c r="B13" s="65" t="s">
        <v>1224</v>
      </c>
      <c r="C13" s="66" t="s">
        <v>1217</v>
      </c>
      <c r="D13" s="70" t="s">
        <v>1217</v>
      </c>
      <c r="E13" s="67">
        <v>55</v>
      </c>
      <c r="F13" s="216"/>
      <c r="G13" s="68">
        <v>1</v>
      </c>
      <c r="H13" s="69">
        <f t="shared" si="0"/>
        <v>55</v>
      </c>
      <c r="I13" s="208"/>
    </row>
    <row r="14" spans="1:9" x14ac:dyDescent="0.3">
      <c r="A14" s="65"/>
      <c r="B14" s="65" t="s">
        <v>1225</v>
      </c>
      <c r="C14" s="66" t="s">
        <v>1217</v>
      </c>
      <c r="D14" s="70" t="s">
        <v>1217</v>
      </c>
      <c r="E14" s="67">
        <v>40</v>
      </c>
      <c r="F14" s="216"/>
      <c r="G14" s="68">
        <v>5.4</v>
      </c>
      <c r="H14" s="69">
        <f t="shared" si="0"/>
        <v>216</v>
      </c>
      <c r="I14" s="208"/>
    </row>
    <row r="15" spans="1:9" x14ac:dyDescent="0.3">
      <c r="A15" s="65"/>
      <c r="B15" s="65"/>
      <c r="C15" s="66"/>
      <c r="D15" s="70"/>
      <c r="E15" s="67"/>
      <c r="F15" s="217"/>
      <c r="G15" s="68"/>
      <c r="H15" s="69">
        <f t="shared" si="0"/>
        <v>0</v>
      </c>
      <c r="I15" s="227"/>
    </row>
    <row r="16" spans="1:9" x14ac:dyDescent="0.3">
      <c r="A16" s="65"/>
      <c r="B16" s="65" t="s">
        <v>1226</v>
      </c>
      <c r="C16" s="66" t="s">
        <v>1227</v>
      </c>
      <c r="D16" s="70" t="s">
        <v>1228</v>
      </c>
      <c r="E16" s="67">
        <v>6.75</v>
      </c>
      <c r="F16" s="215" t="s">
        <v>1229</v>
      </c>
      <c r="G16" s="68">
        <v>8</v>
      </c>
      <c r="H16" s="69">
        <f t="shared" si="0"/>
        <v>54</v>
      </c>
      <c r="I16" s="207">
        <f>SUM(H16:H23)</f>
        <v>480.5</v>
      </c>
    </row>
    <row r="17" spans="1:9" x14ac:dyDescent="0.3">
      <c r="A17" s="65"/>
      <c r="B17" s="65" t="s">
        <v>1230</v>
      </c>
      <c r="C17" s="66" t="s">
        <v>1231</v>
      </c>
      <c r="D17" s="70" t="s">
        <v>1228</v>
      </c>
      <c r="E17" s="67">
        <v>8</v>
      </c>
      <c r="F17" s="216"/>
      <c r="G17" s="68">
        <v>12</v>
      </c>
      <c r="H17" s="69">
        <f t="shared" si="0"/>
        <v>96</v>
      </c>
      <c r="I17" s="208"/>
    </row>
    <row r="18" spans="1:9" x14ac:dyDescent="0.3">
      <c r="A18" s="65"/>
      <c r="B18" s="65" t="s">
        <v>1232</v>
      </c>
      <c r="C18" s="66" t="s">
        <v>1233</v>
      </c>
      <c r="D18" s="70" t="s">
        <v>1228</v>
      </c>
      <c r="E18" s="67">
        <v>6.25</v>
      </c>
      <c r="F18" s="216"/>
      <c r="G18" s="68">
        <v>30</v>
      </c>
      <c r="H18" s="69">
        <f t="shared" si="0"/>
        <v>187.5</v>
      </c>
      <c r="I18" s="208"/>
    </row>
    <row r="19" spans="1:9" x14ac:dyDescent="0.3">
      <c r="A19" s="65"/>
      <c r="B19" s="65" t="s">
        <v>1234</v>
      </c>
      <c r="C19" s="66" t="s">
        <v>1231</v>
      </c>
      <c r="D19" s="74" t="s">
        <v>1235</v>
      </c>
      <c r="E19" s="75">
        <f>220/20</f>
        <v>11</v>
      </c>
      <c r="F19" s="216"/>
      <c r="G19" s="68">
        <v>7</v>
      </c>
      <c r="H19" s="69">
        <f t="shared" si="0"/>
        <v>77</v>
      </c>
      <c r="I19" s="208"/>
    </row>
    <row r="20" spans="1:9" ht="44" x14ac:dyDescent="0.3">
      <c r="A20" s="65"/>
      <c r="B20" s="65" t="s">
        <v>1236</v>
      </c>
      <c r="C20" s="92" t="s">
        <v>1237</v>
      </c>
      <c r="D20" s="95" t="s">
        <v>1238</v>
      </c>
      <c r="E20" s="96">
        <f>230/20</f>
        <v>11.5</v>
      </c>
      <c r="F20" s="228"/>
      <c r="G20" s="68">
        <v>6</v>
      </c>
      <c r="H20" s="69">
        <f>G20*E19</f>
        <v>66</v>
      </c>
      <c r="I20" s="208"/>
    </row>
    <row r="21" spans="1:9" x14ac:dyDescent="0.3">
      <c r="A21" s="65"/>
      <c r="B21" s="65" t="s">
        <v>1239</v>
      </c>
      <c r="C21" s="92" t="s">
        <v>1237</v>
      </c>
      <c r="D21" s="80" t="s">
        <v>1235</v>
      </c>
      <c r="E21" s="78">
        <f>220/50</f>
        <v>4.4000000000000004</v>
      </c>
      <c r="F21" s="228"/>
      <c r="G21" s="68"/>
      <c r="H21" s="69">
        <f>G21*E23</f>
        <v>0</v>
      </c>
      <c r="I21" s="208"/>
    </row>
    <row r="22" spans="1:9" x14ac:dyDescent="0.3">
      <c r="A22" s="65"/>
      <c r="B22" s="65" t="s">
        <v>1240</v>
      </c>
      <c r="C22" s="92" t="s">
        <v>1241</v>
      </c>
      <c r="D22" s="97" t="s">
        <v>1242</v>
      </c>
      <c r="E22" s="71">
        <f>270/20</f>
        <v>13.5</v>
      </c>
      <c r="F22" s="228"/>
      <c r="G22" s="68"/>
      <c r="H22" s="69"/>
      <c r="I22" s="208"/>
    </row>
    <row r="23" spans="1:9" x14ac:dyDescent="0.3">
      <c r="A23" s="65"/>
      <c r="B23" s="65" t="s">
        <v>1243</v>
      </c>
      <c r="C23" s="66" t="s">
        <v>1244</v>
      </c>
      <c r="D23" s="93" t="s">
        <v>1245</v>
      </c>
      <c r="E23" s="94">
        <f>130/50</f>
        <v>2.6</v>
      </c>
      <c r="F23" s="217"/>
      <c r="G23" s="68"/>
      <c r="H23" s="69">
        <f>G23*E24</f>
        <v>0</v>
      </c>
      <c r="I23" s="227"/>
    </row>
    <row r="24" spans="1:9" ht="28.5" customHeight="1" x14ac:dyDescent="0.3">
      <c r="A24" s="65"/>
      <c r="B24" s="65" t="s">
        <v>1246</v>
      </c>
      <c r="C24" s="66" t="s">
        <v>1217</v>
      </c>
      <c r="D24" s="70" t="s">
        <v>1217</v>
      </c>
      <c r="E24" s="67">
        <v>9.3000000000000007</v>
      </c>
      <c r="F24" s="215" t="s">
        <v>1247</v>
      </c>
      <c r="G24" s="68">
        <v>10</v>
      </c>
      <c r="H24" s="69">
        <f t="shared" si="0"/>
        <v>93</v>
      </c>
      <c r="I24" s="207">
        <f>SUM(H24:H28)</f>
        <v>904.12</v>
      </c>
    </row>
    <row r="25" spans="1:9" x14ac:dyDescent="0.3">
      <c r="A25" s="65"/>
      <c r="B25" s="65" t="s">
        <v>1248</v>
      </c>
      <c r="C25" s="66" t="s">
        <v>1249</v>
      </c>
      <c r="D25" s="70" t="s">
        <v>1249</v>
      </c>
      <c r="E25" s="67">
        <v>14.26</v>
      </c>
      <c r="F25" s="216"/>
      <c r="G25" s="68">
        <v>52</v>
      </c>
      <c r="H25" s="69">
        <f t="shared" si="0"/>
        <v>741.52</v>
      </c>
      <c r="I25" s="208"/>
    </row>
    <row r="26" spans="1:9" x14ac:dyDescent="0.3">
      <c r="A26" s="65"/>
      <c r="B26" s="65" t="s">
        <v>1250</v>
      </c>
      <c r="C26" s="66" t="s">
        <v>1251</v>
      </c>
      <c r="D26" s="70" t="s">
        <v>1251</v>
      </c>
      <c r="E26" s="67">
        <v>34.799999999999997</v>
      </c>
      <c r="F26" s="216"/>
      <c r="G26" s="68">
        <v>2</v>
      </c>
      <c r="H26" s="69">
        <f t="shared" si="0"/>
        <v>69.599999999999994</v>
      </c>
      <c r="I26" s="208"/>
    </row>
    <row r="27" spans="1:9" x14ac:dyDescent="0.3">
      <c r="A27" s="65"/>
      <c r="B27" s="65"/>
      <c r="C27" s="66"/>
      <c r="D27" s="70"/>
      <c r="E27" s="67"/>
      <c r="F27" s="216"/>
      <c r="G27" s="68"/>
      <c r="H27" s="69">
        <f t="shared" si="0"/>
        <v>0</v>
      </c>
      <c r="I27" s="208"/>
    </row>
    <row r="28" spans="1:9" x14ac:dyDescent="0.3">
      <c r="A28" s="65"/>
      <c r="B28" s="65"/>
      <c r="C28" s="66"/>
      <c r="D28" s="70"/>
      <c r="E28" s="67"/>
      <c r="F28" s="217"/>
      <c r="G28" s="68"/>
      <c r="H28" s="69">
        <f t="shared" si="0"/>
        <v>0</v>
      </c>
      <c r="I28" s="223"/>
    </row>
    <row r="29" spans="1:9" ht="28.5" customHeight="1" x14ac:dyDescent="0.3">
      <c r="A29" s="65"/>
      <c r="B29" s="65" t="s">
        <v>1252</v>
      </c>
      <c r="C29" s="66" t="s">
        <v>1253</v>
      </c>
      <c r="D29" s="70" t="s">
        <v>1253</v>
      </c>
      <c r="E29" s="67">
        <v>60</v>
      </c>
      <c r="F29" s="215" t="s">
        <v>1254</v>
      </c>
      <c r="G29" s="68">
        <v>6.5</v>
      </c>
      <c r="H29" s="69">
        <f t="shared" si="0"/>
        <v>390</v>
      </c>
      <c r="I29" s="218">
        <f>SUM(H29:H31)</f>
        <v>390</v>
      </c>
    </row>
    <row r="30" spans="1:9" x14ac:dyDescent="0.3">
      <c r="A30" s="65"/>
      <c r="B30" s="65" t="s">
        <v>1255</v>
      </c>
      <c r="C30" s="66" t="s">
        <v>1253</v>
      </c>
      <c r="D30" s="70" t="s">
        <v>1253</v>
      </c>
      <c r="E30" s="67">
        <v>120</v>
      </c>
      <c r="F30" s="216"/>
      <c r="G30" s="68"/>
      <c r="H30" s="69">
        <f t="shared" si="0"/>
        <v>0</v>
      </c>
      <c r="I30" s="219"/>
    </row>
    <row r="31" spans="1:9" x14ac:dyDescent="0.3">
      <c r="A31" s="65"/>
      <c r="B31" s="65" t="s">
        <v>1256</v>
      </c>
      <c r="C31" s="66" t="s">
        <v>1257</v>
      </c>
      <c r="D31" s="70" t="s">
        <v>1253</v>
      </c>
      <c r="E31" s="67">
        <v>70</v>
      </c>
      <c r="F31" s="217"/>
      <c r="G31" s="68"/>
      <c r="H31" s="69">
        <f t="shared" si="0"/>
        <v>0</v>
      </c>
      <c r="I31" s="220"/>
    </row>
    <row r="32" spans="1:9" x14ac:dyDescent="0.3">
      <c r="A32" s="65"/>
      <c r="B32" s="65" t="s">
        <v>1258</v>
      </c>
      <c r="C32" s="66" t="s">
        <v>361</v>
      </c>
      <c r="D32" s="70" t="s">
        <v>350</v>
      </c>
      <c r="E32" s="67">
        <v>4</v>
      </c>
      <c r="F32" s="221" t="s">
        <v>1259</v>
      </c>
      <c r="G32" s="68"/>
      <c r="H32" s="69">
        <f t="shared" si="0"/>
        <v>0</v>
      </c>
      <c r="I32" s="204">
        <f>SUM(H32:H39)</f>
        <v>238</v>
      </c>
    </row>
    <row r="33" spans="1:9" x14ac:dyDescent="0.3">
      <c r="A33" s="65"/>
      <c r="B33" s="65" t="s">
        <v>1260</v>
      </c>
      <c r="C33" s="66" t="s">
        <v>361</v>
      </c>
      <c r="D33" s="70" t="s">
        <v>350</v>
      </c>
      <c r="E33" s="67">
        <v>4</v>
      </c>
      <c r="F33" s="222"/>
      <c r="G33" s="68">
        <v>3</v>
      </c>
      <c r="H33" s="69">
        <f t="shared" si="0"/>
        <v>12</v>
      </c>
      <c r="I33" s="205"/>
    </row>
    <row r="34" spans="1:9" x14ac:dyDescent="0.3">
      <c r="A34" s="65"/>
      <c r="B34" s="65" t="s">
        <v>1261</v>
      </c>
      <c r="C34" s="66" t="s">
        <v>361</v>
      </c>
      <c r="D34" s="70" t="s">
        <v>350</v>
      </c>
      <c r="E34" s="67">
        <v>4</v>
      </c>
      <c r="F34" s="222"/>
      <c r="G34" s="68">
        <v>4</v>
      </c>
      <c r="H34" s="69">
        <f t="shared" si="0"/>
        <v>16</v>
      </c>
      <c r="I34" s="205"/>
    </row>
    <row r="35" spans="1:9" x14ac:dyDescent="0.3">
      <c r="A35" s="65"/>
      <c r="B35" s="65" t="s">
        <v>1262</v>
      </c>
      <c r="C35" s="66" t="s">
        <v>1263</v>
      </c>
      <c r="D35" s="70" t="s">
        <v>350</v>
      </c>
      <c r="E35" s="67">
        <v>2</v>
      </c>
      <c r="F35" s="222"/>
      <c r="G35" s="68"/>
      <c r="H35" s="69">
        <f t="shared" si="0"/>
        <v>0</v>
      </c>
      <c r="I35" s="205"/>
    </row>
    <row r="36" spans="1:9" x14ac:dyDescent="0.3">
      <c r="A36" s="65"/>
      <c r="B36" s="65" t="s">
        <v>562</v>
      </c>
      <c r="C36" s="66" t="s">
        <v>350</v>
      </c>
      <c r="D36" s="70" t="s">
        <v>350</v>
      </c>
      <c r="E36" s="67">
        <v>7.5</v>
      </c>
      <c r="F36" s="222"/>
      <c r="G36" s="68">
        <v>7</v>
      </c>
      <c r="H36" s="69">
        <f t="shared" si="0"/>
        <v>52.5</v>
      </c>
      <c r="I36" s="205"/>
    </row>
    <row r="37" spans="1:9" x14ac:dyDescent="0.3">
      <c r="A37" s="65"/>
      <c r="B37" s="72" t="s">
        <v>1264</v>
      </c>
      <c r="C37" s="73" t="s">
        <v>350</v>
      </c>
      <c r="D37" s="74" t="s">
        <v>350</v>
      </c>
      <c r="E37" s="75">
        <v>7.5</v>
      </c>
      <c r="F37" s="222"/>
      <c r="G37" s="76">
        <v>7</v>
      </c>
      <c r="H37" s="69">
        <f t="shared" si="0"/>
        <v>52.5</v>
      </c>
      <c r="I37" s="205"/>
    </row>
    <row r="38" spans="1:9" x14ac:dyDescent="0.3">
      <c r="A38" s="77"/>
      <c r="B38" s="78" t="s">
        <v>1265</v>
      </c>
      <c r="C38" s="79" t="s">
        <v>350</v>
      </c>
      <c r="D38" s="80" t="s">
        <v>350</v>
      </c>
      <c r="E38" s="81">
        <v>7.5</v>
      </c>
      <c r="F38" s="222"/>
      <c r="G38" s="82">
        <v>5</v>
      </c>
      <c r="H38" s="83">
        <f t="shared" si="0"/>
        <v>37.5</v>
      </c>
      <c r="I38" s="205"/>
    </row>
    <row r="39" spans="1:9" x14ac:dyDescent="0.3">
      <c r="A39" s="77"/>
      <c r="B39" s="78" t="s">
        <v>965</v>
      </c>
      <c r="C39" s="79" t="s">
        <v>350</v>
      </c>
      <c r="D39" s="80" t="s">
        <v>350</v>
      </c>
      <c r="E39" s="81">
        <v>7.5</v>
      </c>
      <c r="F39" s="222"/>
      <c r="G39" s="84">
        <v>9</v>
      </c>
      <c r="H39" s="83">
        <f t="shared" si="0"/>
        <v>67.5</v>
      </c>
      <c r="I39" s="205"/>
    </row>
    <row r="40" spans="1:9" x14ac:dyDescent="0.3">
      <c r="A40" s="65"/>
      <c r="B40" s="65" t="s">
        <v>1266</v>
      </c>
      <c r="C40" s="66" t="s">
        <v>1267</v>
      </c>
      <c r="D40" s="70" t="s">
        <v>1267</v>
      </c>
      <c r="E40" s="67">
        <v>5.5</v>
      </c>
      <c r="F40" s="202" t="s">
        <v>1268</v>
      </c>
      <c r="G40" s="68">
        <v>5</v>
      </c>
      <c r="H40" s="69">
        <f t="shared" si="0"/>
        <v>27.5</v>
      </c>
      <c r="I40" s="207">
        <f>SUM(H40:H43)</f>
        <v>47</v>
      </c>
    </row>
    <row r="41" spans="1:9" x14ac:dyDescent="0.3">
      <c r="A41" s="65"/>
      <c r="B41" s="65" t="s">
        <v>980</v>
      </c>
      <c r="C41" s="66" t="s">
        <v>1269</v>
      </c>
      <c r="D41" s="70" t="s">
        <v>1269</v>
      </c>
      <c r="E41" s="67">
        <v>4.8</v>
      </c>
      <c r="F41" s="203"/>
      <c r="G41" s="68">
        <v>1</v>
      </c>
      <c r="H41" s="69">
        <f t="shared" si="0"/>
        <v>4.8</v>
      </c>
      <c r="I41" s="208"/>
    </row>
    <row r="42" spans="1:9" x14ac:dyDescent="0.3">
      <c r="A42" s="65"/>
      <c r="B42" s="65" t="s">
        <v>1270</v>
      </c>
      <c r="C42" s="66" t="s">
        <v>1271</v>
      </c>
      <c r="D42" s="70" t="s">
        <v>1272</v>
      </c>
      <c r="E42" s="67">
        <v>8.8000000000000007</v>
      </c>
      <c r="F42" s="203"/>
      <c r="G42" s="68"/>
      <c r="H42" s="69">
        <f t="shared" si="0"/>
        <v>0</v>
      </c>
      <c r="I42" s="208"/>
    </row>
    <row r="43" spans="1:9" x14ac:dyDescent="0.3">
      <c r="A43" s="65"/>
      <c r="B43" s="65" t="s">
        <v>1273</v>
      </c>
      <c r="C43" s="66" t="s">
        <v>1274</v>
      </c>
      <c r="D43" s="70" t="s">
        <v>1274</v>
      </c>
      <c r="E43" s="67">
        <v>9.8000000000000007</v>
      </c>
      <c r="F43" s="203"/>
      <c r="G43" s="68">
        <v>1.5</v>
      </c>
      <c r="H43" s="69">
        <f t="shared" si="0"/>
        <v>14.700000000000001</v>
      </c>
      <c r="I43" s="208"/>
    </row>
    <row r="44" spans="1:9" x14ac:dyDescent="0.3">
      <c r="A44" s="65"/>
      <c r="B44" s="65" t="s">
        <v>76</v>
      </c>
      <c r="C44" s="66" t="s">
        <v>1275</v>
      </c>
      <c r="D44" s="70" t="s">
        <v>688</v>
      </c>
      <c r="E44" s="67">
        <v>13.5</v>
      </c>
      <c r="F44" s="202" t="s">
        <v>1276</v>
      </c>
      <c r="G44" s="68">
        <v>1.5</v>
      </c>
      <c r="H44" s="69">
        <f t="shared" si="0"/>
        <v>20.25</v>
      </c>
      <c r="I44" s="204">
        <f>SUM(H44:H55)</f>
        <v>225.77999999999997</v>
      </c>
    </row>
    <row r="45" spans="1:9" x14ac:dyDescent="0.3">
      <c r="A45" s="65"/>
      <c r="B45" s="65" t="s">
        <v>1277</v>
      </c>
      <c r="C45" s="66" t="s">
        <v>1278</v>
      </c>
      <c r="D45" s="70" t="s">
        <v>1278</v>
      </c>
      <c r="E45" s="67">
        <v>12</v>
      </c>
      <c r="F45" s="203"/>
      <c r="G45" s="68">
        <v>0.1</v>
      </c>
      <c r="H45" s="69">
        <f t="shared" si="0"/>
        <v>1.2000000000000002</v>
      </c>
      <c r="I45" s="205"/>
    </row>
    <row r="46" spans="1:9" x14ac:dyDescent="0.3">
      <c r="A46" s="65"/>
      <c r="B46" s="65" t="s">
        <v>1279</v>
      </c>
      <c r="C46" s="66" t="s">
        <v>1278</v>
      </c>
      <c r="D46" s="70" t="s">
        <v>1278</v>
      </c>
      <c r="E46" s="67">
        <v>4.5</v>
      </c>
      <c r="F46" s="203"/>
      <c r="G46" s="68">
        <v>10</v>
      </c>
      <c r="H46" s="69">
        <f t="shared" si="0"/>
        <v>45</v>
      </c>
      <c r="I46" s="205"/>
    </row>
    <row r="47" spans="1:9" x14ac:dyDescent="0.3">
      <c r="A47" s="65"/>
      <c r="B47" s="65" t="s">
        <v>639</v>
      </c>
      <c r="C47" s="66" t="s">
        <v>1278</v>
      </c>
      <c r="D47" s="70" t="s">
        <v>1278</v>
      </c>
      <c r="E47" s="67">
        <v>9.5</v>
      </c>
      <c r="F47" s="203"/>
      <c r="G47" s="68">
        <v>2</v>
      </c>
      <c r="H47" s="69">
        <f t="shared" si="0"/>
        <v>19</v>
      </c>
      <c r="I47" s="205"/>
    </row>
    <row r="48" spans="1:9" x14ac:dyDescent="0.3">
      <c r="A48" s="65"/>
      <c r="B48" s="65" t="s">
        <v>1280</v>
      </c>
      <c r="C48" s="66" t="s">
        <v>1281</v>
      </c>
      <c r="D48" s="70" t="s">
        <v>1281</v>
      </c>
      <c r="E48" s="67">
        <v>9.5</v>
      </c>
      <c r="F48" s="203"/>
      <c r="G48" s="68">
        <v>2</v>
      </c>
      <c r="H48" s="69">
        <f t="shared" si="0"/>
        <v>19</v>
      </c>
      <c r="I48" s="205"/>
    </row>
    <row r="49" spans="1:9" x14ac:dyDescent="0.3">
      <c r="A49" s="65"/>
      <c r="B49" s="65" t="s">
        <v>1282</v>
      </c>
      <c r="C49" s="66" t="s">
        <v>1278</v>
      </c>
      <c r="D49" s="70" t="s">
        <v>1278</v>
      </c>
      <c r="E49" s="67">
        <v>3.5</v>
      </c>
      <c r="F49" s="203"/>
      <c r="G49" s="68">
        <v>1.5</v>
      </c>
      <c r="H49" s="69">
        <f t="shared" si="0"/>
        <v>5.25</v>
      </c>
      <c r="I49" s="205"/>
    </row>
    <row r="50" spans="1:9" x14ac:dyDescent="0.3">
      <c r="A50" s="65"/>
      <c r="B50" s="65" t="s">
        <v>1283</v>
      </c>
      <c r="C50" s="66" t="s">
        <v>1278</v>
      </c>
      <c r="D50" s="70" t="s">
        <v>1278</v>
      </c>
      <c r="E50" s="67">
        <v>10</v>
      </c>
      <c r="F50" s="203"/>
      <c r="G50" s="68">
        <v>4</v>
      </c>
      <c r="H50" s="69">
        <f t="shared" si="0"/>
        <v>40</v>
      </c>
      <c r="I50" s="205"/>
    </row>
    <row r="51" spans="1:9" x14ac:dyDescent="0.3">
      <c r="A51" s="65"/>
      <c r="B51" s="65" t="s">
        <v>1284</v>
      </c>
      <c r="C51" s="66" t="s">
        <v>1285</v>
      </c>
      <c r="D51" s="70" t="s">
        <v>1286</v>
      </c>
      <c r="E51" s="67">
        <v>1.5</v>
      </c>
      <c r="F51" s="203"/>
      <c r="G51" s="68">
        <v>26</v>
      </c>
      <c r="H51" s="69">
        <f t="shared" si="0"/>
        <v>39</v>
      </c>
      <c r="I51" s="205"/>
    </row>
    <row r="52" spans="1:9" x14ac:dyDescent="0.3">
      <c r="A52" s="65"/>
      <c r="B52" s="65" t="s">
        <v>1287</v>
      </c>
      <c r="C52" s="66" t="s">
        <v>1269</v>
      </c>
      <c r="D52" s="70" t="s">
        <v>1269</v>
      </c>
      <c r="E52" s="67">
        <v>3.5</v>
      </c>
      <c r="F52" s="203"/>
      <c r="G52" s="68">
        <v>3</v>
      </c>
      <c r="H52" s="69">
        <f t="shared" si="0"/>
        <v>10.5</v>
      </c>
      <c r="I52" s="205"/>
    </row>
    <row r="53" spans="1:9" x14ac:dyDescent="0.3">
      <c r="A53" s="65"/>
      <c r="B53" s="65" t="s">
        <v>1288</v>
      </c>
      <c r="C53" s="66" t="s">
        <v>1269</v>
      </c>
      <c r="D53" s="70" t="s">
        <v>1269</v>
      </c>
      <c r="E53" s="67">
        <v>4.8</v>
      </c>
      <c r="F53" s="203"/>
      <c r="G53" s="68">
        <v>4</v>
      </c>
      <c r="H53" s="69">
        <f t="shared" si="0"/>
        <v>19.2</v>
      </c>
      <c r="I53" s="205"/>
    </row>
    <row r="54" spans="1:9" x14ac:dyDescent="0.3">
      <c r="A54" s="65"/>
      <c r="B54" s="65" t="s">
        <v>1289</v>
      </c>
      <c r="C54" s="66" t="s">
        <v>1269</v>
      </c>
      <c r="D54" s="70" t="s">
        <v>1269</v>
      </c>
      <c r="E54" s="67">
        <v>6.5</v>
      </c>
      <c r="F54" s="203"/>
      <c r="G54" s="68">
        <v>1</v>
      </c>
      <c r="H54" s="69">
        <f t="shared" si="0"/>
        <v>6.5</v>
      </c>
      <c r="I54" s="205"/>
    </row>
    <row r="55" spans="1:9" x14ac:dyDescent="0.3">
      <c r="A55" s="65"/>
      <c r="B55" s="65" t="s">
        <v>1290</v>
      </c>
      <c r="C55" s="66" t="s">
        <v>183</v>
      </c>
      <c r="D55" s="70" t="s">
        <v>183</v>
      </c>
      <c r="E55" s="67">
        <v>8.8000000000000007</v>
      </c>
      <c r="F55" s="203"/>
      <c r="G55" s="68">
        <v>0.1</v>
      </c>
      <c r="H55" s="69">
        <f t="shared" si="0"/>
        <v>0.88000000000000012</v>
      </c>
      <c r="I55" s="205"/>
    </row>
    <row r="56" spans="1:9" ht="28.5" customHeight="1" x14ac:dyDescent="0.3">
      <c r="A56" s="65"/>
      <c r="B56" s="65" t="s">
        <v>1291</v>
      </c>
      <c r="C56" s="66" t="s">
        <v>1292</v>
      </c>
      <c r="D56" s="70" t="s">
        <v>1278</v>
      </c>
      <c r="E56" s="67">
        <v>19.600000000000001</v>
      </c>
      <c r="F56" s="206" t="s">
        <v>1293</v>
      </c>
      <c r="G56" s="68">
        <v>6</v>
      </c>
      <c r="H56" s="69">
        <f t="shared" si="0"/>
        <v>117.60000000000001</v>
      </c>
      <c r="I56" s="207">
        <f>SUM(H56:H60)</f>
        <v>117.60000000000001</v>
      </c>
    </row>
    <row r="57" spans="1:9" x14ac:dyDescent="0.3">
      <c r="A57" s="65"/>
      <c r="B57" s="65"/>
      <c r="C57" s="66"/>
      <c r="D57" s="70"/>
      <c r="E57" s="67"/>
      <c r="F57" s="206"/>
      <c r="G57" s="68"/>
      <c r="H57" s="69">
        <f t="shared" si="0"/>
        <v>0</v>
      </c>
      <c r="I57" s="208"/>
    </row>
    <row r="58" spans="1:9" x14ac:dyDescent="0.3">
      <c r="A58" s="65"/>
      <c r="B58" s="65"/>
      <c r="C58" s="66"/>
      <c r="D58" s="70"/>
      <c r="E58" s="67"/>
      <c r="F58" s="206"/>
      <c r="G58" s="68"/>
      <c r="H58" s="69">
        <f t="shared" si="0"/>
        <v>0</v>
      </c>
      <c r="I58" s="208"/>
    </row>
    <row r="59" spans="1:9" x14ac:dyDescent="0.3">
      <c r="A59" s="65"/>
      <c r="B59" s="65"/>
      <c r="C59" s="66"/>
      <c r="D59" s="70"/>
      <c r="E59" s="67"/>
      <c r="F59" s="206"/>
      <c r="G59" s="68"/>
      <c r="H59" s="69">
        <f t="shared" si="0"/>
        <v>0</v>
      </c>
      <c r="I59" s="208"/>
    </row>
    <row r="60" spans="1:9" x14ac:dyDescent="0.3">
      <c r="A60" s="65"/>
      <c r="B60" s="65"/>
      <c r="C60" s="66"/>
      <c r="D60" s="70"/>
      <c r="E60" s="67"/>
      <c r="F60" s="206"/>
      <c r="G60" s="68"/>
      <c r="H60" s="69">
        <f t="shared" si="0"/>
        <v>0</v>
      </c>
      <c r="I60" s="208"/>
    </row>
    <row r="61" spans="1:9" ht="28.5" customHeight="1" x14ac:dyDescent="0.3">
      <c r="A61" s="71"/>
      <c r="B61" s="71"/>
      <c r="C61" s="85"/>
      <c r="D61" s="85"/>
      <c r="E61" s="86"/>
      <c r="F61" s="87"/>
      <c r="G61" s="209" t="s">
        <v>777</v>
      </c>
      <c r="H61" s="210"/>
      <c r="I61" s="213">
        <f>SUM(I7:I60)</f>
        <v>3057.9</v>
      </c>
    </row>
    <row r="62" spans="1:9" x14ac:dyDescent="0.3">
      <c r="A62" s="71"/>
      <c r="B62" s="71"/>
      <c r="C62" s="85"/>
      <c r="D62" s="85"/>
      <c r="E62" s="86"/>
      <c r="F62" s="87"/>
      <c r="G62" s="211"/>
      <c r="H62" s="212"/>
      <c r="I62" s="214"/>
    </row>
    <row r="68" spans="5:5" x14ac:dyDescent="0.3">
      <c r="E68" s="59"/>
    </row>
  </sheetData>
  <mergeCells count="19">
    <mergeCell ref="F24:F28"/>
    <mergeCell ref="I24:I28"/>
    <mergeCell ref="A1:I5"/>
    <mergeCell ref="F7:F15"/>
    <mergeCell ref="I7:I15"/>
    <mergeCell ref="F16:F23"/>
    <mergeCell ref="I16:I23"/>
    <mergeCell ref="F29:F31"/>
    <mergeCell ref="I29:I31"/>
    <mergeCell ref="F32:F39"/>
    <mergeCell ref="I32:I39"/>
    <mergeCell ref="F40:F43"/>
    <mergeCell ref="I40:I43"/>
    <mergeCell ref="F44:F55"/>
    <mergeCell ref="I44:I55"/>
    <mergeCell ref="F56:F60"/>
    <mergeCell ref="I56:I60"/>
    <mergeCell ref="G61:H62"/>
    <mergeCell ref="I61:I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Menu Item Price vs POS Price</vt:lpstr>
      <vt:lpstr>Master Price list</vt:lpstr>
      <vt:lpstr>Item list</vt:lpstr>
      <vt:lpstr>Item list calculator</vt:lpstr>
      <vt:lpstr>Menu Item list</vt:lpstr>
      <vt:lpstr>Menu item calculator</vt:lpstr>
      <vt:lpstr>INGREDIENTS</vt:lpstr>
      <vt:lpstr>Christmas Drinks </vt:lpstr>
      <vt:lpstr>RAVE EVENT </vt:lpstr>
      <vt:lpstr>NEW MENU COSTING </vt:lpstr>
      <vt:lpstr>DRINK Prep Cards</vt:lpstr>
      <vt:lpstr>HOT Drinks </vt:lpstr>
      <vt:lpstr>ICED Drinks </vt:lpstr>
      <vt:lpstr>KITCHEN Prep Cards</vt:lpstr>
      <vt:lpstr>SERVE Cards</vt:lpstr>
      <vt:lpstr>meals 1</vt:lpstr>
      <vt:lpstr>meals 2</vt:lpstr>
      <vt:lpstr>Brownie</vt:lpstr>
      <vt:lpstr>Baked Goods</vt:lpstr>
      <vt:lpstr>Test Items</vt:lpstr>
      <vt:lpstr>Other</vt:lpstr>
      <vt:lpstr>WEEKLY INVENTORY FILE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indrathekathiroll@gmail.com</dc:creator>
  <cp:keywords/>
  <dc:description/>
  <cp:lastModifiedBy>Tristan Creswick</cp:lastModifiedBy>
  <cp:revision/>
  <dcterms:created xsi:type="dcterms:W3CDTF">2023-08-23T19:40:26Z</dcterms:created>
  <dcterms:modified xsi:type="dcterms:W3CDTF">2026-03-28T02:26:20Z</dcterms:modified>
  <cp:category/>
  <cp:contentStatus/>
</cp:coreProperties>
</file>